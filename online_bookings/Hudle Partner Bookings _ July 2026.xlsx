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CR Pune" sheetId="1" r:id="rId5"/>
    <sheet state="visible" name="83 Drive or kick" sheetId="2" r:id="rId6"/>
    <sheet state="visible" name="Ambala" sheetId="3" r:id="rId7"/>
    <sheet state="visible" name="Jaipur" sheetId="4" r:id="rId8"/>
    <sheet state="visible" name="Powerplay" sheetId="5" r:id="rId9"/>
  </sheets>
  <definedNames/>
  <calcPr/>
</workbook>
</file>

<file path=xl/sharedStrings.xml><?xml version="1.0" encoding="utf-8"?>
<sst xmlns="http://schemas.openxmlformats.org/spreadsheetml/2006/main" count="549" uniqueCount="227">
  <si>
    <t>Entry Type</t>
  </si>
  <si>
    <t>Name</t>
  </si>
  <si>
    <t>City</t>
  </si>
  <si>
    <t>Venue</t>
  </si>
  <si>
    <t>Date of booking</t>
  </si>
  <si>
    <t>Slot Details</t>
  </si>
  <si>
    <t>Cancelled Slot Details</t>
  </si>
  <si>
    <t>Booking reference id</t>
  </si>
  <si>
    <t>Source</t>
  </si>
  <si>
    <t>Pay At Venue</t>
  </si>
  <si>
    <t>Hudle Wallet</t>
  </si>
  <si>
    <t>Venue Wallet</t>
  </si>
  <si>
    <t>Hudle Passes</t>
  </si>
  <si>
    <t>Hudle Discount</t>
  </si>
  <si>
    <t>Venue Discount</t>
  </si>
  <si>
    <t>QR Payment</t>
  </si>
  <si>
    <t>Online Paid Amount</t>
  </si>
  <si>
    <t>Hudle Charge</t>
  </si>
  <si>
    <t>Pass Commission</t>
  </si>
  <si>
    <t>TDS</t>
  </si>
  <si>
    <t>TCS</t>
  </si>
  <si>
    <t>Amount To Be Settled</t>
  </si>
  <si>
    <t>Refund With Venue Credit</t>
  </si>
  <si>
    <t>Payment Gateway Ids</t>
  </si>
  <si>
    <t>Sports</t>
  </si>
  <si>
    <t>Booking Status</t>
  </si>
  <si>
    <t>Booking Date Time</t>
  </si>
  <si>
    <t>Number of Slots Booked</t>
  </si>
  <si>
    <t>Invoice URL</t>
  </si>
  <si>
    <t>Invoice Date</t>
  </si>
  <si>
    <t>Facilities</t>
  </si>
  <si>
    <t>Business Name</t>
  </si>
  <si>
    <t>Business GST</t>
  </si>
  <si>
    <t>Business Address</t>
  </si>
  <si>
    <t>Net</t>
  </si>
  <si>
    <t>CGST</t>
  </si>
  <si>
    <t>SGST</t>
  </si>
  <si>
    <t>IGST</t>
  </si>
  <si>
    <t>Total</t>
  </si>
  <si>
    <t>Equipment Name</t>
  </si>
  <si>
    <t>Equipment Note</t>
  </si>
  <si>
    <t>Equipment Amount</t>
  </si>
  <si>
    <t>original_entry</t>
  </si>
  <si>
    <t>Akash</t>
  </si>
  <si>
    <t>Gurgaon</t>
  </si>
  <si>
    <t>Drive or Kick | Sector 83</t>
  </si>
  <si>
    <t>Sheetal Kantawala</t>
  </si>
  <si>
    <t>Pune</t>
  </si>
  <si>
    <t>RallyGully | Law College Road</t>
  </si>
  <si>
    <t>2026-07-02</t>
  </si>
  <si>
    <t>Jul 12, 2026 07:00 AM - 07:30 AM, 07:30 AM - 08:00 AM, 08:00 AM - 08:30 AM, 08:30 AM - 09:00 AM</t>
  </si>
  <si>
    <t>Jul 2, 2026 12:30 PM - 01:00 PM, 01:00 PM - 01:30 PM</t>
  </si>
  <si>
    <t>HUD3783341474</t>
  </si>
  <si>
    <t>Online</t>
  </si>
  <si>
    <t>HUD3614226471</t>
  </si>
  <si>
    <t>PAY5J7T1782972628</t>
  </si>
  <si>
    <t>Pickleball</t>
  </si>
  <si>
    <t>Confirmed</t>
  </si>
  <si>
    <t>2026-07-02 11:37:27</t>
  </si>
  <si>
    <t>https://s3.ap-south-1.amazonaws.com/docs.hudle.in/invoices/Q7GD627000000698.pdf</t>
  </si>
  <si>
    <t>2026-07-02 18:00:36</t>
  </si>
  <si>
    <t>Court 1</t>
  </si>
  <si>
    <t>PAYUJBW1783783872</t>
  </si>
  <si>
    <t>Box Cricket</t>
  </si>
  <si>
    <t>Kanishka Khandelwal</t>
  </si>
  <si>
    <t>Jaipur</t>
  </si>
  <si>
    <t>https://s3.ap-south-1.amazonaws.com/docs.hudle.in/invoices/PGIR627000000003.pdf</t>
  </si>
  <si>
    <t>RallyGully | RR | Gandhi Path</t>
  </si>
  <si>
    <t>Jul 2, 2026 07:30 PM - 08:00 PM, 08:00 PM - 08:30 PM</t>
  </si>
  <si>
    <t>HUD3923289858</t>
  </si>
  <si>
    <t>Rudransh Bansal</t>
  </si>
  <si>
    <t>Ambala</t>
  </si>
  <si>
    <t>RallyGully | The Social Court | Ambala</t>
  </si>
  <si>
    <t>2026-07-03</t>
  </si>
  <si>
    <t>2026-06-30</t>
  </si>
  <si>
    <t>Jul 3, 2026 12:30 PM - 01:00 PM, 01:00 PM - 01:30 PM</t>
  </si>
  <si>
    <t>Jun 30, 2026 08:30 PM - 09:00 PM, 09:00 PM - 09:30 PM</t>
  </si>
  <si>
    <t>HUD3213756689</t>
  </si>
  <si>
    <t>HUD3516551643</t>
  </si>
  <si>
    <t>PAYEBY51783059708</t>
  </si>
  <si>
    <t>PAY7RJO1782998420</t>
  </si>
  <si>
    <t>2026-07-03 11:50:36</t>
  </si>
  <si>
    <t>https://s3.ap-south-1.amazonaws.com/docs.hudle.in/invoices/Q7GD627000000699.pdf</t>
  </si>
  <si>
    <t>2026-07-02 18:50:17</t>
  </si>
  <si>
    <t>2026-07-03 18:00:51</t>
  </si>
  <si>
    <t>https://s3.ap-south-1.amazonaws.com/docs.hudle.in/invoices/VTIKE27000000030.pdf</t>
  </si>
  <si>
    <t>2026-07-03 00:03:36</t>
  </si>
  <si>
    <t>prathamesh kulkarni</t>
  </si>
  <si>
    <t>PAY7RNU1782803966</t>
  </si>
  <si>
    <t>2026-07-14</t>
  </si>
  <si>
    <t>Jul 15, 2026 06:00 PM - 06:30 PM, 06:30 PM - 07:00 PM</t>
  </si>
  <si>
    <t>2026-06-30 12:48:55</t>
  </si>
  <si>
    <t>HUD2441604751</t>
  </si>
  <si>
    <t>https://s3.ap-south-1.amazonaws.com/docs.hudle.in/invoices/UCZOY27000000043.pdf</t>
  </si>
  <si>
    <t>2026-07-01 06:01:02</t>
  </si>
  <si>
    <t>Court 2</t>
  </si>
  <si>
    <t>Anirudh Jain</t>
  </si>
  <si>
    <t>2026-07-14 12:59:02</t>
  </si>
  <si>
    <t>Ramana Prakash</t>
  </si>
  <si>
    <t>https://s3.ap-south-1.amazonaws.com/docs.hudle.in/invoices/Q7GD627000000733.pdf</t>
  </si>
  <si>
    <t>Jul 2, 2026 08:30 PM - 09:00 PM, 09:00 PM - 09:30 PM</t>
  </si>
  <si>
    <t>2026-07-16 00:01:31</t>
  </si>
  <si>
    <t>Court 4</t>
  </si>
  <si>
    <t>HUD2648847012</t>
  </si>
  <si>
    <t>Jul 2, 2026 10:00 PM - 10:30 PM, 10:30 PM - 11:00 PM</t>
  </si>
  <si>
    <t>HUD3462917124</t>
  </si>
  <si>
    <t>Nidhi Hegde</t>
  </si>
  <si>
    <t>PAYB0QL1783003346</t>
  </si>
  <si>
    <t>2026-07-17</t>
  </si>
  <si>
    <t>Jul 17, 2026 06:00 PM - 06:30 PM, 06:30 PM - 07:00 PM, 07:00 PM - 07:30 PM, 07:30 PM - 08:00 PM</t>
  </si>
  <si>
    <t>HUD2789403516</t>
  </si>
  <si>
    <t>2026-07-02 20:12:02</t>
  </si>
  <si>
    <t>PAYA7AE1783005428</t>
  </si>
  <si>
    <t>https://s3.ap-south-1.amazonaws.com/docs.hudle.in/invoices/VTIKE27000000031.pdf</t>
  </si>
  <si>
    <t>2026-07-03 06:02:43</t>
  </si>
  <si>
    <t>2026-07-02 20:47:05</t>
  </si>
  <si>
    <t>6v6 Box Cricket (Turf)</t>
  </si>
  <si>
    <t>PAYW0XN1784279966</t>
  </si>
  <si>
    <t>https://s3.ap-south-1.amazonaws.com/docs.hudle.in/invoices/UCZOY27000000055.pdf</t>
  </si>
  <si>
    <t>2026-07-17 14:49:12</t>
  </si>
  <si>
    <t>2026-07-03 06:02:50</t>
  </si>
  <si>
    <t>https://s3.ap-south-1.amazonaws.com/docs.hudle.in/invoices/Q7GD627000000750.pdf</t>
  </si>
  <si>
    <t>2026-07-18 00:03:11</t>
  </si>
  <si>
    <t>Abhinav</t>
  </si>
  <si>
    <t>Jul 4, 2026 09:00 PM - 09:30 PM, 09:30 PM - 10:00 PM, 10:00 PM - 10:30 PM, 10:30 PM - 11:00 PM</t>
  </si>
  <si>
    <t>HUD2697298363</t>
  </si>
  <si>
    <t>Balan Dhanka</t>
  </si>
  <si>
    <t>Abhimanyu Singh</t>
  </si>
  <si>
    <t>manchahat</t>
  </si>
  <si>
    <t>Powerplay Park</t>
  </si>
  <si>
    <t>2026-07-25</t>
  </si>
  <si>
    <t>Jul 25, 2026 06:00 PM - 06:30 PM, 06:30 PM - 07:00 PM, 07:00 PM - 07:30 PM</t>
  </si>
  <si>
    <t>2026-07-30</t>
  </si>
  <si>
    <t>HUD2140518469</t>
  </si>
  <si>
    <t>Jul 30, 2026 01:00 AM - 01:30 AM, 01:30 AM - 02:00 AM</t>
  </si>
  <si>
    <t>PAYUIXL1783168164</t>
  </si>
  <si>
    <t>HUD1853378562</t>
  </si>
  <si>
    <t>Jul 3, 2026 06:30 PM - 07:00 PM, 07:00 PM - 07:30 PM</t>
  </si>
  <si>
    <t>HUD2429804553</t>
  </si>
  <si>
    <t>https://s3.ap-south-1.amazonaws.com/docs.hudle.in/invoices/PGIR627000000002.pdf</t>
  </si>
  <si>
    <t>PAYF2VE1784962298</t>
  </si>
  <si>
    <t>2026-07-25 12:20:39</t>
  </si>
  <si>
    <t>PAYVQM91785351488</t>
  </si>
  <si>
    <t>https://s3.ap-south-1.amazonaws.com/docs.hudle.in/invoices/VTIKE27000000032.pdf</t>
  </si>
  <si>
    <t>2026-07-26 00:03:00</t>
  </si>
  <si>
    <t>2026-07-30 00:28:03</t>
  </si>
  <si>
    <t>https://s3.ap-south-1.amazonaws.com/docs.hudle.in/invoices/6ZFNH27000000161.pdf</t>
  </si>
  <si>
    <t>PAYGZ9O1783079405</t>
  </si>
  <si>
    <t>2026-07-30 06:02:47</t>
  </si>
  <si>
    <t>2026-07-03 17:19:20</t>
  </si>
  <si>
    <t>https://s3.ap-south-1.amazonaws.com/docs.hudle.in/invoices/UCZOY27000000056.pdf</t>
  </si>
  <si>
    <t>2026-07-04 00:02:57</t>
  </si>
  <si>
    <t>Avni Aggarwal</t>
  </si>
  <si>
    <t>2026-07-06</t>
  </si>
  <si>
    <t>Jul 6, 2026 07:30 PM - 08:00 PM, 08:00 PM - 08:30 PM</t>
  </si>
  <si>
    <t>HUD3841331603</t>
  </si>
  <si>
    <t>PAYL6C71783343356</t>
  </si>
  <si>
    <t>2026-07-06 18:38:51</t>
  </si>
  <si>
    <t>https://s3.ap-south-1.amazonaws.com/docs.hudle.in/invoices/UCZOY27000000059.pdf</t>
  </si>
  <si>
    <t>2026-07-07 00:03:04</t>
  </si>
  <si>
    <t>Tushar Sharma</t>
  </si>
  <si>
    <t>Jul 18, 2026 11:00 PM - 11:30 PM, 11:30 PM - 12:00 AM</t>
  </si>
  <si>
    <t>HUD3122009030</t>
  </si>
  <si>
    <t>Jul 6, 2026 09:30 PM - 10:00 PM</t>
  </si>
  <si>
    <t>HUD2376254254</t>
  </si>
  <si>
    <t>PAYAQNY1784394811</t>
  </si>
  <si>
    <t>https://s3.ap-south-1.amazonaws.com/docs.hudle.in/invoices/PGIR627000000004.pdf</t>
  </si>
  <si>
    <t>PAYW0F11783349830</t>
  </si>
  <si>
    <t>2026-07-06 20:27:03</t>
  </si>
  <si>
    <t>https://s3.ap-south-1.amazonaws.com/docs.hudle.in/invoices/UCZOY27000000062.pdf</t>
  </si>
  <si>
    <t>2026-07-07 06:02:09</t>
  </si>
  <si>
    <t>Arjun</t>
  </si>
  <si>
    <t>2026-07-08</t>
  </si>
  <si>
    <t>Jul 8, 2026 08:00 PM - 08:30 PM, 08:00 PM - 08:30 PM, 08:30 PM - 09:00 PM, 08:30 PM - 09:00 PM, 09:00 PM - 09:30 PM, 09:00 PM - 09:30 PM, 09:30 PM - 10:00 PM, 09:30 PM - 10:00 PM</t>
  </si>
  <si>
    <t>HUD2988918098</t>
  </si>
  <si>
    <t>PAYK3NW1783509005</t>
  </si>
  <si>
    <t>2026-07-08 16:39:43</t>
  </si>
  <si>
    <t>https://s3.ap-south-1.amazonaws.com/docs.hudle.in/invoices/UCZOY27000000068.pdf</t>
  </si>
  <si>
    <t>2026-07-09 06:01:20</t>
  </si>
  <si>
    <t>Court 1, Court 2</t>
  </si>
  <si>
    <t>rocky</t>
  </si>
  <si>
    <t>2026-07-10</t>
  </si>
  <si>
    <t>Jul 10, 2026 07:00 PM - 07:30 PM, 07:30 PM - 08:00 PM</t>
  </si>
  <si>
    <t>HUD2595716873</t>
  </si>
  <si>
    <t>PAY6ITF1783688530</t>
  </si>
  <si>
    <t>2026-07-10 18:32:03</t>
  </si>
  <si>
    <t>https://s3.ap-south-1.amazonaws.com/docs.hudle.in/invoices/UCZOY27000000075.pdf</t>
  </si>
  <si>
    <t>2026-07-11 00:03:04</t>
  </si>
  <si>
    <t>Shrey Mehndiratta</t>
  </si>
  <si>
    <t>2026-07-11</t>
  </si>
  <si>
    <t>Jul 11, 2026 08:30 PM - 09:00 PM, 09:00 PM - 09:30 PM</t>
  </si>
  <si>
    <t>HUD2241862125</t>
  </si>
  <si>
    <t>PAYWXRE1783778464</t>
  </si>
  <si>
    <t>2026-07-11 19:30:56</t>
  </si>
  <si>
    <t>https://s3.ap-south-1.amazonaws.com/docs.hudle.in/invoices/UCZOY27000000078.pdf</t>
  </si>
  <si>
    <t>2026-07-12 06:03:09</t>
  </si>
  <si>
    <t>harshil</t>
  </si>
  <si>
    <t>2026-07-21</t>
  </si>
  <si>
    <t>Jul 21, 2026 08:30 PM - 09:00 PM, 09:00 PM - 09:30 PM</t>
  </si>
  <si>
    <t>HUD3332294202</t>
  </si>
  <si>
    <t>PAY1V5F1784642057</t>
  </si>
  <si>
    <t>2026-07-21 19:24:13</t>
  </si>
  <si>
    <t>https://s3.ap-south-1.amazonaws.com/docs.hudle.in/invoices/UCZOY27000000104.pdf</t>
  </si>
  <si>
    <t>2026-07-22 06:02:00</t>
  </si>
  <si>
    <t>2026-07-22</t>
  </si>
  <si>
    <t>Jul 22, 2026 08:30 PM - 09:00 PM, 09:00 PM - 09:30 PM</t>
  </si>
  <si>
    <t>HUD2643739514</t>
  </si>
  <si>
    <t>PAYKM3F1784730380</t>
  </si>
  <si>
    <t>2026-07-22 19:56:16</t>
  </si>
  <si>
    <t>https://s3.ap-south-1.amazonaws.com/docs.hudle.in/invoices/UCZOY27000000111.pdf</t>
  </si>
  <si>
    <t>2026-07-23 06:01:45</t>
  </si>
  <si>
    <t>Aarav Prakash</t>
  </si>
  <si>
    <t>2026-07-23</t>
  </si>
  <si>
    <t>Jul 23, 2026 06:30 PM - 07:00 PM, 07:00 PM - 07:30 PM, 07:30 PM - 08:00 PM</t>
  </si>
  <si>
    <t>HUD1886250645</t>
  </si>
  <si>
    <t>PAY8MDO1784776666</t>
  </si>
  <si>
    <t>2026-07-23 08:47:39</t>
  </si>
  <si>
    <t>https://s3.ap-south-1.amazonaws.com/docs.hudle.in/invoices/UCZOY27000000113.pdf</t>
  </si>
  <si>
    <t>2026-07-24 00:02:06</t>
  </si>
  <si>
    <t>Sakshi Sah</t>
  </si>
  <si>
    <t>2026-07-12</t>
  </si>
  <si>
    <t>Jul 12, 2026 06:00 PM - 06:30 PM, 06:00 PM - 06:30 PM, 06:30 PM - 07:00 PM, 06:30 PM - 07:00 PM</t>
  </si>
  <si>
    <t>HUD2327688946</t>
  </si>
  <si>
    <t>PAYARM01783848908</t>
  </si>
  <si>
    <t>2026-07-12 15:03:56</t>
  </si>
  <si>
    <t>https://s3.ap-south-1.amazonaws.com/docs.hudle.in/invoices/6ZFNH27000000157.pdf</t>
  </si>
  <si>
    <t>2026-07-13 00:04:28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</si>
</sst>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-mm-dd"/>
    <numFmt numFmtId="165" formatCode="d-m-yy hh:mm"/>
    <numFmt numFmtId="166" formatCode="yyyy-mm-dd hh:mm:ss"/>
    <numFmt numFmtId="167" formatCode="d-m-yyyy"/>
    <numFmt numFmtId="168" formatCode="dd-mm-yy"/>
    <numFmt numFmtId="169" formatCode="dd-mm-yy hh:mm"/>
    <numFmt numFmtId="170" formatCode="dd-mm-yyyy"/>
    <numFmt numFmtId="171" formatCode="dd/mm/yy hh:mm"/>
  </numFmts>
  <fonts count="16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b/>
      <sz val="10.0"/>
      <color theme="1"/>
      <name val="Arial"/>
      <scheme val="minor"/>
    </font>
    <font>
      <sz val="11.0"/>
      <color rgb="FF000000"/>
      <name val="Calibri"/>
    </font>
    <font>
      <b/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color rgb="FF000000"/>
      <name val="Arial"/>
    </font>
    <font>
      <u/>
      <sz val="11.0"/>
      <color rgb="FF000000"/>
      <name val="Calibri"/>
    </font>
    <font>
      <b/>
      <color theme="1"/>
      <name val="Arial"/>
      <scheme val="minor"/>
    </font>
    <font>
      <b/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2" fontId="3" numFmtId="0" xfId="0" applyAlignment="1" applyFill="1" applyFont="1">
      <alignment vertical="bottom"/>
    </xf>
    <xf borderId="1" fillId="0" fontId="4" numFmtId="0" xfId="0" applyAlignment="1" applyBorder="1" applyFont="1">
      <alignment readingOrder="0" shrinkToFit="0" vertical="bottom" wrapText="0"/>
    </xf>
    <xf borderId="0" fillId="2" fontId="5" numFmtId="0" xfId="0" applyAlignment="1" applyFill="1" applyFont="1">
      <alignment readingOrder="0" shrinkToFit="0" vertical="bottom" wrapText="0"/>
    </xf>
    <xf borderId="1" fillId="0" fontId="6" numFmtId="0" xfId="0" applyAlignment="1" applyBorder="1" applyFont="1">
      <alignment vertical="bottom"/>
    </xf>
    <xf borderId="1" fillId="0" fontId="4" numFmtId="164" xfId="0" applyAlignment="1" applyBorder="1" applyFont="1" applyNumberFormat="1">
      <alignment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right" readingOrder="0" shrinkToFit="0" vertical="bottom" wrapText="0"/>
    </xf>
    <xf borderId="1" fillId="0" fontId="6" numFmtId="0" xfId="0" applyAlignment="1" applyBorder="1" applyFont="1">
      <alignment vertical="bottom"/>
    </xf>
    <xf borderId="1" fillId="0" fontId="6" numFmtId="165" xfId="0" applyAlignment="1" applyBorder="1" applyFont="1" applyNumberFormat="1">
      <alignment vertical="bottom"/>
    </xf>
    <xf borderId="0" fillId="2" fontId="7" numFmtId="0" xfId="0" applyAlignment="1" applyFill="1" applyFont="1">
      <alignment vertical="bottom"/>
    </xf>
    <xf borderId="1" fillId="0" fontId="6" numFmtId="0" xfId="0" applyAlignment="1" applyBorder="1" applyFont="1">
      <alignment horizontal="right" vertical="bottom"/>
    </xf>
    <xf borderId="0" fillId="0" fontId="0" numFmtId="0" xfId="0" applyAlignment="1" applyFont="1">
      <alignment shrinkToFit="0" vertical="bottom" wrapText="0"/>
    </xf>
    <xf borderId="1" fillId="0" fontId="4" numFmtId="166" xfId="0" applyAlignment="1" applyBorder="1" applyFont="1" applyNumberFormat="1">
      <alignment readingOrder="0"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1" fillId="0" fontId="6" numFmtId="167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Font="1"/>
    <xf borderId="1" fillId="0" fontId="6" numFmtId="0" xfId="0" applyAlignment="1" applyBorder="1" applyFont="1">
      <alignment horizontal="right" readingOrder="0" vertical="bottom"/>
    </xf>
    <xf borderId="0" fillId="0" fontId="0" numFmtId="0" xfId="0" applyAlignment="1" applyFont="1">
      <alignment shrinkToFit="0" vertical="bottom" wrapText="0"/>
    </xf>
    <xf borderId="0" fillId="0" fontId="0" numFmtId="0" xfId="0" applyAlignment="1" applyFont="1">
      <alignment horizontal="center"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vertical="bottom"/>
    </xf>
    <xf borderId="0" fillId="0" fontId="6" numFmtId="167" xfId="0" applyAlignment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2" fontId="7" numFmtId="0" xfId="0" applyAlignment="1" applyFill="1" applyFont="1">
      <alignment horizontal="right" vertical="bottom"/>
    </xf>
    <xf borderId="1" fillId="0" fontId="7" numFmtId="0" xfId="0" applyAlignment="1" applyBorder="1" applyFont="1">
      <alignment readingOrder="0" vertical="bottom"/>
    </xf>
    <xf borderId="1" fillId="0" fontId="7" numFmtId="0" xfId="0" applyAlignment="1" applyBorder="1" applyFont="1">
      <alignment vertical="bottom"/>
    </xf>
    <xf borderId="1" fillId="0" fontId="7" numFmtId="168" xfId="0" applyAlignment="1" applyBorder="1" applyFont="1" applyNumberFormat="1">
      <alignment vertical="bottom"/>
    </xf>
    <xf borderId="1" fillId="0" fontId="7" numFmtId="167" xfId="0" applyAlignment="1" applyBorder="1" applyFont="1" applyNumberFormat="1">
      <alignment vertical="bottom"/>
    </xf>
    <xf borderId="1" fillId="0" fontId="7" numFmtId="0" xfId="0" applyAlignment="1" applyBorder="1" applyFont="1">
      <alignment horizontal="right" vertical="bottom"/>
    </xf>
    <xf borderId="1" fillId="0" fontId="10" numFmtId="0" xfId="0" applyAlignment="1" applyBorder="1" applyFont="1">
      <alignment readingOrder="0"/>
    </xf>
    <xf borderId="1" fillId="0" fontId="7" numFmtId="0" xfId="0" applyAlignment="1" applyBorder="1" applyFont="1">
      <alignment vertical="bottom"/>
    </xf>
    <xf borderId="1" fillId="0" fontId="10" numFmtId="0" xfId="0" applyBorder="1" applyFont="1"/>
    <xf borderId="1" fillId="0" fontId="7" numFmtId="0" xfId="0" applyAlignment="1" applyBorder="1" applyFont="1">
      <alignment horizontal="right" vertical="bottom"/>
    </xf>
    <xf borderId="1" fillId="0" fontId="7" numFmtId="169" xfId="0" applyAlignment="1" applyBorder="1" applyFont="1" applyNumberFormat="1">
      <alignment horizontal="right" vertical="bottom"/>
    </xf>
    <xf borderId="1" fillId="0" fontId="11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6" numFmtId="165" xfId="0" applyAlignment="1" applyFont="1" applyNumberFormat="1">
      <alignment vertical="bottom"/>
    </xf>
    <xf borderId="0" fillId="0" fontId="4" numFmtId="0" xfId="0" applyAlignment="1" applyFont="1">
      <alignment horizontal="right" readingOrder="0" shrinkToFit="0" vertical="bottom" wrapText="0"/>
    </xf>
    <xf borderId="0" fillId="0" fontId="6" numFmtId="165" xfId="0" applyAlignment="1" applyFont="1" applyNumberFormat="1">
      <alignment horizontal="right" vertical="bottom"/>
    </xf>
    <xf borderId="0" fillId="0" fontId="8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169" xfId="0" applyAlignment="1" applyFont="1" applyNumberFormat="1">
      <alignment horizontal="right" readingOrder="0" shrinkToFit="0" vertical="bottom" wrapText="0"/>
    </xf>
    <xf borderId="0" fillId="0" fontId="6" numFmtId="168" xfId="0" applyAlignment="1" applyFont="1" applyNumberFormat="1">
      <alignment vertical="bottom"/>
    </xf>
    <xf borderId="1" fillId="0" fontId="13" numFmtId="0" xfId="0" applyBorder="1" applyFont="1"/>
    <xf borderId="0" fillId="0" fontId="6" numFmtId="169" xfId="0" applyAlignment="1" applyFont="1" applyNumberFormat="1">
      <alignment horizontal="right" vertical="bottom"/>
    </xf>
    <xf borderId="0" fillId="0" fontId="6" numFmtId="170" xfId="0" applyAlignment="1" applyFont="1" applyNumberFormat="1">
      <alignment vertical="bottom"/>
    </xf>
    <xf borderId="0" fillId="0" fontId="8" numFmtId="0" xfId="0" applyAlignment="1" applyFont="1">
      <alignment shrinkToFit="0" vertical="bottom" wrapText="0"/>
    </xf>
    <xf borderId="0" fillId="0" fontId="4" numFmtId="171" xfId="0" applyAlignment="1" applyFont="1" applyNumberFormat="1">
      <alignment readingOrder="0" shrinkToFit="0" vertical="bottom" wrapText="0"/>
    </xf>
    <xf borderId="0" fillId="2" fontId="5" numFmtId="0" xfId="0" applyAlignment="1" applyFill="1" applyFont="1">
      <alignment horizontal="right" readingOrder="0" shrinkToFit="0" vertical="bottom" wrapText="0"/>
    </xf>
    <xf borderId="0" fillId="2" fontId="5" numFmtId="0" xfId="0" applyAlignment="1" applyFill="1" applyFont="1">
      <alignment shrinkToFit="0" vertical="bottom" wrapText="0"/>
    </xf>
    <xf borderId="0" fillId="2" fontId="5" numFmtId="0" xfId="0" applyAlignment="1" applyFill="1" applyFont="1">
      <alignment shrinkToFit="0" vertical="bottom" wrapText="0"/>
    </xf>
    <xf borderId="0" fillId="2" fontId="12" numFmtId="0" xfId="0" applyAlignment="1" applyFill="1" applyFont="1">
      <alignment horizontal="right" readingOrder="0" shrinkToFit="0" vertical="bottom" wrapText="0"/>
    </xf>
    <xf borderId="0" fillId="2" fontId="12" numFmtId="0" xfId="0" applyAlignment="1" applyFill="1" applyFont="1">
      <alignment shrinkToFit="0" vertical="bottom" wrapText="0"/>
    </xf>
    <xf borderId="0" fillId="2" fontId="12" numFmtId="0" xfId="0" applyAlignment="1" applyFill="1" applyFont="1">
      <alignment readingOrder="0" shrinkToFit="0" vertical="bottom" wrapText="0"/>
    </xf>
    <xf borderId="0" fillId="0" fontId="6" numFmtId="166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right" vertical="bottom"/>
    </xf>
    <xf borderId="0" fillId="0" fontId="8" numFmtId="165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2" fontId="10" numFmtId="0" xfId="0" applyAlignment="1" applyFill="1" applyFont="1">
      <alignment readingOrder="0"/>
    </xf>
    <xf borderId="0" fillId="2" fontId="10" numFmtId="0" xfId="0" applyFill="1" applyFont="1"/>
    <xf borderId="0" fillId="2" fontId="15" numFmtId="0" xfId="0" applyAlignment="1" applyFill="1" applyFont="1">
      <alignment vertical="bottom"/>
    </xf>
    <xf borderId="0" fillId="2" fontId="2" numFmtId="0" xfId="0" applyAlignment="1" applyFill="1" applyFont="1">
      <alignment readingOrder="0" shrinkToFit="0" vertical="bottom" wrapText="0"/>
    </xf>
    <xf borderId="1" fillId="0" fontId="6" numFmtId="166" xfId="0" applyAlignment="1" applyBorder="1" applyFont="1" applyNumberFormat="1">
      <alignment vertical="bottom"/>
    </xf>
    <xf borderId="1" fillId="0" fontId="6" numFmtId="165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PGIR627000000003.pdf" TargetMode="External"/><Relationship Id="rId2" Type="http://schemas.openxmlformats.org/officeDocument/2006/relationships/hyperlink" Target="https://s3.ap-south-1.amazonaws.com/docs.hudle.in/invoices/PGIR627000000002.pdf" TargetMode="External"/><Relationship Id="rId3" Type="http://schemas.openxmlformats.org/officeDocument/2006/relationships/hyperlink" Target="https://s3.ap-south-1.amazonaws.com/docs.hudle.in/invoices/PGIR627000000004.pdf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25"/>
    <col customWidth="1" min="4" max="4" width="23.0"/>
    <col customWidth="1" min="5" max="5" width="14.25"/>
    <col customWidth="1" min="6" max="6" width="42.75"/>
    <col customWidth="1" min="7" max="7" width="18.88"/>
    <col customWidth="1" min="16" max="16" width="17.75"/>
    <col customWidth="1" min="22" max="22" width="18.88"/>
    <col customWidth="1" min="23" max="23" width="3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4"/>
      <c r="AR1" s="4"/>
      <c r="AS1" s="4"/>
      <c r="AT1" s="4"/>
      <c r="AU1" s="4"/>
      <c r="AV1" s="4"/>
      <c r="AW1" s="4"/>
      <c r="AX1" s="6"/>
    </row>
    <row r="2">
      <c r="A2" s="7" t="s">
        <v>42</v>
      </c>
      <c r="B2" s="7" t="s">
        <v>46</v>
      </c>
      <c r="C2" s="7" t="s">
        <v>47</v>
      </c>
      <c r="D2" s="7" t="s">
        <v>48</v>
      </c>
      <c r="E2" s="7" t="s">
        <v>49</v>
      </c>
      <c r="F2" s="7" t="s">
        <v>51</v>
      </c>
      <c r="G2" s="7"/>
      <c r="H2" s="7" t="s">
        <v>52</v>
      </c>
      <c r="I2" s="7" t="s">
        <v>53</v>
      </c>
      <c r="J2" s="10">
        <v>0.0</v>
      </c>
      <c r="K2" s="10">
        <v>0.0</v>
      </c>
      <c r="L2" s="10">
        <v>0.0</v>
      </c>
      <c r="M2" s="10">
        <v>0.0</v>
      </c>
      <c r="N2" s="10">
        <v>0.0</v>
      </c>
      <c r="O2" s="10">
        <v>0.0</v>
      </c>
      <c r="P2" s="10">
        <v>0.0</v>
      </c>
      <c r="Q2" s="10">
        <v>750.0</v>
      </c>
      <c r="R2" s="10">
        <v>97.5</v>
      </c>
      <c r="S2" s="10">
        <v>0.0</v>
      </c>
      <c r="T2" s="10">
        <v>0.6356</v>
      </c>
      <c r="U2" s="10">
        <v>3.178</v>
      </c>
      <c r="V2" s="10">
        <v>648.69</v>
      </c>
      <c r="W2" s="10">
        <v>0.0</v>
      </c>
      <c r="X2" s="7" t="s">
        <v>55</v>
      </c>
      <c r="Y2" s="7" t="s">
        <v>56</v>
      </c>
      <c r="Z2" s="7" t="s">
        <v>57</v>
      </c>
      <c r="AA2" s="7" t="s">
        <v>58</v>
      </c>
      <c r="AB2" s="10">
        <v>2.0</v>
      </c>
      <c r="AC2" s="7" t="s">
        <v>59</v>
      </c>
      <c r="AD2" s="7" t="s">
        <v>60</v>
      </c>
      <c r="AE2" s="12" t="s">
        <v>61</v>
      </c>
      <c r="AF2" s="7"/>
      <c r="AG2" s="7"/>
      <c r="AH2" s="13"/>
      <c r="AI2" s="10">
        <v>635.59</v>
      </c>
      <c r="AJ2" s="10">
        <v>57.205</v>
      </c>
      <c r="AK2" s="10">
        <v>57.205</v>
      </c>
      <c r="AL2" s="12"/>
      <c r="AM2" s="15">
        <v>750.0</v>
      </c>
      <c r="AN2" s="7"/>
      <c r="AO2" s="7"/>
      <c r="AP2" s="10">
        <v>0.0</v>
      </c>
      <c r="AQ2" s="16"/>
      <c r="AR2" s="18"/>
      <c r="AS2" s="16"/>
      <c r="AT2" s="16"/>
      <c r="AU2" s="18"/>
      <c r="AV2" s="19"/>
      <c r="AW2" s="16"/>
      <c r="AX2" s="20"/>
    </row>
    <row r="3">
      <c r="A3" s="7" t="s">
        <v>42</v>
      </c>
      <c r="B3" s="7" t="s">
        <v>46</v>
      </c>
      <c r="C3" s="7" t="s">
        <v>47</v>
      </c>
      <c r="D3" s="21" t="s">
        <v>48</v>
      </c>
      <c r="E3" s="7" t="s">
        <v>73</v>
      </c>
      <c r="F3" s="7" t="s">
        <v>75</v>
      </c>
      <c r="G3" s="7"/>
      <c r="H3" s="7" t="s">
        <v>77</v>
      </c>
      <c r="I3" s="7" t="s">
        <v>53</v>
      </c>
      <c r="J3" s="10">
        <v>0.0</v>
      </c>
      <c r="K3" s="10">
        <v>0.0</v>
      </c>
      <c r="L3" s="10">
        <v>0.0</v>
      </c>
      <c r="M3" s="10">
        <v>0.0</v>
      </c>
      <c r="N3" s="10">
        <v>0.0</v>
      </c>
      <c r="O3" s="10">
        <v>0.0</v>
      </c>
      <c r="P3" s="10">
        <v>0.0</v>
      </c>
      <c r="Q3" s="10">
        <v>750.0</v>
      </c>
      <c r="R3" s="10">
        <v>97.5</v>
      </c>
      <c r="S3" s="10">
        <v>0.0</v>
      </c>
      <c r="T3" s="10">
        <v>0.6356</v>
      </c>
      <c r="U3" s="10">
        <v>3.178</v>
      </c>
      <c r="V3" s="10">
        <v>648.69</v>
      </c>
      <c r="W3" s="10">
        <v>0.0</v>
      </c>
      <c r="X3" s="7" t="s">
        <v>79</v>
      </c>
      <c r="Y3" s="7" t="s">
        <v>56</v>
      </c>
      <c r="Z3" s="7" t="s">
        <v>57</v>
      </c>
      <c r="AA3" s="7" t="s">
        <v>81</v>
      </c>
      <c r="AB3" s="10">
        <v>2.0</v>
      </c>
      <c r="AC3" s="13" t="s">
        <v>82</v>
      </c>
      <c r="AD3" s="7" t="s">
        <v>84</v>
      </c>
      <c r="AE3" s="12" t="s">
        <v>61</v>
      </c>
      <c r="AF3" s="7"/>
      <c r="AG3" s="7"/>
      <c r="AH3" s="13"/>
      <c r="AI3" s="10">
        <v>635.59</v>
      </c>
      <c r="AJ3" s="10">
        <v>57.205</v>
      </c>
      <c r="AK3" s="10">
        <v>57.205</v>
      </c>
      <c r="AL3" s="12"/>
      <c r="AM3" s="15">
        <v>750.0</v>
      </c>
      <c r="AN3" s="7"/>
      <c r="AO3" s="7"/>
      <c r="AP3" s="10">
        <v>0.0</v>
      </c>
      <c r="AQ3" s="16"/>
      <c r="AR3" s="18"/>
      <c r="AS3" s="16"/>
      <c r="AT3" s="16"/>
      <c r="AU3" s="18"/>
      <c r="AV3" s="19"/>
      <c r="AW3" s="16"/>
      <c r="AX3" s="20"/>
    </row>
    <row r="4">
      <c r="A4" s="7" t="s">
        <v>42</v>
      </c>
      <c r="B4" s="7" t="s">
        <v>87</v>
      </c>
      <c r="C4" s="7" t="s">
        <v>47</v>
      </c>
      <c r="D4" s="21" t="s">
        <v>48</v>
      </c>
      <c r="E4" s="7" t="s">
        <v>89</v>
      </c>
      <c r="F4" s="7" t="s">
        <v>90</v>
      </c>
      <c r="G4" s="7"/>
      <c r="H4" s="7" t="s">
        <v>92</v>
      </c>
      <c r="I4" s="7" t="s">
        <v>53</v>
      </c>
      <c r="J4" s="10">
        <v>0.0</v>
      </c>
      <c r="K4" s="10">
        <v>700.0</v>
      </c>
      <c r="L4" s="10">
        <v>0.0</v>
      </c>
      <c r="M4" s="10">
        <v>0.0</v>
      </c>
      <c r="N4" s="10">
        <v>0.0</v>
      </c>
      <c r="O4" s="10">
        <v>50.0</v>
      </c>
      <c r="P4" s="10">
        <v>0.0</v>
      </c>
      <c r="Q4" s="24">
        <v>700.0</v>
      </c>
      <c r="R4" s="10">
        <v>91.0</v>
      </c>
      <c r="S4" s="10">
        <v>0.0</v>
      </c>
      <c r="T4" s="10">
        <v>0.5932</v>
      </c>
      <c r="U4" s="10">
        <v>2.9661</v>
      </c>
      <c r="V4" s="10">
        <v>605.44</v>
      </c>
      <c r="W4" s="10">
        <v>0.0</v>
      </c>
      <c r="X4" s="7"/>
      <c r="Y4" s="7" t="s">
        <v>56</v>
      </c>
      <c r="Z4" s="7" t="s">
        <v>57</v>
      </c>
      <c r="AA4" s="7" t="s">
        <v>97</v>
      </c>
      <c r="AB4" s="10">
        <v>2.0</v>
      </c>
      <c r="AC4" s="7" t="s">
        <v>99</v>
      </c>
      <c r="AD4" s="7" t="s">
        <v>101</v>
      </c>
      <c r="AE4" s="12" t="s">
        <v>102</v>
      </c>
      <c r="AF4" s="7"/>
      <c r="AG4" s="7"/>
      <c r="AH4" s="7"/>
      <c r="AI4" s="10">
        <v>593.22</v>
      </c>
      <c r="AJ4" s="10">
        <v>53.39</v>
      </c>
      <c r="AK4" s="10">
        <v>53.39</v>
      </c>
      <c r="AL4" s="12"/>
      <c r="AM4" s="10">
        <v>700.0</v>
      </c>
      <c r="AN4" s="7"/>
      <c r="AO4" s="7"/>
      <c r="AP4" s="10">
        <v>0.0</v>
      </c>
      <c r="AQ4" s="18"/>
      <c r="AR4" s="25"/>
      <c r="AS4" s="16"/>
      <c r="AT4" s="18"/>
      <c r="AU4" s="19"/>
      <c r="AV4" s="26"/>
      <c r="AW4" s="16"/>
      <c r="AX4" s="20"/>
    </row>
    <row r="5">
      <c r="A5" s="7" t="s">
        <v>42</v>
      </c>
      <c r="B5" s="7" t="s">
        <v>106</v>
      </c>
      <c r="C5" s="7" t="s">
        <v>47</v>
      </c>
      <c r="D5" s="21" t="s">
        <v>48</v>
      </c>
      <c r="E5" s="7" t="s">
        <v>108</v>
      </c>
      <c r="F5" s="7" t="s">
        <v>109</v>
      </c>
      <c r="G5" s="7"/>
      <c r="H5" s="7" t="s">
        <v>110</v>
      </c>
      <c r="I5" s="7" t="s">
        <v>53</v>
      </c>
      <c r="J5" s="10">
        <v>0.0</v>
      </c>
      <c r="K5" s="10">
        <v>0.0</v>
      </c>
      <c r="L5" s="10">
        <v>0.0</v>
      </c>
      <c r="M5" s="10">
        <v>0.0</v>
      </c>
      <c r="N5" s="10">
        <v>0.0</v>
      </c>
      <c r="O5" s="10">
        <v>0.0</v>
      </c>
      <c r="P5" s="10">
        <v>0.0</v>
      </c>
      <c r="Q5" s="10">
        <v>1500.0</v>
      </c>
      <c r="R5" s="10">
        <v>195.0</v>
      </c>
      <c r="S5" s="10">
        <v>0.0</v>
      </c>
      <c r="T5" s="10">
        <v>1.2712</v>
      </c>
      <c r="U5" s="10">
        <v>6.356</v>
      </c>
      <c r="V5" s="10">
        <v>1297.37</v>
      </c>
      <c r="W5" s="10">
        <v>0.0</v>
      </c>
      <c r="X5" s="7" t="s">
        <v>117</v>
      </c>
      <c r="Y5" s="7" t="s">
        <v>56</v>
      </c>
      <c r="Z5" s="7" t="s">
        <v>57</v>
      </c>
      <c r="AA5" s="7" t="s">
        <v>119</v>
      </c>
      <c r="AB5" s="10">
        <v>4.0</v>
      </c>
      <c r="AC5" s="7" t="s">
        <v>121</v>
      </c>
      <c r="AD5" s="7" t="s">
        <v>122</v>
      </c>
      <c r="AE5" s="12" t="s">
        <v>102</v>
      </c>
      <c r="AF5" s="7"/>
      <c r="AG5" s="7"/>
      <c r="AH5" s="7"/>
      <c r="AI5" s="10">
        <v>1271.19</v>
      </c>
      <c r="AJ5" s="15">
        <v>114.405</v>
      </c>
      <c r="AK5" s="15">
        <v>114.405</v>
      </c>
      <c r="AL5" s="12"/>
      <c r="AM5" s="10">
        <v>1500.0</v>
      </c>
      <c r="AN5" s="7"/>
      <c r="AO5" s="7"/>
      <c r="AP5" s="10">
        <v>0.0</v>
      </c>
      <c r="AQ5" s="18"/>
      <c r="AR5" s="25"/>
      <c r="AS5" s="16"/>
      <c r="AT5" s="18"/>
      <c r="AU5" s="19"/>
      <c r="AV5" s="26"/>
      <c r="AW5" s="16"/>
      <c r="AX5" s="20"/>
    </row>
    <row r="6">
      <c r="A6" s="28" t="s">
        <v>42</v>
      </c>
      <c r="B6" s="28" t="s">
        <v>126</v>
      </c>
      <c r="C6" s="28" t="s">
        <v>47</v>
      </c>
      <c r="D6" s="29" t="s">
        <v>129</v>
      </c>
      <c r="E6" s="28" t="s">
        <v>132</v>
      </c>
      <c r="F6" s="28" t="s">
        <v>134</v>
      </c>
      <c r="G6" s="28"/>
      <c r="H6" s="28" t="s">
        <v>136</v>
      </c>
      <c r="I6" s="28" t="s">
        <v>53</v>
      </c>
      <c r="J6" s="30">
        <v>0.0</v>
      </c>
      <c r="K6" s="30">
        <v>0.0</v>
      </c>
      <c r="L6" s="30">
        <v>0.0</v>
      </c>
      <c r="M6" s="30">
        <v>0.0</v>
      </c>
      <c r="N6" s="30">
        <v>0.0</v>
      </c>
      <c r="O6" s="30">
        <v>0.0</v>
      </c>
      <c r="P6" s="30">
        <v>0.0</v>
      </c>
      <c r="Q6" s="30">
        <v>700.0</v>
      </c>
      <c r="R6" s="30">
        <v>91.0</v>
      </c>
      <c r="S6" s="30">
        <v>0.0</v>
      </c>
      <c r="T6" s="30">
        <v>0.5932</v>
      </c>
      <c r="U6" s="30">
        <v>2.9661</v>
      </c>
      <c r="V6" s="30">
        <v>605.44</v>
      </c>
      <c r="W6" s="30">
        <v>0.0</v>
      </c>
      <c r="X6" s="28" t="s">
        <v>142</v>
      </c>
      <c r="Y6" s="28" t="s">
        <v>56</v>
      </c>
      <c r="Z6" s="28" t="s">
        <v>57</v>
      </c>
      <c r="AA6" s="28" t="s">
        <v>145</v>
      </c>
      <c r="AB6" s="30">
        <v>2.0</v>
      </c>
      <c r="AC6" s="28" t="s">
        <v>146</v>
      </c>
      <c r="AD6" s="28" t="s">
        <v>148</v>
      </c>
      <c r="AE6" s="31" t="s">
        <v>61</v>
      </c>
      <c r="AF6" s="28"/>
      <c r="AG6" s="28"/>
      <c r="AH6" s="28"/>
      <c r="AI6" s="30">
        <v>593.22</v>
      </c>
      <c r="AJ6" s="30">
        <v>53.39</v>
      </c>
      <c r="AK6" s="30">
        <v>53.39</v>
      </c>
      <c r="AL6" s="31"/>
      <c r="AM6" s="30">
        <v>700.0</v>
      </c>
      <c r="AN6" s="28"/>
      <c r="AO6" s="28"/>
      <c r="AP6" s="30">
        <v>0.0</v>
      </c>
      <c r="AQ6" s="18"/>
      <c r="AR6" s="25"/>
      <c r="AS6" s="16"/>
      <c r="AT6" s="18"/>
      <c r="AU6" s="19"/>
      <c r="AV6" s="26"/>
      <c r="AW6" s="16"/>
      <c r="AX6" s="20"/>
    </row>
    <row r="7">
      <c r="A7" s="33" t="s">
        <v>38</v>
      </c>
      <c r="B7" s="34"/>
      <c r="C7" s="34"/>
      <c r="D7" s="36"/>
      <c r="E7" s="34"/>
      <c r="F7" s="34"/>
      <c r="G7" s="34"/>
      <c r="H7" s="34"/>
      <c r="I7" s="37"/>
      <c r="J7" s="37"/>
      <c r="K7" s="37"/>
      <c r="L7" s="37"/>
      <c r="M7" s="37"/>
      <c r="N7" s="37"/>
      <c r="O7" s="37"/>
      <c r="P7" s="37"/>
      <c r="Q7" s="37">
        <f t="shared" ref="Q7:R7" si="1">SUM(Q2:Q6)</f>
        <v>4400</v>
      </c>
      <c r="R7" s="37">
        <f t="shared" si="1"/>
        <v>572</v>
      </c>
      <c r="S7" s="37"/>
      <c r="T7" s="37">
        <f t="shared" ref="T7:V7" si="2">SUM(T2:T6)</f>
        <v>3.7288</v>
      </c>
      <c r="U7" s="37">
        <f t="shared" si="2"/>
        <v>18.6442</v>
      </c>
      <c r="V7" s="37">
        <f t="shared" si="2"/>
        <v>3805.63</v>
      </c>
      <c r="W7" s="34"/>
      <c r="X7" s="34"/>
      <c r="Y7" s="34"/>
      <c r="Z7" s="34"/>
      <c r="AA7" s="37"/>
      <c r="AB7" s="34"/>
      <c r="AC7" s="34"/>
      <c r="AD7" s="34"/>
      <c r="AE7" s="39"/>
      <c r="AF7" s="34"/>
      <c r="AG7" s="34"/>
      <c r="AH7" s="37"/>
      <c r="AI7" s="37"/>
      <c r="AJ7" s="37"/>
      <c r="AK7" s="34"/>
      <c r="AL7" s="41"/>
      <c r="AM7" s="34"/>
      <c r="AN7" s="34"/>
      <c r="AO7" s="37"/>
      <c r="AP7" s="43"/>
      <c r="AQ7" s="18"/>
      <c r="AR7" s="25"/>
      <c r="AS7" s="16"/>
      <c r="AT7" s="18"/>
      <c r="AU7" s="19"/>
      <c r="AV7" s="26"/>
      <c r="AW7" s="16"/>
      <c r="AX7" s="20"/>
    </row>
    <row r="8">
      <c r="A8" s="28"/>
      <c r="B8" s="28"/>
      <c r="C8" s="28"/>
      <c r="D8" s="29"/>
      <c r="E8" s="28"/>
      <c r="F8" s="28"/>
      <c r="G8" s="28"/>
      <c r="H8" s="28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28"/>
      <c r="X8" s="28"/>
      <c r="Y8" s="28"/>
      <c r="Z8" s="28"/>
      <c r="AA8" s="30"/>
      <c r="AB8" s="28"/>
      <c r="AC8" s="46"/>
      <c r="AD8" s="28"/>
      <c r="AE8" s="31"/>
      <c r="AF8" s="28"/>
      <c r="AG8" s="28"/>
      <c r="AH8" s="48"/>
      <c r="AI8" s="30"/>
      <c r="AJ8" s="30"/>
      <c r="AK8" s="28"/>
      <c r="AL8" s="22"/>
      <c r="AM8" s="31"/>
      <c r="AN8" s="28"/>
      <c r="AO8" s="30"/>
      <c r="AP8" s="49"/>
      <c r="AQ8" s="20"/>
      <c r="AR8" s="49"/>
      <c r="AS8" s="20"/>
      <c r="AT8" s="20"/>
      <c r="AU8" s="49"/>
      <c r="AV8" s="50"/>
      <c r="AW8" s="20"/>
      <c r="AX8" s="20"/>
    </row>
    <row r="9">
      <c r="A9" s="28"/>
      <c r="B9" s="28"/>
      <c r="C9" s="28"/>
      <c r="D9" s="29"/>
      <c r="E9" s="28"/>
      <c r="F9" s="28"/>
      <c r="G9" s="28"/>
      <c r="H9" s="28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28"/>
      <c r="X9" s="28"/>
      <c r="Y9" s="28"/>
      <c r="Z9" s="28"/>
      <c r="AA9" s="30"/>
      <c r="AB9" s="28"/>
      <c r="AC9" s="46"/>
      <c r="AD9" s="28"/>
      <c r="AE9" s="31"/>
      <c r="AF9" s="28"/>
      <c r="AG9" s="28"/>
      <c r="AH9" s="48"/>
      <c r="AI9" s="30"/>
      <c r="AJ9" s="22"/>
      <c r="AK9" s="31"/>
      <c r="AL9" s="22"/>
      <c r="AM9" s="31"/>
      <c r="AN9" s="28"/>
      <c r="AO9" s="30"/>
      <c r="AP9" s="49"/>
      <c r="AQ9" s="20"/>
      <c r="AR9" s="49"/>
      <c r="AS9" s="20"/>
      <c r="AT9" s="20"/>
      <c r="AU9" s="49"/>
      <c r="AV9" s="50"/>
      <c r="AW9" s="20"/>
      <c r="AX9" s="20"/>
    </row>
    <row r="10">
      <c r="A10" s="28"/>
      <c r="B10" s="28"/>
      <c r="C10" s="28"/>
      <c r="D10" s="29"/>
      <c r="E10" s="28"/>
      <c r="F10" s="28"/>
      <c r="G10" s="28"/>
      <c r="H10" s="28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28"/>
      <c r="X10" s="28"/>
      <c r="Y10" s="28"/>
      <c r="Z10" s="28"/>
      <c r="AA10" s="30"/>
      <c r="AB10" s="28"/>
      <c r="AC10" s="46"/>
      <c r="AD10" s="28"/>
      <c r="AE10" s="31"/>
      <c r="AF10" s="28"/>
      <c r="AG10" s="28"/>
      <c r="AH10" s="48"/>
      <c r="AI10" s="30"/>
      <c r="AJ10" s="30"/>
      <c r="AK10" s="28"/>
      <c r="AL10" s="22"/>
      <c r="AM10" s="31"/>
      <c r="AN10" s="28"/>
      <c r="AO10" s="30"/>
      <c r="AP10" s="49"/>
      <c r="AQ10" s="20"/>
      <c r="AR10" s="49"/>
      <c r="AS10" s="20"/>
      <c r="AT10" s="20"/>
      <c r="AU10" s="49"/>
      <c r="AV10" s="50"/>
      <c r="AW10" s="20"/>
      <c r="AX10" s="20"/>
    </row>
    <row r="11">
      <c r="A11" s="28"/>
      <c r="B11" s="28"/>
      <c r="C11" s="28"/>
      <c r="D11" s="56"/>
      <c r="E11" s="28"/>
      <c r="F11" s="28"/>
      <c r="G11" s="28"/>
      <c r="H11" s="28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28"/>
      <c r="X11" s="28"/>
      <c r="Y11" s="28"/>
      <c r="Z11" s="28"/>
      <c r="AA11" s="30"/>
      <c r="AB11" s="28"/>
      <c r="AC11" s="46"/>
      <c r="AD11" s="28"/>
      <c r="AE11" s="28"/>
      <c r="AF11" s="28"/>
      <c r="AG11" s="28"/>
      <c r="AH11" s="48"/>
      <c r="AI11" s="30"/>
      <c r="AJ11" s="22"/>
      <c r="AK11" s="31"/>
      <c r="AL11" s="30"/>
      <c r="AM11" s="28"/>
      <c r="AN11" s="28"/>
      <c r="AO11" s="30"/>
      <c r="AP11" s="49"/>
      <c r="AQ11" s="20"/>
      <c r="AR11" s="49"/>
      <c r="AS11" s="57"/>
      <c r="AT11" s="57"/>
      <c r="AU11" s="49"/>
      <c r="AV11" s="50"/>
      <c r="AW11" s="57"/>
      <c r="AX11" s="57"/>
    </row>
    <row r="12">
      <c r="A12" s="28"/>
      <c r="B12" s="28"/>
      <c r="C12" s="28"/>
      <c r="D12" s="56"/>
      <c r="E12" s="28"/>
      <c r="F12" s="28"/>
      <c r="G12" s="28"/>
      <c r="H12" s="28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28"/>
      <c r="X12" s="28"/>
      <c r="Y12" s="28"/>
      <c r="Z12" s="28"/>
      <c r="AA12" s="30"/>
      <c r="AB12" s="28"/>
      <c r="AC12" s="46"/>
      <c r="AD12" s="28"/>
      <c r="AE12" s="28"/>
      <c r="AF12" s="28"/>
      <c r="AG12" s="28"/>
      <c r="AH12" s="48"/>
      <c r="AI12" s="30"/>
      <c r="AJ12" s="30"/>
      <c r="AK12" s="28"/>
      <c r="AL12" s="30"/>
      <c r="AM12" s="28"/>
      <c r="AN12" s="28"/>
      <c r="AO12" s="30"/>
      <c r="AP12" s="49"/>
      <c r="AQ12" s="20"/>
      <c r="AR12" s="49"/>
      <c r="AS12" s="57"/>
      <c r="AT12" s="57"/>
      <c r="AU12" s="49"/>
      <c r="AV12" s="50"/>
      <c r="AW12" s="57"/>
      <c r="AX12" s="57"/>
    </row>
    <row r="13">
      <c r="A13" s="28"/>
      <c r="B13" s="28"/>
      <c r="C13" s="28"/>
      <c r="D13" s="56"/>
      <c r="E13" s="28"/>
      <c r="F13" s="28"/>
      <c r="G13" s="28"/>
      <c r="H13" s="28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28"/>
      <c r="X13" s="28"/>
      <c r="Y13" s="28"/>
      <c r="Z13" s="28"/>
      <c r="AA13" s="30"/>
      <c r="AB13" s="28"/>
      <c r="AC13" s="46"/>
      <c r="AD13" s="28"/>
      <c r="AE13" s="28"/>
      <c r="AF13" s="28"/>
      <c r="AG13" s="28"/>
      <c r="AH13" s="48"/>
      <c r="AI13" s="30"/>
      <c r="AJ13" s="30"/>
      <c r="AK13" s="28"/>
      <c r="AL13" s="30"/>
      <c r="AM13" s="28"/>
      <c r="AN13" s="28"/>
      <c r="AO13" s="30"/>
      <c r="AP13" s="49"/>
      <c r="AQ13" s="20"/>
      <c r="AR13" s="49"/>
      <c r="AS13" s="57"/>
      <c r="AT13" s="57"/>
      <c r="AU13" s="49"/>
      <c r="AV13" s="50"/>
      <c r="AW13" s="57"/>
      <c r="AX13" s="57"/>
    </row>
    <row r="14">
      <c r="A14" s="28"/>
      <c r="B14" s="28"/>
      <c r="C14" s="28"/>
      <c r="D14" s="56"/>
      <c r="E14" s="28"/>
      <c r="F14" s="28"/>
      <c r="G14" s="28"/>
      <c r="H14" s="28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28"/>
      <c r="X14" s="28"/>
      <c r="Y14" s="28"/>
      <c r="Z14" s="28"/>
      <c r="AA14" s="30"/>
      <c r="AB14" s="28"/>
      <c r="AC14" s="46"/>
      <c r="AD14" s="28"/>
      <c r="AE14" s="28"/>
      <c r="AF14" s="28"/>
      <c r="AG14" s="28"/>
      <c r="AH14" s="48"/>
      <c r="AI14" s="30"/>
      <c r="AJ14" s="30"/>
      <c r="AK14" s="28"/>
      <c r="AL14" s="30"/>
      <c r="AM14" s="28"/>
      <c r="AN14" s="28"/>
      <c r="AO14" s="30"/>
      <c r="AP14" s="59"/>
      <c r="AQ14" s="60"/>
      <c r="AR14" s="59"/>
      <c r="AS14" s="61"/>
      <c r="AT14" s="61"/>
      <c r="AU14" s="59"/>
      <c r="AV14" s="6"/>
      <c r="AW14" s="61"/>
      <c r="AX14" s="57"/>
    </row>
    <row r="15">
      <c r="A15" s="28"/>
      <c r="B15" s="28"/>
      <c r="C15" s="28"/>
      <c r="D15" s="29"/>
      <c r="E15" s="28"/>
      <c r="F15" s="28"/>
      <c r="G15" s="28"/>
      <c r="H15" s="28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28"/>
      <c r="X15" s="28"/>
      <c r="Y15" s="28"/>
      <c r="Z15" s="28"/>
      <c r="AA15" s="30"/>
      <c r="AB15" s="28"/>
      <c r="AC15" s="46"/>
      <c r="AD15" s="28"/>
      <c r="AE15" s="31"/>
      <c r="AF15" s="28"/>
      <c r="AG15" s="28"/>
      <c r="AH15" s="48"/>
      <c r="AI15" s="30"/>
      <c r="AJ15" s="22"/>
      <c r="AK15" s="31"/>
      <c r="AL15" s="22"/>
      <c r="AM15" s="31"/>
      <c r="AN15" s="28"/>
      <c r="AO15" s="30"/>
      <c r="AP15" s="49"/>
      <c r="AQ15" s="20"/>
      <c r="AR15" s="49"/>
      <c r="AS15" s="20"/>
      <c r="AT15" s="20"/>
      <c r="AU15" s="49"/>
      <c r="AV15" s="50"/>
      <c r="AW15" s="20"/>
      <c r="AX15" s="20"/>
    </row>
    <row r="16">
      <c r="A16" s="28"/>
      <c r="B16" s="28"/>
      <c r="C16" s="28"/>
      <c r="D16" s="29"/>
      <c r="E16" s="28"/>
      <c r="F16" s="28"/>
      <c r="G16" s="28"/>
      <c r="H16" s="28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28"/>
      <c r="X16" s="28"/>
      <c r="Y16" s="28"/>
      <c r="Z16" s="28"/>
      <c r="AA16" s="30"/>
      <c r="AB16" s="28"/>
      <c r="AC16" s="46"/>
      <c r="AD16" s="28"/>
      <c r="AE16" s="65"/>
      <c r="AF16" s="28"/>
      <c r="AG16" s="28"/>
      <c r="AH16" s="48"/>
      <c r="AI16" s="30"/>
      <c r="AJ16" s="30"/>
      <c r="AK16" s="28"/>
      <c r="AL16" s="30"/>
      <c r="AM16" s="31"/>
      <c r="AN16" s="28"/>
      <c r="AO16" s="30"/>
      <c r="AP16" s="49"/>
      <c r="AQ16" s="20"/>
      <c r="AR16" s="49"/>
      <c r="AS16" s="20"/>
      <c r="AT16" s="20"/>
      <c r="AU16" s="49"/>
      <c r="AV16" s="50"/>
      <c r="AW16" s="20"/>
      <c r="AX16" s="20"/>
    </row>
    <row r="17">
      <c r="A17" s="28"/>
      <c r="B17" s="28"/>
      <c r="C17" s="28"/>
      <c r="D17" s="29"/>
      <c r="E17" s="28"/>
      <c r="F17" s="28"/>
      <c r="G17" s="28"/>
      <c r="H17" s="28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28"/>
      <c r="X17" s="28"/>
      <c r="Y17" s="28"/>
      <c r="Z17" s="28"/>
      <c r="AA17" s="30"/>
      <c r="AB17" s="28"/>
      <c r="AC17" s="46"/>
      <c r="AD17" s="28"/>
      <c r="AE17" s="31"/>
      <c r="AF17" s="28"/>
      <c r="AG17" s="28"/>
      <c r="AH17" s="48"/>
      <c r="AI17" s="30"/>
      <c r="AJ17" s="22"/>
      <c r="AK17" s="31"/>
      <c r="AL17" s="22"/>
      <c r="AM17" s="31"/>
      <c r="AN17" s="28"/>
      <c r="AO17" s="30"/>
      <c r="AP17" s="49"/>
      <c r="AQ17" s="20"/>
      <c r="AR17" s="49"/>
      <c r="AS17" s="20"/>
      <c r="AT17" s="20"/>
      <c r="AU17" s="49"/>
      <c r="AV17" s="50"/>
      <c r="AW17" s="49"/>
      <c r="AX17" s="49"/>
    </row>
    <row r="18">
      <c r="A18" s="28"/>
      <c r="B18" s="28"/>
      <c r="C18" s="28"/>
      <c r="D18" s="56"/>
      <c r="E18" s="28"/>
      <c r="F18" s="28"/>
      <c r="G18" s="28"/>
      <c r="H18" s="28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8"/>
      <c r="X18" s="28"/>
      <c r="Y18" s="28"/>
      <c r="Z18" s="28"/>
      <c r="AA18" s="30"/>
      <c r="AB18" s="28"/>
      <c r="AC18" s="46"/>
      <c r="AD18" s="28"/>
      <c r="AE18" s="28"/>
      <c r="AF18" s="28"/>
      <c r="AG18" s="28"/>
      <c r="AH18" s="48"/>
      <c r="AI18" s="30"/>
      <c r="AJ18" s="30"/>
      <c r="AK18" s="28"/>
      <c r="AL18" s="30"/>
      <c r="AM18" s="28"/>
      <c r="AN18" s="28"/>
      <c r="AO18" s="30"/>
      <c r="AP18" s="59"/>
      <c r="AQ18" s="60"/>
      <c r="AR18" s="59"/>
      <c r="AS18" s="61"/>
      <c r="AT18" s="61"/>
      <c r="AU18" s="59"/>
      <c r="AV18" s="6"/>
      <c r="AW18" s="61"/>
      <c r="AX18" s="49"/>
    </row>
    <row r="19">
      <c r="A19" s="28"/>
      <c r="B19" s="28"/>
      <c r="C19" s="28"/>
      <c r="D19" s="29"/>
      <c r="E19" s="28"/>
      <c r="F19" s="28"/>
      <c r="G19" s="28"/>
      <c r="H19" s="28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8"/>
      <c r="X19" s="28"/>
      <c r="Y19" s="28"/>
      <c r="Z19" s="28"/>
      <c r="AA19" s="30"/>
      <c r="AB19" s="28"/>
      <c r="AC19" s="46"/>
      <c r="AD19" s="28"/>
      <c r="AE19" s="31"/>
      <c r="AF19" s="28"/>
      <c r="AG19" s="28"/>
      <c r="AH19" s="48"/>
      <c r="AI19" s="30"/>
      <c r="AJ19" s="30"/>
      <c r="AK19" s="28"/>
      <c r="AL19" s="22"/>
      <c r="AM19" s="31"/>
      <c r="AN19" s="28"/>
      <c r="AO19" s="30"/>
      <c r="AP19" s="49"/>
      <c r="AQ19" s="20"/>
      <c r="AR19" s="49"/>
      <c r="AS19" s="20"/>
      <c r="AT19" s="20"/>
      <c r="AU19" s="49"/>
      <c r="AV19" s="50"/>
      <c r="AW19" s="49"/>
      <c r="AX19" s="49"/>
    </row>
    <row r="20">
      <c r="A20" s="28"/>
      <c r="B20" s="28"/>
      <c r="C20" s="28"/>
      <c r="D20" s="28"/>
      <c r="E20" s="28"/>
      <c r="F20" s="28"/>
      <c r="G20" s="28"/>
      <c r="H20" s="28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8"/>
      <c r="X20" s="28"/>
      <c r="Y20" s="28"/>
      <c r="Z20" s="28"/>
      <c r="AA20" s="30"/>
      <c r="AB20" s="28"/>
      <c r="AC20" s="28"/>
      <c r="AD20" s="28"/>
      <c r="AE20" s="31"/>
      <c r="AF20" s="28"/>
      <c r="AG20" s="28"/>
      <c r="AH20" s="30"/>
      <c r="AI20" s="30"/>
      <c r="AJ20" s="30"/>
      <c r="AK20" s="28"/>
      <c r="AL20" s="22"/>
      <c r="AM20" s="31"/>
      <c r="AN20" s="28"/>
      <c r="AO20" s="30"/>
      <c r="AP20" s="49"/>
      <c r="AQ20" s="20"/>
      <c r="AR20" s="49"/>
      <c r="AS20" s="20"/>
      <c r="AT20" s="20"/>
      <c r="AU20" s="49"/>
      <c r="AV20" s="50"/>
      <c r="AW20" s="49"/>
      <c r="AX20" s="49"/>
    </row>
    <row r="21">
      <c r="A21" s="28"/>
      <c r="B21" s="28"/>
      <c r="C21" s="28"/>
      <c r="D21" s="28"/>
      <c r="E21" s="28"/>
      <c r="F21" s="28"/>
      <c r="G21" s="28"/>
      <c r="H21" s="28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8"/>
      <c r="X21" s="28"/>
      <c r="Y21" s="28"/>
      <c r="Z21" s="28"/>
      <c r="AA21" s="30"/>
      <c r="AB21" s="28"/>
      <c r="AC21" s="28"/>
      <c r="AD21" s="28"/>
      <c r="AE21" s="28"/>
      <c r="AF21" s="28"/>
      <c r="AG21" s="31"/>
      <c r="AH21" s="22"/>
      <c r="AI21" s="30"/>
      <c r="AJ21" s="30"/>
      <c r="AK21" s="28"/>
      <c r="AL21" s="22"/>
      <c r="AM21" s="31"/>
      <c r="AN21" s="31"/>
      <c r="AO21" s="22"/>
      <c r="AP21" s="20"/>
      <c r="AQ21" s="20"/>
      <c r="AR21" s="20"/>
      <c r="AS21" s="20"/>
      <c r="AT21" s="20"/>
      <c r="AU21" s="49"/>
      <c r="AV21" s="50"/>
      <c r="AW21" s="49"/>
      <c r="AX21" s="49"/>
    </row>
    <row r="22">
      <c r="A22" s="28"/>
      <c r="B22" s="28"/>
      <c r="C22" s="28"/>
      <c r="D22" s="28"/>
      <c r="E22" s="28"/>
      <c r="F22" s="28"/>
      <c r="G22" s="28"/>
      <c r="H22" s="28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8"/>
      <c r="X22" s="28"/>
      <c r="Y22" s="28"/>
      <c r="Z22" s="28"/>
      <c r="AA22" s="30"/>
      <c r="AB22" s="28"/>
      <c r="AC22" s="28"/>
      <c r="AD22" s="28"/>
      <c r="AE22" s="65"/>
      <c r="AF22" s="28"/>
      <c r="AG22" s="28"/>
      <c r="AH22" s="30"/>
      <c r="AI22" s="30"/>
      <c r="AJ22" s="30"/>
      <c r="AK22" s="28"/>
      <c r="AL22" s="30"/>
      <c r="AM22" s="31"/>
      <c r="AN22" s="28"/>
      <c r="AO22" s="30"/>
      <c r="AP22" s="49"/>
      <c r="AQ22" s="20"/>
      <c r="AR22" s="49"/>
      <c r="AS22" s="20"/>
      <c r="AT22" s="20"/>
      <c r="AU22" s="49"/>
      <c r="AV22" s="50"/>
      <c r="AW22" s="49"/>
      <c r="AX22" s="49"/>
    </row>
    <row r="23">
      <c r="A23" s="28"/>
      <c r="B23" s="28"/>
      <c r="C23" s="28"/>
      <c r="D23" s="28"/>
      <c r="E23" s="28"/>
      <c r="F23" s="28"/>
      <c r="G23" s="28"/>
      <c r="H23" s="28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8"/>
      <c r="X23" s="28"/>
      <c r="Y23" s="28"/>
      <c r="Z23" s="28"/>
      <c r="AA23" s="30"/>
      <c r="AB23" s="28"/>
      <c r="AC23" s="28"/>
      <c r="AD23" s="28"/>
      <c r="AE23" s="28"/>
      <c r="AF23" s="28"/>
      <c r="AG23" s="28"/>
      <c r="AH23" s="30"/>
      <c r="AI23" s="30"/>
      <c r="AJ23" s="30"/>
      <c r="AK23" s="28"/>
      <c r="AL23" s="30"/>
      <c r="AM23" s="28"/>
      <c r="AN23" s="28"/>
      <c r="AO23" s="30"/>
      <c r="AP23" s="49"/>
      <c r="AQ23" s="20"/>
      <c r="AR23" s="49"/>
      <c r="AS23" s="57"/>
      <c r="AT23" s="57"/>
      <c r="AU23" s="49"/>
      <c r="AV23" s="50"/>
      <c r="AW23" s="49"/>
      <c r="AX23" s="49"/>
    </row>
    <row r="24">
      <c r="A24" s="67"/>
      <c r="B24" s="66"/>
      <c r="C24" s="66"/>
      <c r="D24" s="66"/>
      <c r="E24" s="66"/>
      <c r="F24" s="66"/>
      <c r="G24" s="66"/>
      <c r="H24" s="66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6"/>
      <c r="X24" s="66"/>
      <c r="Y24" s="66"/>
      <c r="Z24" s="66"/>
      <c r="AA24" s="68"/>
      <c r="AB24" s="66"/>
      <c r="AC24" s="66"/>
      <c r="AD24" s="66"/>
      <c r="AE24" s="66"/>
      <c r="AF24" s="66"/>
      <c r="AG24" s="66"/>
      <c r="AH24" s="68"/>
      <c r="AI24" s="68"/>
      <c r="AJ24" s="68"/>
      <c r="AK24" s="66"/>
      <c r="AL24" s="68"/>
      <c r="AM24" s="66"/>
      <c r="AN24" s="66"/>
      <c r="AO24" s="68"/>
      <c r="AP24" s="49"/>
      <c r="AQ24" s="20"/>
      <c r="AR24" s="49"/>
      <c r="AS24" s="57"/>
      <c r="AT24" s="57"/>
      <c r="AU24" s="49"/>
      <c r="AV24" s="50"/>
      <c r="AW24" s="49"/>
      <c r="AX24" s="49"/>
    </row>
    <row r="25">
      <c r="A25" s="28"/>
      <c r="B25" s="28"/>
      <c r="C25" s="28"/>
      <c r="D25" s="28"/>
      <c r="E25" s="28"/>
      <c r="F25" s="28"/>
      <c r="G25" s="28"/>
      <c r="H25" s="28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8"/>
      <c r="X25" s="28"/>
      <c r="Y25" s="28"/>
      <c r="Z25" s="28"/>
      <c r="AA25" s="30"/>
      <c r="AB25" s="28"/>
      <c r="AC25" s="28"/>
      <c r="AD25" s="28"/>
      <c r="AE25" s="28"/>
      <c r="AF25" s="28"/>
      <c r="AG25" s="28"/>
      <c r="AH25" s="30"/>
      <c r="AI25" s="30"/>
      <c r="AJ25" s="30"/>
      <c r="AK25" s="28"/>
      <c r="AL25" s="30"/>
      <c r="AM25" s="28"/>
      <c r="AN25" s="28"/>
      <c r="AO25" s="30"/>
      <c r="AP25" s="49"/>
      <c r="AQ25" s="20"/>
      <c r="AR25" s="49"/>
      <c r="AS25" s="57"/>
      <c r="AT25" s="57"/>
      <c r="AU25" s="49"/>
      <c r="AV25" s="50"/>
      <c r="AW25" s="49"/>
      <c r="AX25" s="49"/>
    </row>
    <row r="26">
      <c r="A26" s="28"/>
      <c r="B26" s="28"/>
      <c r="C26" s="28"/>
      <c r="D26" s="28"/>
      <c r="E26" s="28"/>
      <c r="F26" s="28"/>
      <c r="G26" s="28"/>
      <c r="H26" s="28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8"/>
      <c r="X26" s="28"/>
      <c r="Y26" s="28"/>
      <c r="Z26" s="28"/>
      <c r="AA26" s="30"/>
      <c r="AB26" s="28"/>
      <c r="AC26" s="28"/>
      <c r="AD26" s="28"/>
      <c r="AE26" s="28"/>
      <c r="AF26" s="28"/>
      <c r="AG26" s="28"/>
      <c r="AH26" s="30"/>
      <c r="AI26" s="30"/>
      <c r="AJ26" s="22"/>
      <c r="AK26" s="31"/>
      <c r="AL26" s="30"/>
      <c r="AM26" s="28"/>
      <c r="AN26" s="28"/>
      <c r="AO26" s="30"/>
      <c r="AP26" s="49"/>
      <c r="AQ26" s="20"/>
      <c r="AR26" s="49"/>
      <c r="AS26" s="57"/>
      <c r="AT26" s="57"/>
      <c r="AU26" s="49"/>
      <c r="AV26" s="50"/>
      <c r="AW26" s="49"/>
      <c r="AX26" s="49"/>
    </row>
    <row r="27">
      <c r="A27" s="28"/>
      <c r="B27" s="28"/>
      <c r="C27" s="28"/>
      <c r="D27" s="28"/>
      <c r="E27" s="28"/>
      <c r="F27" s="28"/>
      <c r="G27" s="28"/>
      <c r="H27" s="28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8"/>
      <c r="X27" s="28"/>
      <c r="Y27" s="28"/>
      <c r="Z27" s="28"/>
      <c r="AA27" s="30"/>
      <c r="AB27" s="28"/>
      <c r="AC27" s="28"/>
      <c r="AD27" s="28"/>
      <c r="AE27" s="28"/>
      <c r="AF27" s="28"/>
      <c r="AG27" s="28"/>
      <c r="AH27" s="30"/>
      <c r="AI27" s="30"/>
      <c r="AJ27" s="22"/>
      <c r="AK27" s="31"/>
      <c r="AL27" s="30"/>
      <c r="AM27" s="28"/>
      <c r="AN27" s="28"/>
      <c r="AO27" s="30"/>
      <c r="AP27" s="49"/>
      <c r="AQ27" s="20"/>
      <c r="AR27" s="49"/>
      <c r="AS27" s="57"/>
      <c r="AT27" s="57"/>
      <c r="AU27" s="49"/>
      <c r="AV27" s="50"/>
      <c r="AW27" s="49"/>
      <c r="AX27" s="49"/>
    </row>
    <row r="28">
      <c r="A28" s="28"/>
      <c r="B28" s="28"/>
      <c r="C28" s="28"/>
      <c r="D28" s="28"/>
      <c r="E28" s="28"/>
      <c r="F28" s="28"/>
      <c r="G28" s="28"/>
      <c r="H28" s="28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8"/>
      <c r="X28" s="28"/>
      <c r="Y28" s="28"/>
      <c r="Z28" s="28"/>
      <c r="AA28" s="30"/>
      <c r="AB28" s="28"/>
      <c r="AC28" s="28"/>
      <c r="AD28" s="28"/>
      <c r="AE28" s="31"/>
      <c r="AF28" s="28"/>
      <c r="AG28" s="28"/>
      <c r="AH28" s="30"/>
      <c r="AI28" s="30"/>
      <c r="AJ28" s="22"/>
      <c r="AK28" s="31"/>
      <c r="AL28" s="22"/>
      <c r="AM28" s="31"/>
      <c r="AN28" s="28"/>
      <c r="AO28" s="30"/>
      <c r="AP28" s="49"/>
      <c r="AQ28" s="20"/>
      <c r="AR28" s="49"/>
      <c r="AS28" s="20"/>
      <c r="AT28" s="20"/>
      <c r="AU28" s="49"/>
      <c r="AV28" s="50"/>
      <c r="AW28" s="49"/>
      <c r="AX28" s="49"/>
    </row>
    <row r="29">
      <c r="A29" s="28"/>
      <c r="B29" s="28"/>
      <c r="C29" s="28"/>
      <c r="D29" s="28"/>
      <c r="E29" s="28"/>
      <c r="F29" s="28"/>
      <c r="G29" s="28"/>
      <c r="H29" s="28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8"/>
      <c r="X29" s="28"/>
      <c r="Y29" s="28"/>
      <c r="Z29" s="28"/>
      <c r="AA29" s="30"/>
      <c r="AB29" s="28"/>
      <c r="AC29" s="28"/>
      <c r="AD29" s="28"/>
      <c r="AE29" s="31"/>
      <c r="AF29" s="28"/>
      <c r="AG29" s="28"/>
      <c r="AH29" s="30"/>
      <c r="AI29" s="30"/>
      <c r="AJ29" s="30"/>
      <c r="AK29" s="31"/>
      <c r="AL29" s="22"/>
      <c r="AM29" s="31"/>
      <c r="AN29" s="28"/>
      <c r="AO29" s="30"/>
      <c r="AP29" s="49"/>
      <c r="AQ29" s="20"/>
      <c r="AR29" s="49"/>
      <c r="AS29" s="20"/>
      <c r="AT29" s="20"/>
      <c r="AU29" s="49"/>
      <c r="AV29" s="50"/>
      <c r="AW29" s="49"/>
      <c r="AX29" s="49"/>
    </row>
    <row r="30">
      <c r="A30" s="28"/>
      <c r="B30" s="28"/>
      <c r="C30" s="28"/>
      <c r="D30" s="28"/>
      <c r="E30" s="28"/>
      <c r="F30" s="28"/>
      <c r="G30" s="28"/>
      <c r="H30" s="28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28"/>
      <c r="X30" s="28"/>
      <c r="Y30" s="28"/>
      <c r="Z30" s="28"/>
      <c r="AA30" s="30"/>
      <c r="AB30" s="28"/>
      <c r="AC30" s="28"/>
      <c r="AD30" s="28"/>
      <c r="AE30" s="31"/>
      <c r="AF30" s="28"/>
      <c r="AG30" s="28"/>
      <c r="AH30" s="30"/>
      <c r="AI30" s="30"/>
      <c r="AJ30" s="30"/>
      <c r="AK30" s="28"/>
      <c r="AL30" s="22"/>
      <c r="AM30" s="31"/>
      <c r="AN30" s="28"/>
      <c r="AO30" s="30"/>
      <c r="AP30" s="49"/>
      <c r="AQ30" s="20"/>
      <c r="AR30" s="49"/>
      <c r="AS30" s="20"/>
      <c r="AT30" s="20"/>
      <c r="AU30" s="49"/>
      <c r="AV30" s="50"/>
      <c r="AW30" s="49"/>
      <c r="AX30" s="49"/>
    </row>
    <row r="31">
      <c r="A31" s="28"/>
      <c r="B31" s="28"/>
      <c r="C31" s="28"/>
      <c r="D31" s="28"/>
      <c r="E31" s="28"/>
      <c r="F31" s="28"/>
      <c r="G31" s="28"/>
      <c r="H31" s="28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28"/>
      <c r="X31" s="28"/>
      <c r="Y31" s="28"/>
      <c r="Z31" s="28"/>
      <c r="AA31" s="30"/>
      <c r="AB31" s="28"/>
      <c r="AC31" s="28"/>
      <c r="AD31" s="28"/>
      <c r="AE31" s="31"/>
      <c r="AF31" s="28"/>
      <c r="AG31" s="28"/>
      <c r="AH31" s="30"/>
      <c r="AI31" s="30"/>
      <c r="AJ31" s="30"/>
      <c r="AK31" s="28"/>
      <c r="AL31" s="22"/>
      <c r="AM31" s="31"/>
      <c r="AN31" s="28"/>
      <c r="AO31" s="30"/>
      <c r="AP31" s="49"/>
      <c r="AQ31" s="20"/>
      <c r="AR31" s="49"/>
      <c r="AS31" s="20"/>
      <c r="AT31" s="20"/>
      <c r="AU31" s="49"/>
      <c r="AV31" s="50"/>
      <c r="AW31" s="49"/>
      <c r="AX31" s="49"/>
    </row>
    <row r="32">
      <c r="A32" s="28"/>
      <c r="B32" s="28"/>
      <c r="C32" s="28"/>
      <c r="D32" s="28"/>
      <c r="E32" s="28"/>
      <c r="F32" s="28"/>
      <c r="G32" s="28"/>
      <c r="H32" s="28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8"/>
      <c r="X32" s="28"/>
      <c r="Y32" s="28"/>
      <c r="Z32" s="28"/>
      <c r="AA32" s="30"/>
      <c r="AB32" s="28"/>
      <c r="AC32" s="28"/>
      <c r="AD32" s="28"/>
      <c r="AE32" s="31"/>
      <c r="AF32" s="28"/>
      <c r="AG32" s="28"/>
      <c r="AH32" s="30"/>
      <c r="AI32" s="30"/>
      <c r="AJ32" s="22"/>
      <c r="AK32" s="31"/>
      <c r="AL32" s="22"/>
      <c r="AM32" s="31"/>
      <c r="AN32" s="28"/>
      <c r="AO32" s="30"/>
      <c r="AP32" s="49"/>
      <c r="AQ32" s="20"/>
      <c r="AR32" s="49"/>
      <c r="AS32" s="20"/>
      <c r="AT32" s="20"/>
      <c r="AU32" s="49"/>
      <c r="AV32" s="50"/>
      <c r="AW32" s="49"/>
      <c r="AX32" s="49"/>
    </row>
    <row r="33">
      <c r="A33" s="28"/>
      <c r="B33" s="28"/>
      <c r="C33" s="28"/>
      <c r="D33" s="28"/>
      <c r="E33" s="28"/>
      <c r="F33" s="28"/>
      <c r="G33" s="28"/>
      <c r="H33" s="28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8"/>
      <c r="X33" s="28"/>
      <c r="Y33" s="28"/>
      <c r="Z33" s="28"/>
      <c r="AA33" s="30"/>
      <c r="AB33" s="28"/>
      <c r="AC33" s="28"/>
      <c r="AD33" s="28"/>
      <c r="AE33" s="28"/>
      <c r="AF33" s="28"/>
      <c r="AG33" s="31"/>
      <c r="AH33" s="22"/>
      <c r="AI33" s="30"/>
      <c r="AJ33" s="30"/>
      <c r="AK33" s="28"/>
      <c r="AL33" s="22"/>
      <c r="AM33" s="31"/>
      <c r="AN33" s="31"/>
      <c r="AO33" s="22"/>
      <c r="AP33" s="20"/>
      <c r="AQ33" s="20"/>
      <c r="AR33" s="20"/>
      <c r="AS33" s="20"/>
      <c r="AT33" s="20"/>
      <c r="AU33" s="49"/>
      <c r="AV33" s="50"/>
      <c r="AW33" s="49"/>
      <c r="AX33" s="49"/>
    </row>
    <row r="34">
      <c r="A34" s="28"/>
      <c r="B34" s="28"/>
      <c r="C34" s="28"/>
      <c r="D34" s="28"/>
      <c r="E34" s="28"/>
      <c r="F34" s="28"/>
      <c r="G34" s="28"/>
      <c r="H34" s="28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8"/>
      <c r="X34" s="28"/>
      <c r="Y34" s="28"/>
      <c r="Z34" s="28"/>
      <c r="AA34" s="30"/>
      <c r="AB34" s="28"/>
      <c r="AC34" s="28"/>
      <c r="AD34" s="28"/>
      <c r="AE34" s="31"/>
      <c r="AF34" s="28"/>
      <c r="AG34" s="28"/>
      <c r="AH34" s="30"/>
      <c r="AI34" s="30"/>
      <c r="AJ34" s="22"/>
      <c r="AK34" s="31"/>
      <c r="AL34" s="22"/>
      <c r="AM34" s="31"/>
      <c r="AN34" s="28"/>
      <c r="AO34" s="30"/>
      <c r="AP34" s="49"/>
      <c r="AQ34" s="20"/>
      <c r="AR34" s="49"/>
      <c r="AS34" s="20"/>
      <c r="AT34" s="20"/>
      <c r="AU34" s="49"/>
      <c r="AV34" s="50"/>
      <c r="AW34" s="49"/>
      <c r="AX34" s="49"/>
    </row>
    <row r="35">
      <c r="A35" s="28"/>
      <c r="B35" s="28"/>
      <c r="C35" s="28"/>
      <c r="D35" s="28"/>
      <c r="E35" s="28"/>
      <c r="F35" s="28"/>
      <c r="G35" s="28"/>
      <c r="H35" s="28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8"/>
      <c r="X35" s="28"/>
      <c r="Y35" s="28"/>
      <c r="Z35" s="28"/>
      <c r="AA35" s="30"/>
      <c r="AB35" s="28"/>
      <c r="AC35" s="28"/>
      <c r="AD35" s="28"/>
      <c r="AE35" s="31"/>
      <c r="AF35" s="28"/>
      <c r="AG35" s="28"/>
      <c r="AH35" s="30"/>
      <c r="AI35" s="30"/>
      <c r="AJ35" s="30"/>
      <c r="AK35" s="28"/>
      <c r="AL35" s="22"/>
      <c r="AM35" s="31"/>
      <c r="AN35" s="28"/>
      <c r="AO35" s="30"/>
      <c r="AP35" s="49"/>
      <c r="AQ35" s="20"/>
      <c r="AR35" s="49"/>
      <c r="AS35" s="20"/>
      <c r="AT35" s="20"/>
      <c r="AU35" s="49"/>
      <c r="AV35" s="50"/>
      <c r="AW35" s="49"/>
      <c r="AX35" s="49"/>
    </row>
    <row r="36">
      <c r="A36" s="28"/>
      <c r="B36" s="28"/>
      <c r="C36" s="28"/>
      <c r="D36" s="28"/>
      <c r="E36" s="28"/>
      <c r="F36" s="28"/>
      <c r="G36" s="28"/>
      <c r="H36" s="28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8"/>
      <c r="X36" s="28"/>
      <c r="Y36" s="28"/>
      <c r="Z36" s="28"/>
      <c r="AA36" s="30"/>
      <c r="AB36" s="28"/>
      <c r="AC36" s="28"/>
      <c r="AD36" s="28"/>
      <c r="AE36" s="31"/>
      <c r="AF36" s="28"/>
      <c r="AG36" s="28"/>
      <c r="AH36" s="48"/>
      <c r="AI36" s="30"/>
      <c r="AJ36" s="22"/>
      <c r="AK36" s="31"/>
      <c r="AL36" s="22"/>
      <c r="AM36" s="31"/>
      <c r="AN36" s="28"/>
      <c r="AO36" s="30"/>
      <c r="AP36" s="49"/>
      <c r="AQ36" s="20"/>
      <c r="AR36" s="49"/>
      <c r="AS36" s="20"/>
      <c r="AT36" s="20"/>
      <c r="AU36" s="49"/>
      <c r="AV36" s="50"/>
      <c r="AW36" s="69"/>
      <c r="AX36" s="69"/>
    </row>
    <row r="37">
      <c r="A37" s="50"/>
      <c r="B37" s="50"/>
      <c r="C37" s="50"/>
      <c r="D37" s="49"/>
      <c r="E37" s="50"/>
      <c r="F37" s="50"/>
      <c r="G37" s="50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50"/>
      <c r="AB37" s="50"/>
      <c r="AC37" s="50"/>
      <c r="AD37" s="49"/>
      <c r="AE37" s="49"/>
      <c r="AF37" s="20"/>
      <c r="AG37" s="50"/>
      <c r="AH37" s="70"/>
      <c r="AI37" s="49"/>
      <c r="AJ37" s="50"/>
      <c r="AK37" s="20"/>
      <c r="AL37" s="20"/>
      <c r="AM37" s="20"/>
      <c r="AN37" s="20"/>
      <c r="AO37" s="49"/>
      <c r="AP37" s="49"/>
      <c r="AQ37" s="49"/>
      <c r="AR37" s="20"/>
      <c r="AS37" s="49"/>
      <c r="AT37" s="20"/>
      <c r="AU37" s="20"/>
      <c r="AV37" s="49"/>
      <c r="AW37" s="50"/>
      <c r="AX37" s="49"/>
    </row>
    <row r="38">
      <c r="A38" s="50"/>
      <c r="B38" s="50"/>
      <c r="C38" s="50"/>
      <c r="D38" s="49"/>
      <c r="E38" s="50"/>
      <c r="F38" s="50"/>
      <c r="G38" s="50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50"/>
      <c r="AB38" s="50"/>
      <c r="AC38" s="50"/>
      <c r="AD38" s="49"/>
      <c r="AE38" s="49"/>
      <c r="AF38" s="20"/>
      <c r="AG38" s="50"/>
      <c r="AH38" s="70"/>
      <c r="AI38" s="49"/>
      <c r="AJ38" s="50"/>
      <c r="AL38" s="20"/>
      <c r="AM38" s="20"/>
      <c r="AN38" s="20"/>
      <c r="AO38" s="49"/>
      <c r="AP38" s="49"/>
      <c r="AQ38" s="49"/>
      <c r="AR38" s="20"/>
      <c r="AS38" s="49"/>
      <c r="AT38" s="20"/>
      <c r="AU38" s="20"/>
      <c r="AV38" s="49"/>
      <c r="AW38" s="50"/>
      <c r="AX38" s="49"/>
    </row>
    <row r="39">
      <c r="A39" s="50"/>
      <c r="B39" s="50"/>
      <c r="C39" s="50"/>
      <c r="D39" s="49"/>
      <c r="E39" s="50"/>
      <c r="F39" s="50"/>
      <c r="G39" s="50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50"/>
      <c r="AB39" s="50"/>
      <c r="AC39" s="50"/>
      <c r="AD39" s="49"/>
      <c r="AE39" s="49"/>
      <c r="AF39" s="20"/>
      <c r="AG39" s="50"/>
      <c r="AH39" s="70"/>
      <c r="AI39" s="49"/>
      <c r="AJ39" s="50"/>
      <c r="AK39" s="20"/>
      <c r="AL39" s="20"/>
      <c r="AM39" s="20"/>
      <c r="AN39" s="20"/>
      <c r="AO39" s="49"/>
      <c r="AP39" s="49"/>
      <c r="AQ39" s="49"/>
      <c r="AR39" s="20"/>
      <c r="AS39" s="49"/>
      <c r="AT39" s="20"/>
      <c r="AU39" s="20"/>
      <c r="AV39" s="49"/>
      <c r="AW39" s="50"/>
      <c r="AX39" s="49"/>
    </row>
    <row r="40">
      <c r="A40" s="50"/>
      <c r="B40" s="50"/>
      <c r="C40" s="50"/>
      <c r="D40" s="49"/>
      <c r="E40" s="50"/>
      <c r="F40" s="50"/>
      <c r="G40" s="50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50"/>
      <c r="AB40" s="50"/>
      <c r="AC40" s="50"/>
      <c r="AD40" s="49"/>
      <c r="AE40" s="49"/>
      <c r="AF40" s="20"/>
      <c r="AG40" s="50"/>
      <c r="AH40" s="70"/>
      <c r="AI40" s="49"/>
      <c r="AJ40" s="50"/>
      <c r="AK40" s="20"/>
      <c r="AL40" s="20"/>
      <c r="AM40" s="20"/>
      <c r="AN40" s="20"/>
      <c r="AO40" s="49"/>
      <c r="AP40" s="49"/>
      <c r="AQ40" s="49"/>
      <c r="AR40" s="20"/>
      <c r="AS40" s="49"/>
      <c r="AT40" s="20"/>
      <c r="AU40" s="20"/>
      <c r="AV40" s="49"/>
      <c r="AW40" s="50"/>
      <c r="AX40" s="49"/>
    </row>
    <row r="41">
      <c r="A41" s="50"/>
      <c r="B41" s="50"/>
      <c r="C41" s="50"/>
      <c r="D41" s="49"/>
      <c r="E41" s="50"/>
      <c r="F41" s="50"/>
      <c r="G41" s="50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50"/>
      <c r="AB41" s="50"/>
      <c r="AC41" s="50"/>
      <c r="AD41" s="49"/>
      <c r="AE41" s="49"/>
      <c r="AF41" s="20"/>
      <c r="AG41" s="50"/>
      <c r="AH41" s="70"/>
      <c r="AI41" s="49"/>
      <c r="AJ41" s="50"/>
      <c r="AK41" s="20"/>
      <c r="AL41" s="20"/>
      <c r="AM41" s="20"/>
      <c r="AN41" s="20"/>
      <c r="AO41" s="49"/>
      <c r="AP41" s="49"/>
      <c r="AQ41" s="49"/>
      <c r="AR41" s="20"/>
      <c r="AS41" s="49"/>
      <c r="AT41" s="20"/>
      <c r="AU41" s="20"/>
      <c r="AV41" s="49"/>
      <c r="AW41" s="50"/>
      <c r="AX41" s="49"/>
    </row>
    <row r="42">
      <c r="A42" s="50"/>
      <c r="B42" s="50"/>
      <c r="C42" s="50"/>
      <c r="D42" s="49"/>
      <c r="E42" s="50"/>
      <c r="F42" s="50"/>
      <c r="G42" s="50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50"/>
      <c r="AB42" s="50"/>
      <c r="AC42" s="50"/>
      <c r="AD42" s="49"/>
      <c r="AE42" s="49"/>
      <c r="AF42" s="20"/>
      <c r="AG42" s="50"/>
      <c r="AH42" s="70"/>
      <c r="AI42" s="49"/>
      <c r="AJ42" s="50"/>
      <c r="AK42" s="20"/>
      <c r="AL42" s="20"/>
      <c r="AM42" s="20"/>
      <c r="AN42" s="20"/>
      <c r="AO42" s="49"/>
      <c r="AP42" s="49"/>
      <c r="AQ42" s="49"/>
      <c r="AR42" s="20"/>
      <c r="AS42" s="49"/>
      <c r="AT42" s="20"/>
      <c r="AU42" s="20"/>
      <c r="AV42" s="49"/>
      <c r="AW42" s="50"/>
      <c r="AX42" s="49"/>
    </row>
    <row r="43">
      <c r="A43" s="71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</row>
  </sheetData>
  <mergeCells count="1">
    <mergeCell ref="AJ38:AK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5" t="s">
        <v>42</v>
      </c>
      <c r="B2" s="5" t="s">
        <v>43</v>
      </c>
      <c r="C2" s="5" t="s">
        <v>44</v>
      </c>
      <c r="D2" s="5" t="s">
        <v>45</v>
      </c>
      <c r="E2" s="8">
        <v>46214.0</v>
      </c>
      <c r="F2" s="5" t="s">
        <v>50</v>
      </c>
      <c r="G2" s="9"/>
      <c r="H2" s="5" t="s">
        <v>54</v>
      </c>
      <c r="I2" s="5" t="s">
        <v>53</v>
      </c>
      <c r="J2" s="11">
        <v>1400.0</v>
      </c>
      <c r="K2" s="11">
        <v>0.0</v>
      </c>
      <c r="L2" s="11">
        <v>0.0</v>
      </c>
      <c r="M2" s="11">
        <v>0.0</v>
      </c>
      <c r="N2" s="11">
        <v>0.0</v>
      </c>
      <c r="O2" s="11">
        <v>0.0</v>
      </c>
      <c r="P2" s="11">
        <v>0.0</v>
      </c>
      <c r="Q2" s="11">
        <v>1000.0</v>
      </c>
      <c r="R2" s="11">
        <v>120.0</v>
      </c>
      <c r="S2" s="11">
        <v>0.0</v>
      </c>
      <c r="T2" s="11">
        <v>1.0</v>
      </c>
      <c r="U2" s="11">
        <v>0.0</v>
      </c>
      <c r="V2" s="11">
        <v>879.0</v>
      </c>
      <c r="W2" s="11">
        <v>0.0</v>
      </c>
      <c r="X2" s="5" t="s">
        <v>62</v>
      </c>
      <c r="Y2" s="5" t="s">
        <v>63</v>
      </c>
      <c r="Z2" s="5" t="s">
        <v>57</v>
      </c>
      <c r="AA2" s="17">
        <v>46214.87391203704</v>
      </c>
      <c r="AB2" s="11">
        <v>4.0</v>
      </c>
      <c r="AC2" s="27" t="s">
        <v>66</v>
      </c>
      <c r="AD2" s="17">
        <v>46215.50109953704</v>
      </c>
      <c r="AE2" s="5" t="s">
        <v>116</v>
      </c>
      <c r="AF2" s="9"/>
      <c r="AG2" s="9"/>
      <c r="AH2" s="9"/>
      <c r="AI2" s="9"/>
      <c r="AJ2" s="9"/>
      <c r="AK2" s="9"/>
      <c r="AL2" s="9"/>
      <c r="AM2" s="11">
        <v>2400.0</v>
      </c>
      <c r="AN2" s="9"/>
      <c r="AO2" s="9"/>
      <c r="AP2" s="11">
        <v>0.0</v>
      </c>
    </row>
    <row r="3">
      <c r="A3" s="5" t="s">
        <v>42</v>
      </c>
      <c r="B3" s="5" t="s">
        <v>123</v>
      </c>
      <c r="C3" s="5" t="s">
        <v>44</v>
      </c>
      <c r="D3" s="5" t="s">
        <v>45</v>
      </c>
      <c r="E3" s="8">
        <v>46207.0</v>
      </c>
      <c r="F3" s="5" t="s">
        <v>124</v>
      </c>
      <c r="G3" s="9"/>
      <c r="H3" s="5" t="s">
        <v>125</v>
      </c>
      <c r="I3" s="5" t="s">
        <v>53</v>
      </c>
      <c r="J3" s="11">
        <v>0.0</v>
      </c>
      <c r="K3" s="11">
        <v>0.0</v>
      </c>
      <c r="L3" s="11">
        <v>0.0</v>
      </c>
      <c r="M3" s="11">
        <v>0.0</v>
      </c>
      <c r="N3" s="11">
        <v>0.0</v>
      </c>
      <c r="O3" s="11">
        <v>0.0</v>
      </c>
      <c r="P3" s="11">
        <v>0.0</v>
      </c>
      <c r="Q3" s="11">
        <v>2400.0</v>
      </c>
      <c r="R3" s="11">
        <v>120.0</v>
      </c>
      <c r="S3" s="11">
        <v>0.0</v>
      </c>
      <c r="T3" s="11">
        <v>2.4</v>
      </c>
      <c r="U3" s="11">
        <v>0.0</v>
      </c>
      <c r="V3" s="11">
        <v>2277.6</v>
      </c>
      <c r="W3" s="11">
        <v>0.0</v>
      </c>
      <c r="X3" s="5" t="s">
        <v>135</v>
      </c>
      <c r="Y3" s="5" t="s">
        <v>63</v>
      </c>
      <c r="Z3" s="5" t="s">
        <v>57</v>
      </c>
      <c r="AA3" s="17">
        <v>46207.74953703704</v>
      </c>
      <c r="AB3" s="11">
        <v>4.0</v>
      </c>
      <c r="AC3" s="27" t="s">
        <v>139</v>
      </c>
      <c r="AD3" s="17">
        <v>46208.251435185186</v>
      </c>
      <c r="AE3" s="5" t="s">
        <v>116</v>
      </c>
      <c r="AF3" s="9"/>
      <c r="AG3" s="9"/>
      <c r="AH3" s="9"/>
      <c r="AI3" s="9"/>
      <c r="AJ3" s="9"/>
      <c r="AK3" s="9"/>
      <c r="AL3" s="9"/>
      <c r="AM3" s="11">
        <v>2400.0</v>
      </c>
      <c r="AN3" s="9"/>
      <c r="AO3" s="9"/>
      <c r="AP3" s="11">
        <v>0.0</v>
      </c>
    </row>
    <row r="4">
      <c r="A4" s="5" t="s">
        <v>42</v>
      </c>
      <c r="B4" s="5" t="s">
        <v>160</v>
      </c>
      <c r="C4" s="5" t="s">
        <v>44</v>
      </c>
      <c r="D4" s="5" t="s">
        <v>45</v>
      </c>
      <c r="E4" s="8">
        <v>46221.0</v>
      </c>
      <c r="F4" s="5" t="s">
        <v>161</v>
      </c>
      <c r="G4" s="9"/>
      <c r="H4" s="5" t="s">
        <v>162</v>
      </c>
      <c r="I4" s="5" t="s">
        <v>53</v>
      </c>
      <c r="J4" s="11">
        <v>0.0</v>
      </c>
      <c r="K4" s="11">
        <v>0.0</v>
      </c>
      <c r="L4" s="11">
        <v>0.0</v>
      </c>
      <c r="M4" s="11">
        <v>0.0</v>
      </c>
      <c r="N4" s="11">
        <v>0.0</v>
      </c>
      <c r="O4" s="11">
        <v>0.0</v>
      </c>
      <c r="P4" s="11">
        <v>0.0</v>
      </c>
      <c r="Q4" s="11">
        <v>1200.0</v>
      </c>
      <c r="R4" s="11">
        <v>60.0</v>
      </c>
      <c r="S4" s="11">
        <v>0.0</v>
      </c>
      <c r="T4" s="11">
        <v>1.2</v>
      </c>
      <c r="U4" s="11">
        <v>0.0</v>
      </c>
      <c r="V4" s="11">
        <v>1138.8</v>
      </c>
      <c r="W4" s="11">
        <v>0.0</v>
      </c>
      <c r="X4" s="5" t="s">
        <v>165</v>
      </c>
      <c r="Y4" s="5" t="s">
        <v>63</v>
      </c>
      <c r="Z4" s="5" t="s">
        <v>57</v>
      </c>
      <c r="AA4" s="17">
        <v>46221.9468287037</v>
      </c>
      <c r="AB4" s="11">
        <v>2.0</v>
      </c>
      <c r="AC4" s="27" t="s">
        <v>166</v>
      </c>
      <c r="AD4" s="17">
        <v>46222.25231481482</v>
      </c>
      <c r="AE4" s="5" t="s">
        <v>116</v>
      </c>
      <c r="AF4" s="9"/>
      <c r="AG4" s="9"/>
      <c r="AH4" s="9"/>
      <c r="AI4" s="9"/>
      <c r="AJ4" s="9"/>
      <c r="AK4" s="9"/>
      <c r="AL4" s="9"/>
      <c r="AM4" s="11">
        <v>1200.0</v>
      </c>
      <c r="AN4" s="9"/>
      <c r="AO4" s="9"/>
      <c r="AP4" s="11">
        <v>0.0</v>
      </c>
    </row>
    <row r="5">
      <c r="A5" s="38" t="s">
        <v>38</v>
      </c>
      <c r="B5" s="40"/>
      <c r="C5" s="40"/>
      <c r="D5" s="40"/>
      <c r="E5" s="40"/>
      <c r="F5" s="40"/>
      <c r="G5" s="40"/>
      <c r="H5" s="40"/>
      <c r="I5" s="40"/>
      <c r="J5" s="40">
        <f>SUM(J2:J4)</f>
        <v>1400</v>
      </c>
      <c r="K5" s="40"/>
      <c r="L5" s="40"/>
      <c r="M5" s="40"/>
      <c r="N5" s="40"/>
      <c r="O5" s="40"/>
      <c r="P5" s="40"/>
      <c r="Q5" s="40">
        <f t="shared" ref="Q5:V5" si="1">SUM(Q2:Q4)</f>
        <v>4600</v>
      </c>
      <c r="R5" s="40">
        <f t="shared" si="1"/>
        <v>300</v>
      </c>
      <c r="S5" s="40">
        <f t="shared" si="1"/>
        <v>0</v>
      </c>
      <c r="T5" s="40">
        <f t="shared" si="1"/>
        <v>4.6</v>
      </c>
      <c r="U5" s="40">
        <f t="shared" si="1"/>
        <v>0</v>
      </c>
      <c r="V5" s="40">
        <f t="shared" si="1"/>
        <v>4295.4</v>
      </c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</row>
    <row r="6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40">
        <f>J5+Q5</f>
        <v>6000</v>
      </c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</row>
  </sheetData>
  <hyperlinks>
    <hyperlink r:id="rId1" ref="AC2"/>
    <hyperlink r:id="rId2" ref="AC3"/>
    <hyperlink r:id="rId3" ref="AC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</row>
    <row r="2">
      <c r="A2" s="12" t="s">
        <v>42</v>
      </c>
      <c r="B2" s="12" t="s">
        <v>70</v>
      </c>
      <c r="C2" s="12" t="s">
        <v>71</v>
      </c>
      <c r="D2" s="12" t="s">
        <v>72</v>
      </c>
      <c r="E2" s="12" t="s">
        <v>74</v>
      </c>
      <c r="F2" s="12" t="s">
        <v>76</v>
      </c>
      <c r="G2" s="12"/>
      <c r="H2" s="12" t="s">
        <v>78</v>
      </c>
      <c r="I2" s="12" t="s">
        <v>53</v>
      </c>
      <c r="J2" s="15">
        <v>0.0</v>
      </c>
      <c r="K2" s="15">
        <v>0.0</v>
      </c>
      <c r="L2" s="15">
        <v>0.0</v>
      </c>
      <c r="M2" s="15">
        <v>0.0</v>
      </c>
      <c r="N2" s="15">
        <v>0.0</v>
      </c>
      <c r="O2" s="15">
        <v>0.0</v>
      </c>
      <c r="P2" s="15">
        <v>0.0</v>
      </c>
      <c r="Q2" s="15">
        <v>798.0</v>
      </c>
      <c r="R2" s="15">
        <v>103.74</v>
      </c>
      <c r="S2" s="15">
        <v>0.0</v>
      </c>
      <c r="T2" s="15">
        <v>0.6763</v>
      </c>
      <c r="U2" s="15">
        <v>3.3814</v>
      </c>
      <c r="V2" s="15">
        <v>690.2</v>
      </c>
      <c r="W2" s="15">
        <v>0.0</v>
      </c>
      <c r="X2" s="12" t="s">
        <v>88</v>
      </c>
      <c r="Y2" s="12" t="s">
        <v>56</v>
      </c>
      <c r="Z2" s="12" t="s">
        <v>57</v>
      </c>
      <c r="AA2" s="12" t="s">
        <v>91</v>
      </c>
      <c r="AB2" s="15">
        <v>2.0</v>
      </c>
      <c r="AC2" s="12" t="s">
        <v>93</v>
      </c>
      <c r="AD2" s="12" t="s">
        <v>94</v>
      </c>
      <c r="AE2" s="12" t="s">
        <v>95</v>
      </c>
      <c r="AF2" s="12"/>
      <c r="AG2" s="12"/>
      <c r="AH2" s="12"/>
      <c r="AI2" s="15">
        <v>676.27</v>
      </c>
      <c r="AJ2" s="15">
        <v>60.865</v>
      </c>
      <c r="AK2" s="15">
        <v>60.865</v>
      </c>
      <c r="AL2" s="12"/>
      <c r="AM2" s="15">
        <v>798.0</v>
      </c>
      <c r="AN2" s="12"/>
      <c r="AO2" s="12"/>
      <c r="AP2" s="15">
        <v>0.0</v>
      </c>
    </row>
    <row r="3">
      <c r="A3" s="12" t="s">
        <v>42</v>
      </c>
      <c r="B3" s="12" t="s">
        <v>98</v>
      </c>
      <c r="C3" s="12" t="s">
        <v>71</v>
      </c>
      <c r="D3" s="12" t="s">
        <v>72</v>
      </c>
      <c r="E3" s="12" t="s">
        <v>49</v>
      </c>
      <c r="F3" s="12" t="s">
        <v>104</v>
      </c>
      <c r="G3" s="12"/>
      <c r="H3" s="12" t="s">
        <v>105</v>
      </c>
      <c r="I3" s="12" t="s">
        <v>53</v>
      </c>
      <c r="J3" s="15">
        <v>0.0</v>
      </c>
      <c r="K3" s="15">
        <v>0.0</v>
      </c>
      <c r="L3" s="15">
        <v>0.0</v>
      </c>
      <c r="M3" s="15">
        <v>0.0</v>
      </c>
      <c r="N3" s="15">
        <v>0.0</v>
      </c>
      <c r="O3" s="15">
        <v>0.0</v>
      </c>
      <c r="P3" s="15">
        <v>0.0</v>
      </c>
      <c r="Q3" s="15">
        <v>798.0</v>
      </c>
      <c r="R3" s="15">
        <v>103.74</v>
      </c>
      <c r="S3" s="15">
        <v>0.0</v>
      </c>
      <c r="T3" s="15">
        <v>0.6763</v>
      </c>
      <c r="U3" s="15">
        <v>3.3814</v>
      </c>
      <c r="V3" s="15">
        <v>690.2</v>
      </c>
      <c r="W3" s="15">
        <v>0.0</v>
      </c>
      <c r="X3" s="12" t="s">
        <v>112</v>
      </c>
      <c r="Y3" s="12" t="s">
        <v>56</v>
      </c>
      <c r="Z3" s="12" t="s">
        <v>57</v>
      </c>
      <c r="AA3" s="12" t="s">
        <v>115</v>
      </c>
      <c r="AB3" s="15">
        <v>2.0</v>
      </c>
      <c r="AC3" s="12" t="s">
        <v>118</v>
      </c>
      <c r="AD3" s="12" t="s">
        <v>120</v>
      </c>
      <c r="AE3" s="12" t="s">
        <v>61</v>
      </c>
      <c r="AF3" s="12"/>
      <c r="AG3" s="12"/>
      <c r="AH3" s="12"/>
      <c r="AI3" s="15">
        <v>676.27</v>
      </c>
      <c r="AJ3" s="15">
        <v>60.865</v>
      </c>
      <c r="AK3" s="15">
        <v>60.865</v>
      </c>
      <c r="AL3" s="12"/>
      <c r="AM3" s="15">
        <v>798.0</v>
      </c>
      <c r="AN3" s="12"/>
      <c r="AO3" s="12"/>
      <c r="AP3" s="15">
        <v>0.0</v>
      </c>
    </row>
    <row r="4">
      <c r="A4" s="12" t="s">
        <v>42</v>
      </c>
      <c r="B4" s="12" t="s">
        <v>128</v>
      </c>
      <c r="C4" s="12" t="s">
        <v>71</v>
      </c>
      <c r="D4" s="12" t="s">
        <v>72</v>
      </c>
      <c r="E4" s="12" t="s">
        <v>73</v>
      </c>
      <c r="F4" s="12" t="s">
        <v>137</v>
      </c>
      <c r="G4" s="12"/>
      <c r="H4" s="12" t="s">
        <v>138</v>
      </c>
      <c r="I4" s="12" t="s">
        <v>53</v>
      </c>
      <c r="J4" s="15">
        <v>0.0</v>
      </c>
      <c r="K4" s="15">
        <v>0.0</v>
      </c>
      <c r="L4" s="15">
        <v>0.0</v>
      </c>
      <c r="M4" s="15">
        <v>0.0</v>
      </c>
      <c r="N4" s="15">
        <v>0.0</v>
      </c>
      <c r="O4" s="15">
        <v>159.6</v>
      </c>
      <c r="P4" s="15">
        <v>0.0</v>
      </c>
      <c r="Q4" s="15">
        <v>638.4</v>
      </c>
      <c r="R4" s="15">
        <v>82.99</v>
      </c>
      <c r="S4" s="15">
        <v>0.0</v>
      </c>
      <c r="T4" s="15">
        <v>0.541</v>
      </c>
      <c r="U4" s="15">
        <v>2.7051</v>
      </c>
      <c r="V4" s="15">
        <v>552.16</v>
      </c>
      <c r="W4" s="15">
        <v>0.0</v>
      </c>
      <c r="X4" s="12" t="s">
        <v>147</v>
      </c>
      <c r="Y4" s="12" t="s">
        <v>56</v>
      </c>
      <c r="Z4" s="12" t="s">
        <v>57</v>
      </c>
      <c r="AA4" s="12" t="s">
        <v>149</v>
      </c>
      <c r="AB4" s="15">
        <v>2.0</v>
      </c>
      <c r="AC4" s="12" t="s">
        <v>150</v>
      </c>
      <c r="AD4" s="12" t="s">
        <v>151</v>
      </c>
      <c r="AE4" s="12" t="s">
        <v>61</v>
      </c>
      <c r="AF4" s="12"/>
      <c r="AG4" s="12"/>
      <c r="AH4" s="12"/>
      <c r="AI4" s="15">
        <v>541.02</v>
      </c>
      <c r="AJ4" s="15">
        <v>48.69</v>
      </c>
      <c r="AK4" s="15">
        <v>48.69</v>
      </c>
      <c r="AL4" s="12"/>
      <c r="AM4" s="15">
        <v>638.4</v>
      </c>
      <c r="AN4" s="12"/>
      <c r="AO4" s="12"/>
      <c r="AP4" s="15">
        <v>0.0</v>
      </c>
    </row>
    <row r="5">
      <c r="A5" s="12" t="s">
        <v>42</v>
      </c>
      <c r="B5" s="12" t="s">
        <v>152</v>
      </c>
      <c r="C5" s="12" t="s">
        <v>71</v>
      </c>
      <c r="D5" s="12" t="s">
        <v>72</v>
      </c>
      <c r="E5" s="12" t="s">
        <v>153</v>
      </c>
      <c r="F5" s="12" t="s">
        <v>154</v>
      </c>
      <c r="G5" s="12"/>
      <c r="H5" s="12" t="s">
        <v>155</v>
      </c>
      <c r="I5" s="12" t="s">
        <v>53</v>
      </c>
      <c r="J5" s="15">
        <v>0.0</v>
      </c>
      <c r="K5" s="15">
        <v>0.0</v>
      </c>
      <c r="L5" s="15">
        <v>0.0</v>
      </c>
      <c r="M5" s="15">
        <v>0.0</v>
      </c>
      <c r="N5" s="15">
        <v>0.0</v>
      </c>
      <c r="O5" s="15">
        <v>159.6</v>
      </c>
      <c r="P5" s="15">
        <v>0.0</v>
      </c>
      <c r="Q5" s="15">
        <v>638.4</v>
      </c>
      <c r="R5" s="15">
        <v>82.99</v>
      </c>
      <c r="S5" s="15">
        <v>0.0</v>
      </c>
      <c r="T5" s="15">
        <v>0.541</v>
      </c>
      <c r="U5" s="15">
        <v>2.7051</v>
      </c>
      <c r="V5" s="15">
        <v>552.16</v>
      </c>
      <c r="W5" s="15">
        <v>0.0</v>
      </c>
      <c r="X5" s="12" t="s">
        <v>156</v>
      </c>
      <c r="Y5" s="12" t="s">
        <v>56</v>
      </c>
      <c r="Z5" s="12" t="s">
        <v>57</v>
      </c>
      <c r="AA5" s="12" t="s">
        <v>157</v>
      </c>
      <c r="AB5" s="15">
        <v>2.0</v>
      </c>
      <c r="AC5" s="12" t="s">
        <v>158</v>
      </c>
      <c r="AD5" s="12" t="s">
        <v>159</v>
      </c>
      <c r="AE5" s="12" t="s">
        <v>61</v>
      </c>
      <c r="AF5" s="12"/>
      <c r="AG5" s="12"/>
      <c r="AH5" s="12"/>
      <c r="AI5" s="15">
        <v>541.02</v>
      </c>
      <c r="AJ5" s="15">
        <v>48.69</v>
      </c>
      <c r="AK5" s="15">
        <v>48.69</v>
      </c>
      <c r="AL5" s="12"/>
      <c r="AM5" s="15">
        <v>638.4</v>
      </c>
      <c r="AN5" s="12"/>
      <c r="AO5" s="12"/>
      <c r="AP5" s="15">
        <v>0.0</v>
      </c>
    </row>
    <row r="6">
      <c r="A6" s="12" t="s">
        <v>42</v>
      </c>
      <c r="B6" s="12" t="s">
        <v>128</v>
      </c>
      <c r="C6" s="12" t="s">
        <v>71</v>
      </c>
      <c r="D6" s="12" t="s">
        <v>72</v>
      </c>
      <c r="E6" s="12" t="s">
        <v>153</v>
      </c>
      <c r="F6" s="12" t="s">
        <v>163</v>
      </c>
      <c r="G6" s="12"/>
      <c r="H6" s="12" t="s">
        <v>164</v>
      </c>
      <c r="I6" s="12" t="s">
        <v>53</v>
      </c>
      <c r="J6" s="15">
        <v>0.0</v>
      </c>
      <c r="K6" s="15">
        <v>0.0</v>
      </c>
      <c r="L6" s="15">
        <v>0.0</v>
      </c>
      <c r="M6" s="15">
        <v>0.0</v>
      </c>
      <c r="N6" s="15">
        <v>0.0</v>
      </c>
      <c r="O6" s="15">
        <v>0.0</v>
      </c>
      <c r="P6" s="15">
        <v>0.0</v>
      </c>
      <c r="Q6" s="15">
        <v>399.0</v>
      </c>
      <c r="R6" s="15">
        <v>51.87</v>
      </c>
      <c r="S6" s="15">
        <v>0.0</v>
      </c>
      <c r="T6" s="15">
        <v>0.3381</v>
      </c>
      <c r="U6" s="15">
        <v>1.6907</v>
      </c>
      <c r="V6" s="15">
        <v>345.1</v>
      </c>
      <c r="W6" s="15">
        <v>0.0</v>
      </c>
      <c r="X6" s="12" t="s">
        <v>167</v>
      </c>
      <c r="Y6" s="12" t="s">
        <v>56</v>
      </c>
      <c r="Z6" s="12" t="s">
        <v>57</v>
      </c>
      <c r="AA6" s="12" t="s">
        <v>168</v>
      </c>
      <c r="AB6" s="15">
        <v>1.0</v>
      </c>
      <c r="AC6" s="12" t="s">
        <v>169</v>
      </c>
      <c r="AD6" s="12" t="s">
        <v>170</v>
      </c>
      <c r="AE6" s="12" t="s">
        <v>61</v>
      </c>
      <c r="AF6" s="12"/>
      <c r="AG6" s="12"/>
      <c r="AH6" s="12"/>
      <c r="AI6" s="15">
        <v>338.14</v>
      </c>
      <c r="AJ6" s="15">
        <v>30.435</v>
      </c>
      <c r="AK6" s="15">
        <v>30.435</v>
      </c>
      <c r="AL6" s="12"/>
      <c r="AM6" s="15">
        <v>399.0</v>
      </c>
      <c r="AN6" s="12"/>
      <c r="AO6" s="12"/>
      <c r="AP6" s="15">
        <v>0.0</v>
      </c>
    </row>
    <row r="7">
      <c r="A7" s="12" t="s">
        <v>42</v>
      </c>
      <c r="B7" s="12" t="s">
        <v>171</v>
      </c>
      <c r="C7" s="12" t="s">
        <v>71</v>
      </c>
      <c r="D7" s="12" t="s">
        <v>72</v>
      </c>
      <c r="E7" s="12" t="s">
        <v>172</v>
      </c>
      <c r="F7" s="12" t="s">
        <v>173</v>
      </c>
      <c r="G7" s="12"/>
      <c r="H7" s="12" t="s">
        <v>174</v>
      </c>
      <c r="I7" s="12" t="s">
        <v>53</v>
      </c>
      <c r="J7" s="15">
        <v>0.0</v>
      </c>
      <c r="K7" s="15">
        <v>0.0</v>
      </c>
      <c r="L7" s="15">
        <v>0.0</v>
      </c>
      <c r="M7" s="15">
        <v>0.0</v>
      </c>
      <c r="N7" s="15">
        <v>0.0</v>
      </c>
      <c r="O7" s="15">
        <v>0.0</v>
      </c>
      <c r="P7" s="15">
        <v>0.0</v>
      </c>
      <c r="Q7" s="15">
        <v>3192.0</v>
      </c>
      <c r="R7" s="15">
        <v>414.96</v>
      </c>
      <c r="S7" s="15">
        <v>0.0</v>
      </c>
      <c r="T7" s="15">
        <v>2.7051</v>
      </c>
      <c r="U7" s="15">
        <v>13.5255</v>
      </c>
      <c r="V7" s="15">
        <v>2760.81</v>
      </c>
      <c r="W7" s="15">
        <v>0.0</v>
      </c>
      <c r="X7" s="12" t="s">
        <v>175</v>
      </c>
      <c r="Y7" s="12" t="s">
        <v>56</v>
      </c>
      <c r="Z7" s="12" t="s">
        <v>57</v>
      </c>
      <c r="AA7" s="12" t="s">
        <v>176</v>
      </c>
      <c r="AB7" s="15">
        <v>8.0</v>
      </c>
      <c r="AC7" s="12" t="s">
        <v>177</v>
      </c>
      <c r="AD7" s="12" t="s">
        <v>178</v>
      </c>
      <c r="AE7" s="12" t="s">
        <v>179</v>
      </c>
      <c r="AF7" s="12"/>
      <c r="AG7" s="12"/>
      <c r="AH7" s="12"/>
      <c r="AI7" s="15">
        <v>2705.08</v>
      </c>
      <c r="AJ7" s="15">
        <v>243.455</v>
      </c>
      <c r="AK7" s="15">
        <v>243.455</v>
      </c>
      <c r="AL7" s="12"/>
      <c r="AM7" s="15">
        <v>3192.0</v>
      </c>
      <c r="AN7" s="12"/>
      <c r="AO7" s="12"/>
      <c r="AP7" s="15">
        <v>0.0</v>
      </c>
    </row>
    <row r="8">
      <c r="A8" s="12" t="s">
        <v>42</v>
      </c>
      <c r="B8" s="12" t="s">
        <v>180</v>
      </c>
      <c r="C8" s="12" t="s">
        <v>71</v>
      </c>
      <c r="D8" s="12" t="s">
        <v>72</v>
      </c>
      <c r="E8" s="12" t="s">
        <v>181</v>
      </c>
      <c r="F8" s="12" t="s">
        <v>182</v>
      </c>
      <c r="G8" s="12"/>
      <c r="H8" s="12" t="s">
        <v>183</v>
      </c>
      <c r="I8" s="12" t="s">
        <v>53</v>
      </c>
      <c r="J8" s="15">
        <v>0.0</v>
      </c>
      <c r="K8" s="15">
        <v>0.0</v>
      </c>
      <c r="L8" s="15">
        <v>0.0</v>
      </c>
      <c r="M8" s="15">
        <v>0.0</v>
      </c>
      <c r="N8" s="15">
        <v>0.0</v>
      </c>
      <c r="O8" s="15">
        <v>0.0</v>
      </c>
      <c r="P8" s="15">
        <v>0.0</v>
      </c>
      <c r="Q8" s="15">
        <v>798.0</v>
      </c>
      <c r="R8" s="15">
        <v>103.74</v>
      </c>
      <c r="S8" s="15">
        <v>0.0</v>
      </c>
      <c r="T8" s="15">
        <v>0.6763</v>
      </c>
      <c r="U8" s="15">
        <v>3.3814</v>
      </c>
      <c r="V8" s="15">
        <v>690.2</v>
      </c>
      <c r="W8" s="15">
        <v>0.0</v>
      </c>
      <c r="X8" s="12" t="s">
        <v>184</v>
      </c>
      <c r="Y8" s="12" t="s">
        <v>56</v>
      </c>
      <c r="Z8" s="12" t="s">
        <v>57</v>
      </c>
      <c r="AA8" s="12" t="s">
        <v>185</v>
      </c>
      <c r="AB8" s="15">
        <v>2.0</v>
      </c>
      <c r="AC8" s="12" t="s">
        <v>186</v>
      </c>
      <c r="AD8" s="12" t="s">
        <v>187</v>
      </c>
      <c r="AE8" s="12" t="s">
        <v>95</v>
      </c>
      <c r="AF8" s="12"/>
      <c r="AG8" s="12"/>
      <c r="AH8" s="12"/>
      <c r="AI8" s="15">
        <v>676.27</v>
      </c>
      <c r="AJ8" s="15">
        <v>60.865</v>
      </c>
      <c r="AK8" s="15">
        <v>60.865</v>
      </c>
      <c r="AL8" s="12"/>
      <c r="AM8" s="15">
        <v>798.0</v>
      </c>
      <c r="AN8" s="12"/>
      <c r="AO8" s="12"/>
      <c r="AP8" s="15">
        <v>0.0</v>
      </c>
    </row>
    <row r="9">
      <c r="A9" s="12" t="s">
        <v>42</v>
      </c>
      <c r="B9" s="12" t="s">
        <v>188</v>
      </c>
      <c r="C9" s="12" t="s">
        <v>71</v>
      </c>
      <c r="D9" s="12" t="s">
        <v>72</v>
      </c>
      <c r="E9" s="12" t="s">
        <v>189</v>
      </c>
      <c r="F9" s="12" t="s">
        <v>190</v>
      </c>
      <c r="G9" s="12"/>
      <c r="H9" s="12" t="s">
        <v>191</v>
      </c>
      <c r="I9" s="12" t="s">
        <v>53</v>
      </c>
      <c r="J9" s="15">
        <v>0.0</v>
      </c>
      <c r="K9" s="15">
        <v>89.7</v>
      </c>
      <c r="L9" s="15">
        <v>0.0</v>
      </c>
      <c r="M9" s="15">
        <v>0.0</v>
      </c>
      <c r="N9" s="15">
        <v>0.0</v>
      </c>
      <c r="O9" s="15">
        <v>159.6</v>
      </c>
      <c r="P9" s="15">
        <v>0.0</v>
      </c>
      <c r="Q9" s="15">
        <v>548.7</v>
      </c>
      <c r="R9" s="15">
        <v>82.99</v>
      </c>
      <c r="S9" s="15">
        <v>0.0</v>
      </c>
      <c r="T9" s="15">
        <v>0.541</v>
      </c>
      <c r="U9" s="15">
        <v>2.7051</v>
      </c>
      <c r="V9" s="15">
        <v>552.16</v>
      </c>
      <c r="W9" s="15">
        <v>0.0</v>
      </c>
      <c r="X9" s="12" t="s">
        <v>192</v>
      </c>
      <c r="Y9" s="12" t="s">
        <v>56</v>
      </c>
      <c r="Z9" s="12" t="s">
        <v>57</v>
      </c>
      <c r="AA9" s="12" t="s">
        <v>193</v>
      </c>
      <c r="AB9" s="15">
        <v>2.0</v>
      </c>
      <c r="AC9" s="12" t="s">
        <v>194</v>
      </c>
      <c r="AD9" s="12" t="s">
        <v>195</v>
      </c>
      <c r="AE9" s="12" t="s">
        <v>95</v>
      </c>
      <c r="AF9" s="12"/>
      <c r="AG9" s="12"/>
      <c r="AH9" s="12"/>
      <c r="AI9" s="15">
        <v>541.02</v>
      </c>
      <c r="AJ9" s="15">
        <v>48.69</v>
      </c>
      <c r="AK9" s="15">
        <v>48.69</v>
      </c>
      <c r="AL9" s="12"/>
      <c r="AM9" s="15">
        <v>638.4</v>
      </c>
      <c r="AN9" s="12"/>
      <c r="AO9" s="12"/>
      <c r="AP9" s="15">
        <v>0.0</v>
      </c>
    </row>
    <row r="10">
      <c r="A10" s="12" t="s">
        <v>42</v>
      </c>
      <c r="B10" s="12" t="s">
        <v>196</v>
      </c>
      <c r="C10" s="12" t="s">
        <v>71</v>
      </c>
      <c r="D10" s="12" t="s">
        <v>72</v>
      </c>
      <c r="E10" s="12" t="s">
        <v>197</v>
      </c>
      <c r="F10" s="12" t="s">
        <v>198</v>
      </c>
      <c r="G10" s="12"/>
      <c r="H10" s="12" t="s">
        <v>199</v>
      </c>
      <c r="I10" s="12" t="s">
        <v>53</v>
      </c>
      <c r="J10" s="15">
        <v>0.0</v>
      </c>
      <c r="K10" s="15">
        <v>0.0</v>
      </c>
      <c r="L10" s="15">
        <v>0.0</v>
      </c>
      <c r="M10" s="15">
        <v>0.0</v>
      </c>
      <c r="N10" s="15">
        <v>0.0</v>
      </c>
      <c r="O10" s="15">
        <v>0.0</v>
      </c>
      <c r="P10" s="15">
        <v>0.0</v>
      </c>
      <c r="Q10" s="15">
        <v>798.0</v>
      </c>
      <c r="R10" s="15">
        <v>103.74</v>
      </c>
      <c r="S10" s="15">
        <v>0.0</v>
      </c>
      <c r="T10" s="15">
        <v>0.6763</v>
      </c>
      <c r="U10" s="15">
        <v>3.3814</v>
      </c>
      <c r="V10" s="15">
        <v>690.2</v>
      </c>
      <c r="W10" s="15">
        <v>0.0</v>
      </c>
      <c r="X10" s="12" t="s">
        <v>200</v>
      </c>
      <c r="Y10" s="12" t="s">
        <v>56</v>
      </c>
      <c r="Z10" s="12" t="s">
        <v>57</v>
      </c>
      <c r="AA10" s="12" t="s">
        <v>201</v>
      </c>
      <c r="AB10" s="15">
        <v>2.0</v>
      </c>
      <c r="AC10" s="12" t="s">
        <v>202</v>
      </c>
      <c r="AD10" s="12" t="s">
        <v>203</v>
      </c>
      <c r="AE10" s="12" t="s">
        <v>61</v>
      </c>
      <c r="AF10" s="12"/>
      <c r="AG10" s="12"/>
      <c r="AH10" s="12"/>
      <c r="AI10" s="15">
        <v>676.27</v>
      </c>
      <c r="AJ10" s="15">
        <v>60.865</v>
      </c>
      <c r="AK10" s="15">
        <v>60.865</v>
      </c>
      <c r="AL10" s="12"/>
      <c r="AM10" s="15">
        <v>798.0</v>
      </c>
      <c r="AN10" s="12"/>
      <c r="AO10" s="12"/>
      <c r="AP10" s="15">
        <v>0.0</v>
      </c>
    </row>
    <row r="11">
      <c r="A11" s="7" t="s">
        <v>42</v>
      </c>
      <c r="B11" s="12" t="s">
        <v>196</v>
      </c>
      <c r="C11" s="12" t="s">
        <v>71</v>
      </c>
      <c r="D11" s="12" t="s">
        <v>72</v>
      </c>
      <c r="E11" s="12" t="s">
        <v>204</v>
      </c>
      <c r="F11" s="12" t="s">
        <v>205</v>
      </c>
      <c r="G11" s="12"/>
      <c r="H11" s="12" t="s">
        <v>206</v>
      </c>
      <c r="I11" s="12" t="s">
        <v>53</v>
      </c>
      <c r="J11" s="15">
        <v>0.0</v>
      </c>
      <c r="K11" s="15">
        <v>0.0</v>
      </c>
      <c r="L11" s="15">
        <v>0.0</v>
      </c>
      <c r="M11" s="15">
        <v>0.0</v>
      </c>
      <c r="N11" s="15">
        <v>0.0</v>
      </c>
      <c r="O11" s="15">
        <v>0.0</v>
      </c>
      <c r="P11" s="15">
        <v>0.0</v>
      </c>
      <c r="Q11" s="15">
        <v>798.0</v>
      </c>
      <c r="R11" s="15">
        <v>103.74</v>
      </c>
      <c r="S11" s="15">
        <v>0.0</v>
      </c>
      <c r="T11" s="15">
        <v>0.6763</v>
      </c>
      <c r="U11" s="15">
        <v>3.3814</v>
      </c>
      <c r="V11" s="15">
        <v>690.2</v>
      </c>
      <c r="W11" s="15">
        <v>0.0</v>
      </c>
      <c r="X11" s="12" t="s">
        <v>207</v>
      </c>
      <c r="Y11" s="12" t="s">
        <v>56</v>
      </c>
      <c r="Z11" s="12" t="s">
        <v>57</v>
      </c>
      <c r="AA11" s="12" t="s">
        <v>208</v>
      </c>
      <c r="AB11" s="15">
        <v>2.0</v>
      </c>
      <c r="AC11" s="12" t="s">
        <v>209</v>
      </c>
      <c r="AD11" s="12" t="s">
        <v>210</v>
      </c>
      <c r="AE11" s="12" t="s">
        <v>61</v>
      </c>
      <c r="AF11" s="12"/>
      <c r="AG11" s="12"/>
      <c r="AH11" s="12"/>
      <c r="AI11" s="15">
        <v>676.27</v>
      </c>
      <c r="AJ11" s="15">
        <v>60.865</v>
      </c>
      <c r="AK11" s="15">
        <v>60.865</v>
      </c>
      <c r="AL11" s="12"/>
      <c r="AM11" s="15">
        <v>798.0</v>
      </c>
      <c r="AN11" s="12"/>
      <c r="AO11" s="12"/>
      <c r="AP11" s="15">
        <v>0.0</v>
      </c>
    </row>
    <row r="12">
      <c r="A12" s="12" t="s">
        <v>42</v>
      </c>
      <c r="B12" s="12" t="s">
        <v>211</v>
      </c>
      <c r="C12" s="12" t="s">
        <v>71</v>
      </c>
      <c r="D12" s="12" t="s">
        <v>72</v>
      </c>
      <c r="E12" s="12" t="s">
        <v>212</v>
      </c>
      <c r="F12" s="12" t="s">
        <v>213</v>
      </c>
      <c r="G12" s="12"/>
      <c r="H12" s="12" t="s">
        <v>214</v>
      </c>
      <c r="I12" s="12" t="s">
        <v>53</v>
      </c>
      <c r="J12" s="15">
        <v>0.0</v>
      </c>
      <c r="K12" s="15">
        <v>0.0</v>
      </c>
      <c r="L12" s="15">
        <v>0.0</v>
      </c>
      <c r="M12" s="15">
        <v>0.0</v>
      </c>
      <c r="N12" s="15">
        <v>0.0</v>
      </c>
      <c r="O12" s="15">
        <v>0.0</v>
      </c>
      <c r="P12" s="15">
        <v>0.0</v>
      </c>
      <c r="Q12" s="15">
        <v>1197.0</v>
      </c>
      <c r="R12" s="15">
        <v>155.61</v>
      </c>
      <c r="S12" s="15">
        <v>0.0</v>
      </c>
      <c r="T12" s="15">
        <v>1.0144</v>
      </c>
      <c r="U12" s="15">
        <v>5.072</v>
      </c>
      <c r="V12" s="15">
        <v>1035.3</v>
      </c>
      <c r="W12" s="15">
        <v>0.0</v>
      </c>
      <c r="X12" s="12" t="s">
        <v>215</v>
      </c>
      <c r="Y12" s="12" t="s">
        <v>56</v>
      </c>
      <c r="Z12" s="12" t="s">
        <v>57</v>
      </c>
      <c r="AA12" s="12" t="s">
        <v>216</v>
      </c>
      <c r="AB12" s="15">
        <v>3.0</v>
      </c>
      <c r="AC12" s="12" t="s">
        <v>217</v>
      </c>
      <c r="AD12" s="12" t="s">
        <v>218</v>
      </c>
      <c r="AE12" s="12" t="s">
        <v>95</v>
      </c>
      <c r="AF12" s="12"/>
      <c r="AG12" s="12"/>
      <c r="AH12" s="12"/>
      <c r="AI12" s="15">
        <v>1014.41</v>
      </c>
      <c r="AJ12" s="15">
        <v>91.295</v>
      </c>
      <c r="AK12" s="15">
        <v>91.295</v>
      </c>
      <c r="AL12" s="12"/>
      <c r="AM12" s="15">
        <v>1197.0</v>
      </c>
      <c r="AN12" s="12"/>
      <c r="AO12" s="12"/>
      <c r="AP12" s="15">
        <v>0.0</v>
      </c>
    </row>
    <row r="13">
      <c r="A13" s="38" t="s">
        <v>38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>
        <f t="shared" ref="Q13:R13" si="1">SUM(Q2:Q12)</f>
        <v>10603.5</v>
      </c>
      <c r="R13" s="40">
        <f t="shared" si="1"/>
        <v>1390.11</v>
      </c>
      <c r="S13" s="40"/>
      <c r="T13" s="40">
        <f t="shared" ref="T13:V13" si="2">SUM(T2:T12)</f>
        <v>9.0621</v>
      </c>
      <c r="U13" s="40">
        <f t="shared" si="2"/>
        <v>45.3105</v>
      </c>
      <c r="V13" s="40">
        <f t="shared" si="2"/>
        <v>9248.69</v>
      </c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4"/>
      <c r="AR1" s="14"/>
      <c r="AS1" s="14"/>
      <c r="AT1" s="14"/>
      <c r="AU1" s="14"/>
      <c r="AV1" s="14"/>
      <c r="AW1" s="14"/>
    </row>
    <row r="2">
      <c r="A2" s="12" t="s">
        <v>42</v>
      </c>
      <c r="B2" s="12" t="s">
        <v>64</v>
      </c>
      <c r="C2" s="12" t="s">
        <v>65</v>
      </c>
      <c r="D2" s="12" t="s">
        <v>67</v>
      </c>
      <c r="E2" s="12" t="s">
        <v>49</v>
      </c>
      <c r="F2" s="12" t="s">
        <v>68</v>
      </c>
      <c r="G2" s="12"/>
      <c r="H2" s="12" t="s">
        <v>69</v>
      </c>
      <c r="I2" s="12" t="s">
        <v>53</v>
      </c>
      <c r="J2" s="15">
        <v>0.0</v>
      </c>
      <c r="K2" s="15">
        <v>0.0</v>
      </c>
      <c r="L2" s="15">
        <v>0.0</v>
      </c>
      <c r="M2" s="15">
        <v>0.0</v>
      </c>
      <c r="N2" s="15">
        <v>0.0</v>
      </c>
      <c r="O2" s="15">
        <v>0.0</v>
      </c>
      <c r="P2" s="15">
        <v>0.0</v>
      </c>
      <c r="Q2" s="15">
        <v>598.0</v>
      </c>
      <c r="R2" s="15">
        <v>77.74</v>
      </c>
      <c r="S2" s="15">
        <v>0.0</v>
      </c>
      <c r="T2" s="15">
        <v>0.5068</v>
      </c>
      <c r="U2" s="15">
        <v>2.5339</v>
      </c>
      <c r="V2" s="15">
        <v>517.22</v>
      </c>
      <c r="W2" s="15">
        <v>0.0</v>
      </c>
      <c r="X2" s="12" t="s">
        <v>80</v>
      </c>
      <c r="Y2" s="12" t="s">
        <v>56</v>
      </c>
      <c r="Z2" s="12" t="s">
        <v>57</v>
      </c>
      <c r="AA2" s="12" t="s">
        <v>83</v>
      </c>
      <c r="AB2" s="15">
        <v>2.0</v>
      </c>
      <c r="AC2" s="12" t="s">
        <v>85</v>
      </c>
      <c r="AD2" s="12" t="s">
        <v>86</v>
      </c>
      <c r="AE2" s="12" t="s">
        <v>61</v>
      </c>
      <c r="AF2" s="12"/>
      <c r="AG2" s="12"/>
      <c r="AH2" s="12"/>
      <c r="AI2" s="15">
        <v>506.78</v>
      </c>
      <c r="AJ2" s="15">
        <v>45.61</v>
      </c>
      <c r="AK2" s="15">
        <v>45.61</v>
      </c>
      <c r="AL2" s="12"/>
      <c r="AM2" s="15">
        <v>598.0</v>
      </c>
      <c r="AN2" s="12"/>
      <c r="AO2" s="12"/>
      <c r="AP2" s="15">
        <v>0.0</v>
      </c>
      <c r="AQ2" s="22"/>
      <c r="AR2" s="22"/>
      <c r="AS2" s="22"/>
      <c r="AT2" s="22"/>
      <c r="AU2" s="22"/>
      <c r="AV2" s="23"/>
      <c r="AW2" s="22"/>
    </row>
    <row r="3">
      <c r="A3" s="12" t="s">
        <v>42</v>
      </c>
      <c r="B3" s="12" t="s">
        <v>96</v>
      </c>
      <c r="C3" s="12" t="s">
        <v>65</v>
      </c>
      <c r="D3" s="12" t="s">
        <v>67</v>
      </c>
      <c r="E3" s="12" t="s">
        <v>49</v>
      </c>
      <c r="F3" s="12" t="s">
        <v>100</v>
      </c>
      <c r="G3" s="12"/>
      <c r="H3" s="12" t="s">
        <v>103</v>
      </c>
      <c r="I3" s="12" t="s">
        <v>53</v>
      </c>
      <c r="J3" s="15">
        <v>0.0</v>
      </c>
      <c r="K3" s="15">
        <v>100.0</v>
      </c>
      <c r="L3" s="15">
        <v>0.0</v>
      </c>
      <c r="M3" s="15">
        <v>0.0</v>
      </c>
      <c r="N3" s="15">
        <v>0.0</v>
      </c>
      <c r="O3" s="15">
        <v>0.0</v>
      </c>
      <c r="P3" s="15">
        <v>0.0</v>
      </c>
      <c r="Q3" s="15">
        <v>498.0</v>
      </c>
      <c r="R3" s="15">
        <v>77.74</v>
      </c>
      <c r="S3" s="15">
        <v>0.0</v>
      </c>
      <c r="T3" s="15">
        <v>0.5068</v>
      </c>
      <c r="U3" s="15">
        <v>2.5339</v>
      </c>
      <c r="V3" s="15">
        <v>517.22</v>
      </c>
      <c r="W3" s="15">
        <v>0.0</v>
      </c>
      <c r="X3" s="12" t="s">
        <v>107</v>
      </c>
      <c r="Y3" s="12" t="s">
        <v>56</v>
      </c>
      <c r="Z3" s="12" t="s">
        <v>57</v>
      </c>
      <c r="AA3" s="12" t="s">
        <v>111</v>
      </c>
      <c r="AB3" s="15">
        <v>2.0</v>
      </c>
      <c r="AC3" s="12" t="s">
        <v>113</v>
      </c>
      <c r="AD3" s="12" t="s">
        <v>114</v>
      </c>
      <c r="AE3" s="12" t="s">
        <v>61</v>
      </c>
      <c r="AF3" s="12"/>
      <c r="AG3" s="12"/>
      <c r="AH3" s="12"/>
      <c r="AI3" s="15">
        <v>506.78</v>
      </c>
      <c r="AJ3" s="15">
        <v>45.61</v>
      </c>
      <c r="AK3" s="15">
        <v>45.61</v>
      </c>
      <c r="AL3" s="12"/>
      <c r="AM3" s="15">
        <v>598.0</v>
      </c>
      <c r="AN3" s="12"/>
      <c r="AO3" s="12"/>
      <c r="AP3" s="15">
        <v>0.0</v>
      </c>
      <c r="AQ3" s="22"/>
      <c r="AR3" s="22"/>
      <c r="AS3" s="22"/>
      <c r="AT3" s="22"/>
      <c r="AU3" s="22"/>
      <c r="AV3" s="23"/>
      <c r="AW3" s="22"/>
    </row>
    <row r="4">
      <c r="A4" s="7" t="s">
        <v>42</v>
      </c>
      <c r="B4" s="12" t="s">
        <v>127</v>
      </c>
      <c r="C4" s="12" t="s">
        <v>65</v>
      </c>
      <c r="D4" s="12" t="s">
        <v>67</v>
      </c>
      <c r="E4" s="12" t="s">
        <v>130</v>
      </c>
      <c r="F4" s="12" t="s">
        <v>131</v>
      </c>
      <c r="G4" s="12"/>
      <c r="H4" s="12" t="s">
        <v>133</v>
      </c>
      <c r="I4" s="12" t="s">
        <v>53</v>
      </c>
      <c r="J4" s="15">
        <v>0.0</v>
      </c>
      <c r="K4" s="15">
        <v>0.0</v>
      </c>
      <c r="L4" s="15">
        <v>0.0</v>
      </c>
      <c r="M4" s="15">
        <v>0.0</v>
      </c>
      <c r="N4" s="15">
        <v>0.0</v>
      </c>
      <c r="O4" s="15">
        <v>0.0</v>
      </c>
      <c r="P4" s="15">
        <v>0.0</v>
      </c>
      <c r="Q4" s="15">
        <v>897.0</v>
      </c>
      <c r="R4" s="15">
        <v>116.61</v>
      </c>
      <c r="S4" s="15">
        <v>0.0</v>
      </c>
      <c r="T4" s="15">
        <v>0.7602</v>
      </c>
      <c r="U4" s="15">
        <v>3.8009</v>
      </c>
      <c r="V4" s="15">
        <v>775.83</v>
      </c>
      <c r="W4" s="15">
        <v>0.0</v>
      </c>
      <c r="X4" s="12" t="s">
        <v>140</v>
      </c>
      <c r="Y4" s="12" t="s">
        <v>56</v>
      </c>
      <c r="Z4" s="12" t="s">
        <v>57</v>
      </c>
      <c r="AA4" s="12" t="s">
        <v>141</v>
      </c>
      <c r="AB4" s="15">
        <v>3.0</v>
      </c>
      <c r="AC4" s="12" t="s">
        <v>143</v>
      </c>
      <c r="AD4" s="12" t="s">
        <v>144</v>
      </c>
      <c r="AE4" s="12" t="s">
        <v>61</v>
      </c>
      <c r="AF4" s="12"/>
      <c r="AG4" s="12"/>
      <c r="AH4" s="12"/>
      <c r="AI4" s="15">
        <v>760.17</v>
      </c>
      <c r="AJ4" s="15">
        <v>68.415</v>
      </c>
      <c r="AK4" s="15">
        <v>68.415</v>
      </c>
      <c r="AL4" s="12"/>
      <c r="AM4" s="15">
        <v>897.0</v>
      </c>
      <c r="AN4" s="12"/>
      <c r="AO4" s="12"/>
      <c r="AP4" s="15">
        <v>0.0</v>
      </c>
      <c r="AQ4" s="32"/>
      <c r="AR4" s="32"/>
      <c r="AS4" s="32"/>
      <c r="AT4" s="32"/>
      <c r="AU4" s="32"/>
      <c r="AV4" s="32"/>
      <c r="AW4" s="22"/>
    </row>
    <row r="5">
      <c r="A5" s="33" t="s">
        <v>38</v>
      </c>
      <c r="B5" s="34"/>
      <c r="C5" s="35"/>
      <c r="D5" s="34"/>
      <c r="E5" s="34"/>
      <c r="F5" s="34"/>
      <c r="G5" s="34"/>
      <c r="H5" s="37"/>
      <c r="I5" s="37"/>
      <c r="J5" s="37"/>
      <c r="K5" s="37"/>
      <c r="L5" s="37"/>
      <c r="M5" s="37"/>
      <c r="N5" s="37"/>
      <c r="O5" s="37"/>
      <c r="P5" s="37"/>
      <c r="Q5" s="37">
        <f t="shared" ref="Q5:R5" si="1">SUM(Q2:Q4)</f>
        <v>1993</v>
      </c>
      <c r="R5" s="37">
        <f t="shared" si="1"/>
        <v>272.09</v>
      </c>
      <c r="S5" s="37"/>
      <c r="T5" s="37">
        <f t="shared" ref="T5:V5" si="2">SUM(T2:T4)</f>
        <v>1.7738</v>
      </c>
      <c r="U5" s="37">
        <f t="shared" si="2"/>
        <v>8.8687</v>
      </c>
      <c r="V5" s="37">
        <f t="shared" si="2"/>
        <v>1810.27</v>
      </c>
      <c r="W5" s="34"/>
      <c r="X5" s="34"/>
      <c r="Y5" s="34"/>
      <c r="Z5" s="37"/>
      <c r="AA5" s="34"/>
      <c r="AB5" s="34"/>
      <c r="AC5" s="34"/>
      <c r="AD5" s="34"/>
      <c r="AE5" s="39"/>
      <c r="AF5" s="34"/>
      <c r="AG5" s="37"/>
      <c r="AH5" s="42"/>
      <c r="AI5" s="37"/>
      <c r="AJ5" s="39"/>
      <c r="AK5" s="41"/>
      <c r="AL5" s="39"/>
      <c r="AM5" s="39"/>
      <c r="AN5" s="37"/>
      <c r="AO5" s="44"/>
      <c r="AP5" s="44"/>
      <c r="AQ5" s="45"/>
      <c r="AR5" s="47"/>
      <c r="AS5" s="45"/>
      <c r="AT5" s="45"/>
      <c r="AU5" s="47"/>
      <c r="AV5" s="51"/>
      <c r="AW5" s="52"/>
    </row>
    <row r="6">
      <c r="A6" s="28"/>
      <c r="B6" s="28"/>
      <c r="C6" s="53"/>
      <c r="D6" s="28"/>
      <c r="E6" s="28"/>
      <c r="F6" s="28"/>
      <c r="G6" s="28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28"/>
      <c r="W6" s="28"/>
      <c r="X6" s="28"/>
      <c r="Y6" s="28"/>
      <c r="Z6" s="30"/>
      <c r="AA6" s="28"/>
      <c r="AB6" s="28"/>
      <c r="AC6" s="28"/>
      <c r="AD6" s="28"/>
      <c r="AE6" s="31"/>
      <c r="AF6" s="28"/>
      <c r="AG6" s="30"/>
      <c r="AH6" s="55"/>
      <c r="AI6" s="30"/>
      <c r="AJ6" s="28"/>
      <c r="AK6" s="30"/>
      <c r="AL6" s="31"/>
      <c r="AM6" s="31"/>
      <c r="AN6" s="30"/>
      <c r="AO6" s="47"/>
      <c r="AP6" s="47"/>
      <c r="AQ6" s="45"/>
      <c r="AR6" s="47"/>
      <c r="AS6" s="45"/>
      <c r="AT6" s="45"/>
      <c r="AU6" s="47"/>
      <c r="AV6" s="51"/>
      <c r="AW6" s="52"/>
    </row>
    <row r="7">
      <c r="A7" s="28"/>
      <c r="B7" s="28"/>
      <c r="C7" s="53"/>
      <c r="D7" s="28"/>
      <c r="E7" s="28"/>
      <c r="F7" s="28"/>
      <c r="G7" s="28"/>
      <c r="H7" s="30"/>
      <c r="I7" s="30"/>
      <c r="J7" s="30"/>
      <c r="K7" s="30"/>
      <c r="L7" s="30"/>
      <c r="M7" s="30"/>
      <c r="N7" s="30"/>
      <c r="O7" s="30"/>
      <c r="P7" s="30"/>
      <c r="Q7" s="30"/>
      <c r="R7" s="30">
        <f>Q5-R5</f>
        <v>1720.91</v>
      </c>
      <c r="S7" s="30"/>
      <c r="T7" s="30"/>
      <c r="U7" s="30"/>
      <c r="V7" s="28"/>
      <c r="W7" s="28"/>
      <c r="X7" s="28"/>
      <c r="Y7" s="28"/>
      <c r="Z7" s="30"/>
      <c r="AA7" s="28"/>
      <c r="AB7" s="28"/>
      <c r="AC7" s="28"/>
      <c r="AD7" s="28"/>
      <c r="AE7" s="31"/>
      <c r="AF7" s="28"/>
      <c r="AG7" s="30"/>
      <c r="AH7" s="30"/>
      <c r="AI7" s="30"/>
      <c r="AJ7" s="28"/>
      <c r="AK7" s="30"/>
      <c r="AL7" s="31"/>
      <c r="AM7" s="31"/>
      <c r="AN7" s="30"/>
      <c r="AO7" s="47"/>
      <c r="AP7" s="47"/>
      <c r="AQ7" s="45"/>
      <c r="AR7" s="47"/>
      <c r="AS7" s="45"/>
      <c r="AT7" s="45"/>
      <c r="AU7" s="47"/>
      <c r="AV7" s="51"/>
      <c r="AW7" s="58"/>
    </row>
    <row r="8">
      <c r="A8" s="28"/>
      <c r="B8" s="28"/>
      <c r="C8" s="28"/>
      <c r="D8" s="28"/>
      <c r="E8" s="28"/>
      <c r="F8" s="28"/>
      <c r="G8" s="28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28"/>
      <c r="W8" s="28"/>
      <c r="X8" s="28"/>
      <c r="Y8" s="28"/>
      <c r="Z8" s="30"/>
      <c r="AA8" s="28"/>
      <c r="AB8" s="28"/>
      <c r="AC8" s="28"/>
      <c r="AD8" s="28"/>
      <c r="AE8" s="31"/>
      <c r="AF8" s="28"/>
      <c r="AG8" s="30"/>
      <c r="AH8" s="30"/>
      <c r="AI8" s="30"/>
      <c r="AJ8" s="28"/>
      <c r="AK8" s="30"/>
      <c r="AL8" s="31"/>
      <c r="AM8" s="31"/>
      <c r="AN8" s="30"/>
      <c r="AO8" s="62"/>
      <c r="AP8" s="62"/>
      <c r="AQ8" s="63"/>
      <c r="AR8" s="62"/>
      <c r="AS8" s="63"/>
      <c r="AT8" s="63"/>
      <c r="AU8" s="62"/>
      <c r="AV8" s="64"/>
      <c r="AW8" s="62"/>
    </row>
    <row r="9">
      <c r="A9" s="28"/>
      <c r="B9" s="28"/>
      <c r="C9" s="28"/>
      <c r="D9" s="28"/>
      <c r="E9" s="28"/>
      <c r="F9" s="28"/>
      <c r="G9" s="28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28"/>
      <c r="W9" s="28"/>
      <c r="X9" s="28"/>
      <c r="Y9" s="28"/>
      <c r="Z9" s="30"/>
      <c r="AA9" s="28"/>
      <c r="AB9" s="28"/>
      <c r="AC9" s="28"/>
      <c r="AD9" s="28"/>
      <c r="AE9" s="31"/>
      <c r="AF9" s="28"/>
      <c r="AG9" s="30"/>
      <c r="AH9" s="30"/>
      <c r="AI9" s="30"/>
      <c r="AJ9" s="28"/>
      <c r="AK9" s="30"/>
      <c r="AL9" s="31"/>
      <c r="AM9" s="31"/>
      <c r="AN9" s="30"/>
      <c r="AO9" s="49"/>
      <c r="AP9" s="49"/>
      <c r="AQ9" s="20"/>
      <c r="AR9" s="49"/>
      <c r="AS9" s="20"/>
      <c r="AT9" s="20"/>
      <c r="AU9" s="49"/>
      <c r="AV9" s="50"/>
      <c r="AW9" s="49"/>
    </row>
    <row r="10">
      <c r="A10" s="31"/>
      <c r="B10" s="31"/>
      <c r="C10" s="31"/>
      <c r="D10" s="31"/>
      <c r="E10" s="31"/>
      <c r="F10" s="31"/>
      <c r="G10" s="31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31"/>
      <c r="W10" s="31"/>
      <c r="X10" s="31"/>
      <c r="Y10" s="31"/>
      <c r="Z10" s="22"/>
      <c r="AA10" s="31"/>
      <c r="AB10" s="31"/>
      <c r="AC10" s="31"/>
      <c r="AD10" s="31"/>
      <c r="AE10" s="31"/>
      <c r="AF10" s="31"/>
      <c r="AG10" s="22"/>
      <c r="AH10" s="22"/>
      <c r="AI10" s="22"/>
      <c r="AJ10" s="31"/>
      <c r="AK10" s="22"/>
      <c r="AL10" s="31"/>
      <c r="AM10" s="31"/>
      <c r="AN10" s="22"/>
    </row>
    <row r="11">
      <c r="A11" s="31"/>
      <c r="B11" s="31"/>
      <c r="C11" s="31"/>
      <c r="D11" s="31"/>
      <c r="E11" s="31"/>
      <c r="F11" s="31"/>
      <c r="G11" s="31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31"/>
      <c r="W11" s="31"/>
      <c r="X11" s="31"/>
      <c r="Y11" s="31"/>
      <c r="Z11" s="22"/>
      <c r="AA11" s="31"/>
      <c r="AB11" s="31"/>
      <c r="AC11" s="31"/>
      <c r="AD11" s="31"/>
      <c r="AE11" s="31"/>
      <c r="AF11" s="31"/>
      <c r="AG11" s="22"/>
      <c r="AH11" s="22"/>
      <c r="AI11" s="22"/>
      <c r="AJ11" s="31"/>
      <c r="AK11" s="22"/>
      <c r="AL11" s="31"/>
      <c r="AM11" s="31"/>
      <c r="AN11" s="22"/>
    </row>
    <row r="12">
      <c r="A12" s="28"/>
      <c r="B12" s="28"/>
      <c r="C12" s="28"/>
      <c r="D12" s="28"/>
      <c r="E12" s="28"/>
      <c r="F12" s="28"/>
      <c r="G12" s="28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8"/>
      <c r="W12" s="28"/>
      <c r="X12" s="28"/>
      <c r="Y12" s="28"/>
      <c r="Z12" s="30"/>
      <c r="AA12" s="28"/>
      <c r="AB12" s="28"/>
      <c r="AC12" s="28"/>
      <c r="AD12" s="28"/>
      <c r="AE12" s="31"/>
      <c r="AF12" s="28"/>
      <c r="AG12" s="30"/>
      <c r="AH12" s="30"/>
      <c r="AI12" s="30"/>
      <c r="AJ12" s="28"/>
      <c r="AK12" s="30"/>
      <c r="AL12" s="31"/>
      <c r="AM12" s="31"/>
      <c r="AN12" s="30"/>
      <c r="AO12" s="62"/>
      <c r="AP12" s="62"/>
      <c r="AQ12" s="63"/>
      <c r="AR12" s="62"/>
      <c r="AS12" s="63"/>
      <c r="AT12" s="63"/>
      <c r="AU12" s="62"/>
      <c r="AV12" s="64"/>
      <c r="AW12" s="62"/>
    </row>
    <row r="13">
      <c r="A13" s="31"/>
      <c r="B13" s="31"/>
      <c r="C13" s="31"/>
      <c r="D13" s="31"/>
      <c r="E13" s="31"/>
      <c r="F13" s="31"/>
      <c r="G13" s="31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31"/>
      <c r="W13" s="31"/>
      <c r="X13" s="31"/>
      <c r="Y13" s="31"/>
      <c r="Z13" s="22"/>
      <c r="AA13" s="31"/>
      <c r="AB13" s="31"/>
      <c r="AC13" s="31"/>
      <c r="AD13" s="31"/>
      <c r="AE13" s="31"/>
      <c r="AF13" s="31"/>
      <c r="AG13" s="22"/>
      <c r="AH13" s="22"/>
      <c r="AI13" s="22"/>
      <c r="AJ13" s="31"/>
      <c r="AK13" s="22"/>
      <c r="AL13" s="31"/>
      <c r="AM13" s="31"/>
      <c r="AN13" s="22"/>
    </row>
    <row r="14">
      <c r="A14" s="31"/>
      <c r="B14" s="31"/>
      <c r="C14" s="31"/>
      <c r="D14" s="31"/>
      <c r="E14" s="31"/>
      <c r="F14" s="31"/>
      <c r="G14" s="31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31"/>
      <c r="W14" s="31"/>
      <c r="X14" s="31"/>
      <c r="Y14" s="31"/>
      <c r="Z14" s="22"/>
      <c r="AA14" s="31"/>
      <c r="AB14" s="31"/>
      <c r="AC14" s="31"/>
      <c r="AD14" s="31"/>
      <c r="AE14" s="31"/>
      <c r="AF14" s="31"/>
      <c r="AG14" s="22"/>
      <c r="AH14" s="22"/>
      <c r="AI14" s="22"/>
      <c r="AJ14" s="31"/>
      <c r="AK14" s="22"/>
      <c r="AL14" s="31"/>
      <c r="AM14" s="31"/>
      <c r="AN14" s="22"/>
    </row>
    <row r="15">
      <c r="A15" s="31"/>
      <c r="B15" s="31"/>
      <c r="C15" s="31"/>
      <c r="D15" s="31"/>
      <c r="E15" s="31"/>
      <c r="F15" s="31"/>
      <c r="G15" s="31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31"/>
      <c r="W15" s="31"/>
      <c r="X15" s="31"/>
      <c r="Y15" s="31"/>
      <c r="Z15" s="22"/>
      <c r="AA15" s="31"/>
      <c r="AB15" s="31"/>
      <c r="AC15" s="31"/>
      <c r="AD15" s="31"/>
      <c r="AE15" s="31"/>
      <c r="AF15" s="31"/>
      <c r="AG15" s="22"/>
      <c r="AH15" s="22"/>
      <c r="AI15" s="22"/>
      <c r="AJ15" s="31"/>
      <c r="AK15" s="22"/>
      <c r="AL15" s="31"/>
      <c r="AM15" s="31"/>
      <c r="AN15" s="22"/>
    </row>
    <row r="16">
      <c r="A16" s="31"/>
      <c r="B16" s="31"/>
      <c r="C16" s="31"/>
      <c r="D16" s="31"/>
      <c r="E16" s="31"/>
      <c r="F16" s="31"/>
      <c r="G16" s="31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31"/>
      <c r="W16" s="31"/>
      <c r="X16" s="31"/>
      <c r="Y16" s="31"/>
      <c r="Z16" s="22"/>
      <c r="AA16" s="31"/>
      <c r="AB16" s="31"/>
      <c r="AC16" s="31"/>
      <c r="AD16" s="31"/>
      <c r="AE16" s="31"/>
      <c r="AF16" s="31"/>
      <c r="AG16" s="22"/>
      <c r="AH16" s="22"/>
      <c r="AI16" s="22"/>
      <c r="AJ16" s="31"/>
      <c r="AK16" s="22"/>
      <c r="AL16" s="31"/>
      <c r="AM16" s="31"/>
      <c r="AN16" s="22"/>
    </row>
    <row r="17">
      <c r="A17" s="66"/>
      <c r="B17" s="66"/>
      <c r="C17" s="66"/>
      <c r="D17" s="66"/>
      <c r="E17" s="66"/>
      <c r="F17" s="66"/>
      <c r="G17" s="66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6"/>
      <c r="W17" s="66"/>
      <c r="X17" s="66"/>
      <c r="Y17" s="66"/>
      <c r="Z17" s="68"/>
      <c r="AA17" s="66"/>
      <c r="AB17" s="66"/>
      <c r="AC17" s="66"/>
      <c r="AD17" s="66"/>
      <c r="AE17" s="66"/>
      <c r="AF17" s="66"/>
      <c r="AG17" s="68"/>
      <c r="AH17" s="68"/>
      <c r="AI17" s="68"/>
      <c r="AJ17" s="66"/>
      <c r="AK17" s="68"/>
      <c r="AL17" s="66"/>
      <c r="AM17" s="66"/>
      <c r="AN17" s="6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25"/>
    <col customWidth="1" min="16" max="16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73"/>
      <c r="AR1" s="73"/>
      <c r="AS1" s="73"/>
      <c r="AT1" s="73"/>
      <c r="AU1" s="73"/>
      <c r="AV1" s="73"/>
      <c r="AW1" s="73"/>
      <c r="AX1" s="74"/>
    </row>
    <row r="2">
      <c r="A2" s="7" t="s">
        <v>42</v>
      </c>
      <c r="B2" s="7" t="s">
        <v>219</v>
      </c>
      <c r="C2" s="7" t="s">
        <v>47</v>
      </c>
      <c r="D2" s="21" t="s">
        <v>129</v>
      </c>
      <c r="E2" s="7" t="s">
        <v>220</v>
      </c>
      <c r="F2" s="7" t="s">
        <v>221</v>
      </c>
      <c r="G2" s="7"/>
      <c r="H2" s="7" t="s">
        <v>222</v>
      </c>
      <c r="I2" s="7" t="s">
        <v>53</v>
      </c>
      <c r="J2" s="10">
        <v>0.0</v>
      </c>
      <c r="K2" s="10">
        <v>0.0</v>
      </c>
      <c r="L2" s="10">
        <v>0.0</v>
      </c>
      <c r="M2" s="10">
        <v>0.0</v>
      </c>
      <c r="N2" s="10">
        <v>0.0</v>
      </c>
      <c r="O2" s="10">
        <v>0.0</v>
      </c>
      <c r="P2" s="10">
        <v>0.0</v>
      </c>
      <c r="Q2" s="10">
        <v>1400.0</v>
      </c>
      <c r="R2" s="10">
        <v>182.0</v>
      </c>
      <c r="S2" s="10">
        <v>0.0</v>
      </c>
      <c r="T2" s="10">
        <v>1.1864</v>
      </c>
      <c r="U2" s="10">
        <v>5.9322</v>
      </c>
      <c r="V2" s="10">
        <v>1210.88</v>
      </c>
      <c r="W2" s="10">
        <v>0.0</v>
      </c>
      <c r="X2" s="7" t="s">
        <v>223</v>
      </c>
      <c r="Y2" s="7" t="s">
        <v>56</v>
      </c>
      <c r="Z2" s="7" t="s">
        <v>57</v>
      </c>
      <c r="AA2" s="7" t="s">
        <v>224</v>
      </c>
      <c r="AB2" s="10">
        <v>4.0</v>
      </c>
      <c r="AC2" s="7" t="s">
        <v>225</v>
      </c>
      <c r="AD2" s="13" t="s">
        <v>226</v>
      </c>
      <c r="AE2" s="7" t="s">
        <v>179</v>
      </c>
      <c r="AF2" s="75"/>
      <c r="AG2" s="7"/>
      <c r="AH2" s="7"/>
      <c r="AI2" s="76">
        <v>1186.44</v>
      </c>
      <c r="AJ2" s="10">
        <v>106.78</v>
      </c>
      <c r="AK2" s="10">
        <v>106.78</v>
      </c>
      <c r="AL2" s="7"/>
      <c r="AM2" s="10">
        <v>1400.0</v>
      </c>
      <c r="AN2" s="12"/>
      <c r="AO2" s="7"/>
      <c r="AP2" s="10">
        <v>0.0</v>
      </c>
      <c r="AQ2" s="49"/>
      <c r="AR2" s="57"/>
      <c r="AS2" s="49"/>
      <c r="AT2" s="57"/>
      <c r="AU2" s="57"/>
      <c r="AV2" s="49"/>
      <c r="AW2" s="50"/>
      <c r="AX2" s="57"/>
    </row>
  </sheetData>
  <drawing r:id="rId1"/>
</worksheet>
</file>