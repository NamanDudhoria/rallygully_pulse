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Misfits" sheetId="7" r:id="rId11"/>
    <sheet state="visible" name="Courtly" sheetId="8" r:id="rId12"/>
    <sheet state="visible" name="Membership" sheetId="9" r:id="rId13"/>
    <sheet state="visible" name="Brand Activation" sheetId="10" r:id="rId14"/>
  </sheets>
  <definedNames/>
  <calcPr/>
</workbook>
</file>

<file path=xl/sharedStrings.xml><?xml version="1.0" encoding="utf-8"?>
<sst xmlns="http://schemas.openxmlformats.org/spreadsheetml/2006/main" count="160" uniqueCount="85">
  <si>
    <t>Date: 1st - 30th Nov</t>
  </si>
  <si>
    <t>Particulars</t>
  </si>
  <si>
    <t>Amount</t>
  </si>
  <si>
    <t>Offline</t>
  </si>
  <si>
    <t>Rentals</t>
  </si>
  <si>
    <t>F&amp;B</t>
  </si>
  <si>
    <t>Product Sales</t>
  </si>
  <si>
    <t>Bookings</t>
  </si>
  <si>
    <t>Online: Third Party Platform</t>
  </si>
  <si>
    <t>Hudle</t>
  </si>
  <si>
    <t>Playo</t>
  </si>
  <si>
    <t>District</t>
  </si>
  <si>
    <t>Khelomore</t>
  </si>
  <si>
    <t>Community</t>
  </si>
  <si>
    <t>Courtly</t>
  </si>
  <si>
    <t>Rallygully Community games</t>
  </si>
  <si>
    <t>Misfits Community</t>
  </si>
  <si>
    <t>Memberships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</si>
  <si>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</si>
  <si>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</si>
  <si>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</si>
  <si>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</si>
  <si>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</si>
  <si>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</si>
  <si>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</si>
  <si>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</si>
  <si>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</si>
  <si>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</si>
  <si>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</si>
  <si>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</si>
  <si>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</si>
  <si>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</si>
  <si>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Saturday</t>
  </si>
  <si>
    <t>25% B, 30% P</t>
  </si>
  <si>
    <t>Sunday</t>
  </si>
  <si>
    <t>Monday</t>
  </si>
  <si>
    <t>Tuesday</t>
  </si>
  <si>
    <t>Wednesday</t>
  </si>
  <si>
    <t>Thursday</t>
  </si>
  <si>
    <t>Friday</t>
  </si>
  <si>
    <t>Total</t>
  </si>
  <si>
    <t>Link</t>
  </si>
  <si>
    <t>Paid to Hudle</t>
  </si>
  <si>
    <t>Commisions (Including GST)</t>
  </si>
  <si>
    <t>Net Revenue</t>
  </si>
  <si>
    <t>TDS</t>
  </si>
  <si>
    <t>TCS</t>
  </si>
  <si>
    <t>1 - 10 Nov</t>
  </si>
  <si>
    <t>11 - 18 Nov</t>
  </si>
  <si>
    <t>18 - 25 Nov</t>
  </si>
  <si>
    <t>25 - 30 Nov</t>
  </si>
  <si>
    <t>Paid to Playo (₹)</t>
  </si>
  <si>
    <t>Commissions (₹)</t>
  </si>
  <si>
    <t>GST (₹)</t>
  </si>
  <si>
    <t>TDS (₹)</t>
  </si>
  <si>
    <t>TCS (₹)</t>
  </si>
  <si>
    <t>Final Amount (₹)</t>
  </si>
  <si>
    <t>1- 30 Nov</t>
  </si>
  <si>
    <t>Paid to District</t>
  </si>
  <si>
    <t>1 - 30 Nov</t>
  </si>
  <si>
    <t>Paid to Khelomore (₹)</t>
  </si>
  <si>
    <t>Paid to Misfits (₹)</t>
  </si>
  <si>
    <t>Post Comission (20%)</t>
  </si>
  <si>
    <t xml:space="preserve">TDS </t>
  </si>
  <si>
    <t>Paid to Courtly (₹)</t>
  </si>
  <si>
    <t xml:space="preserve"> Comission (3%)</t>
  </si>
  <si>
    <t>Member Name</t>
  </si>
  <si>
    <t>Sports Type</t>
  </si>
  <si>
    <t>Membership Type</t>
  </si>
  <si>
    <t>Start Date</t>
  </si>
  <si>
    <t>Amount Collected</t>
  </si>
  <si>
    <t>Indian School of hospitality</t>
  </si>
  <si>
    <t>Pickle &amp; Box</t>
  </si>
  <si>
    <t>Collab</t>
  </si>
  <si>
    <t>Akshay</t>
  </si>
  <si>
    <t>Pickleball</t>
  </si>
  <si>
    <t>Rally Pack (15)</t>
  </si>
  <si>
    <t>Date &amp; Day</t>
  </si>
  <si>
    <t>Brand Name</t>
  </si>
  <si>
    <t>Timings</t>
  </si>
  <si>
    <t>Type of collab</t>
  </si>
  <si>
    <t>20 Nov &amp; Thu</t>
  </si>
  <si>
    <t>Selfmade</t>
  </si>
  <si>
    <t>12-4 PM</t>
  </si>
  <si>
    <t>Brand Shoot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</si>
</sst>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&gt;9999999][$₹]##\,##\,##\,##0;[&gt;99999][$₹]##\,##\,##0;[$₹]##,##0"/>
    <numFmt numFmtId="165" formatCode="d mmm"/>
    <numFmt numFmtId="166" formatCode="[&gt;9999999][$₹]##\,##\,##\,##0.00;[&gt;99999][$₹]##\,##\,##0.00;[$₹]##,##0.00"/>
  </numFmts>
  <fonts count="12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/>
    <font>
      <sz val="10.0"/>
      <color rgb="FF000000"/>
      <name val="Arial"/>
    </font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sz val="10.0"/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0" fillId="0" fontId="4" numFmtId="0" xfId="0" applyFont="1"/>
    <xf borderId="3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vertical="bottom"/>
    </xf>
    <xf borderId="3" fillId="0" fontId="5" numFmtId="164" xfId="0" applyAlignment="1" applyBorder="1" applyFont="1" applyNumberFormat="1">
      <alignment horizontal="right" vertical="bottom"/>
    </xf>
    <xf borderId="3" fillId="0" fontId="5" numFmtId="164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readingOrder="0" vertical="bottom"/>
    </xf>
    <xf borderId="3" fillId="0" fontId="2" numFmtId="164" xfId="0" applyAlignment="1" applyBorder="1" applyFont="1" applyNumberFormat="1">
      <alignment horizontal="right" readingOrder="0" vertical="bottom"/>
    </xf>
    <xf borderId="3" fillId="0" fontId="5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4" fillId="0" fontId="5" numFmtId="164" xfId="0" applyAlignment="1" applyBorder="1" applyFont="1" applyNumberFormat="1">
      <alignment horizontal="right" readingOrder="0" vertical="bottom"/>
    </xf>
    <xf borderId="3" fillId="0" fontId="5" numFmtId="0" xfId="0" applyAlignment="1" applyBorder="1" applyFont="1">
      <alignment shrinkToFit="0" vertical="bottom" wrapText="1"/>
    </xf>
    <xf borderId="3" fillId="0" fontId="2" numFmtId="3" xfId="0" applyAlignment="1" applyBorder="1" applyFont="1" applyNumberFormat="1">
      <alignment horizontal="right" vertical="bottom"/>
    </xf>
    <xf borderId="0" fillId="2" fontId="2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3" fillId="0" fontId="5" numFmtId="165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vertical="bottom"/>
    </xf>
    <xf borderId="3" fillId="0" fontId="5" numFmtId="0" xfId="0" applyAlignment="1" applyBorder="1" applyFont="1">
      <alignment horizontal="right" vertical="bottom"/>
    </xf>
    <xf borderId="3" fillId="0" fontId="5" numFmtId="9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horizontal="right" vertical="bottom"/>
    </xf>
    <xf borderId="3" fillId="0" fontId="5" numFmtId="3" xfId="0" applyAlignment="1" applyBorder="1" applyFont="1" applyNumberFormat="1">
      <alignment horizontal="right" readingOrder="0" vertical="bottom"/>
    </xf>
    <xf borderId="3" fillId="0" fontId="5" numFmtId="3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horizontal="right" readingOrder="0" vertical="bottom"/>
    </xf>
    <xf borderId="3" fillId="0" fontId="5" numFmtId="3" xfId="0" applyAlignment="1" applyBorder="1" applyFont="1" applyNumberFormat="1">
      <alignment vertical="bottom"/>
    </xf>
    <xf borderId="3" fillId="0" fontId="5" numFmtId="0" xfId="0" applyAlignment="1" applyBorder="1" applyFont="1">
      <alignment horizontal="right" vertical="bottom"/>
    </xf>
    <xf borderId="3" fillId="0" fontId="2" numFmtId="165" xfId="0" applyAlignment="1" applyBorder="1" applyFont="1" applyNumberFormat="1">
      <alignment vertical="bottom"/>
    </xf>
    <xf borderId="3" fillId="0" fontId="2" numFmtId="0" xfId="0" applyAlignment="1" applyBorder="1" applyFont="1">
      <alignment horizontal="right" vertical="bottom"/>
    </xf>
    <xf borderId="3" fillId="0" fontId="5" numFmtId="9" xfId="0" applyAlignment="1" applyBorder="1" applyFont="1" applyNumberFormat="1">
      <alignment vertical="bottom"/>
    </xf>
    <xf borderId="3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2" fontId="6" numFmtId="0" xfId="0" applyAlignment="1" applyFill="1" applyFont="1">
      <alignment readingOrder="0" vertical="bottom"/>
    </xf>
    <xf borderId="3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horizontal="center" vertical="bottom"/>
    </xf>
    <xf borderId="0" fillId="0" fontId="5" numFmtId="0" xfId="0" applyAlignment="1" applyFont="1">
      <alignment vertical="bottom"/>
    </xf>
    <xf borderId="3" fillId="0" fontId="5" numFmtId="166" xfId="0" applyAlignment="1" applyBorder="1" applyFont="1" applyNumberFormat="1">
      <alignment readingOrder="0" vertical="bottom"/>
    </xf>
    <xf borderId="3" fillId="0" fontId="5" numFmtId="166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3" fillId="0" fontId="5" numFmtId="166" xfId="0" applyAlignment="1" applyBorder="1" applyFont="1" applyNumberFormat="1">
      <alignment horizontal="right" readingOrder="0" vertical="bottom"/>
    </xf>
    <xf borderId="3" fillId="0" fontId="2" numFmtId="166" xfId="0" applyAlignment="1" applyBorder="1" applyFont="1" applyNumberFormat="1">
      <alignment horizontal="right" vertical="bottom"/>
    </xf>
    <xf borderId="0" fillId="2" fontId="7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right" vertical="bottom"/>
    </xf>
    <xf borderId="3" fillId="0" fontId="8" numFmtId="0" xfId="0" applyAlignment="1" applyBorder="1" applyFont="1">
      <alignment shrinkToFit="0" vertical="bottom" wrapText="0"/>
    </xf>
    <xf borderId="3" fillId="0" fontId="5" numFmtId="4" xfId="0" applyAlignment="1" applyBorder="1" applyFont="1" applyNumberFormat="1">
      <alignment horizontal="right" readingOrder="0" vertical="bottom"/>
    </xf>
    <xf borderId="3" fillId="0" fontId="5" numFmtId="4" xfId="0" applyAlignment="1" applyBorder="1" applyFont="1" applyNumberFormat="1">
      <alignment readingOrder="0" vertical="bottom"/>
    </xf>
    <xf borderId="3" fillId="0" fontId="2" numFmtId="4" xfId="0" applyAlignment="1" applyBorder="1" applyFont="1" applyNumberFormat="1">
      <alignment horizontal="right" vertical="bottom"/>
    </xf>
    <xf borderId="3" fillId="0" fontId="5" numFmtId="4" xfId="0" applyAlignment="1" applyBorder="1" applyFont="1" applyNumberFormat="1">
      <alignment vertical="bottom"/>
    </xf>
    <xf borderId="3" fillId="2" fontId="2" numFmtId="0" xfId="0" applyAlignment="1" applyBorder="1" applyFill="1" applyFont="1">
      <alignment horizontal="center" readingOrder="0" vertical="bottom"/>
    </xf>
    <xf borderId="0" fillId="2" fontId="2" numFmtId="0" xfId="0" applyAlignment="1" applyFill="1" applyFont="1">
      <alignment horizontal="center" readingOrder="0" vertical="bottom"/>
    </xf>
    <xf borderId="3" fillId="0" fontId="9" numFmtId="0" xfId="0" applyAlignment="1" applyBorder="1" applyFont="1">
      <alignment horizontal="right"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3" fillId="0" fontId="10" numFmtId="0" xfId="0" applyAlignment="1" applyBorder="1" applyFont="1">
      <alignment readingOrder="0"/>
    </xf>
    <xf borderId="0" fillId="0" fontId="10" numFmtId="165" xfId="0" applyAlignment="1" applyFont="1" applyNumberFormat="1">
      <alignment readingOrder="0"/>
    </xf>
    <xf borderId="0" fillId="0" fontId="11" numFmtId="0" xfId="0" applyFont="1"/>
    <xf borderId="3" fillId="0" fontId="5" numFmtId="165" xfId="0" applyAlignment="1" applyBorder="1" applyFont="1" applyNumberFormat="1">
      <alignment readingOrder="0" vertical="bottom"/>
    </xf>
    <xf borderId="3" fillId="0" fontId="5" numFmtId="9" xfId="0" applyAlignment="1" applyBorder="1" applyFont="1" applyNumberFormat="1">
      <alignment readingOrder="0" vertical="bottom"/>
    </xf>
    <xf borderId="3" fillId="2" fontId="2" numFmtId="0" xfId="0" applyAlignment="1" applyBorder="1" applyFill="1" applyFont="1">
      <alignment horizontal="right" vertical="bottom"/>
    </xf>
    <xf borderId="3" fillId="0" fontId="10" numFmtId="165" xfId="0" applyAlignment="1" applyBorder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cOmxwwsynRu2D6yOxCEl0-u_xBGbHjb2dvqz-i-zpI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alvd24EHYBO_z3vF3QvyDhFqjmtnH411yfijrxGnAw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32.0"/>
    <col customWidth="1" min="3" max="4" width="12.63"/>
  </cols>
  <sheetData>
    <row r="1" ht="15.75" customHeight="1">
      <c r="A1" s="1"/>
    </row>
    <row r="2" ht="15.75" customHeight="1">
      <c r="B2" s="2" t="s">
        <v>0</v>
      </c>
      <c r="C2" s="3"/>
    </row>
    <row r="3" ht="15.75" customHeight="1">
      <c r="A3" s="4"/>
      <c r="B3" s="5" t="s">
        <v>1</v>
      </c>
      <c r="C3" s="5" t="s">
        <v>2</v>
      </c>
    </row>
    <row r="4" ht="15.75" customHeight="1">
      <c r="A4" s="4"/>
      <c r="B4" s="6" t="s">
        <v>3</v>
      </c>
      <c r="C4" s="7">
        <f>SUM(C5,C6,C7,C8)</f>
        <v>92435</v>
      </c>
    </row>
    <row r="5" ht="15.75" customHeight="1" outlineLevel="1">
      <c r="A5" s="4"/>
      <c r="B5" s="8" t="s">
        <v>4</v>
      </c>
      <c r="C5" s="9">
        <f>'Offline &amp; RG Community'!G32</f>
        <v>6595</v>
      </c>
    </row>
    <row r="6" ht="15.75" customHeight="1" outlineLevel="1">
      <c r="A6" s="4"/>
      <c r="B6" s="8" t="s">
        <v>5</v>
      </c>
      <c r="C6" s="10">
        <v>0.0</v>
      </c>
    </row>
    <row r="7" ht="15.75" customHeight="1" outlineLevel="1">
      <c r="A7" s="4"/>
      <c r="B7" s="8" t="s">
        <v>6</v>
      </c>
      <c r="C7" s="10">
        <f>0</f>
        <v>0</v>
      </c>
    </row>
    <row r="8" ht="15.75" customHeight="1" outlineLevel="1">
      <c r="A8" s="4"/>
      <c r="B8" s="8" t="s">
        <v>7</v>
      </c>
      <c r="C8" s="9">
        <f>'Offline &amp; RG Community'!E32</f>
        <v>85840</v>
      </c>
    </row>
    <row r="9" ht="15.75" customHeight="1">
      <c r="A9" s="4"/>
      <c r="B9" s="6" t="s">
        <v>8</v>
      </c>
      <c r="C9" s="7">
        <f>SUM(C10:C13)</f>
        <v>20021.32</v>
      </c>
    </row>
    <row r="10" ht="15.75" customHeight="1" outlineLevel="1">
      <c r="B10" s="8" t="s">
        <v>9</v>
      </c>
      <c r="C10" s="9">
        <f>Hudle!C7</f>
        <v>18445</v>
      </c>
    </row>
    <row r="11" ht="15.75" customHeight="1" outlineLevel="1">
      <c r="B11" s="8" t="s">
        <v>10</v>
      </c>
      <c r="C11" s="9">
        <f>Playo!C7</f>
        <v>800</v>
      </c>
    </row>
    <row r="12" ht="15.75" customHeight="1" outlineLevel="1">
      <c r="B12" s="8" t="s">
        <v>11</v>
      </c>
      <c r="C12" s="10">
        <f>District!C2</f>
        <v>776.32</v>
      </c>
    </row>
    <row r="13" ht="15.75" customHeight="1" outlineLevel="1">
      <c r="B13" s="8" t="s">
        <v>12</v>
      </c>
      <c r="C13" s="10">
        <v>0.0</v>
      </c>
    </row>
    <row r="14" ht="15.75" customHeight="1">
      <c r="B14" s="11" t="s">
        <v>13</v>
      </c>
      <c r="C14" s="12">
        <f>sum(C15:C17)</f>
        <v>9960</v>
      </c>
    </row>
    <row r="15" ht="15.75" customHeight="1" outlineLevel="1">
      <c r="B15" s="13" t="s">
        <v>14</v>
      </c>
      <c r="C15" s="9">
        <f>Courtly!C2</f>
        <v>2000</v>
      </c>
    </row>
    <row r="16" ht="15.75" customHeight="1" outlineLevel="1">
      <c r="A16" s="4"/>
      <c r="B16" s="8" t="s">
        <v>15</v>
      </c>
      <c r="C16" s="10">
        <f>'Offline &amp; RG Community'!F32</f>
        <v>3320</v>
      </c>
    </row>
    <row r="17" ht="15.75" customHeight="1" outlineLevel="1">
      <c r="B17" s="8" t="s">
        <v>16</v>
      </c>
      <c r="C17" s="9">
        <f>Misfits!C2</f>
        <v>4640</v>
      </c>
    </row>
    <row r="18" ht="15.75" customHeight="1">
      <c r="B18" s="6" t="s">
        <v>17</v>
      </c>
      <c r="C18" s="7">
        <f>Membership!E4</f>
        <v>24380</v>
      </c>
    </row>
    <row r="19" ht="15.75" customHeight="1">
      <c r="B19" s="6" t="s">
        <v>18</v>
      </c>
      <c r="C19" s="10">
        <v>0.0</v>
      </c>
    </row>
    <row r="20" ht="15.75" customHeight="1">
      <c r="B20" s="6" t="s">
        <v>19</v>
      </c>
      <c r="C20" s="10">
        <f>'Brand Activation'!C2</f>
        <v>4480</v>
      </c>
    </row>
    <row r="21" ht="15.75" customHeight="1">
      <c r="B21" s="14" t="s">
        <v>20</v>
      </c>
      <c r="C21" s="15">
        <v>0.0</v>
      </c>
    </row>
    <row r="22" ht="15.75" customHeight="1">
      <c r="B22" s="6" t="s">
        <v>21</v>
      </c>
      <c r="C22" s="7">
        <f>sum(C20,C18,C14,C9,C4)</f>
        <v>151276.32</v>
      </c>
    </row>
    <row r="23" ht="15.75" customHeight="1">
      <c r="B23" s="16" t="s">
        <v>22</v>
      </c>
      <c r="C23" s="17">
        <f>sum('Offline &amp; RG Community'!H32,Hudle!E7,Playo!F7,District!C2,Misfits!D2,Courtly!F2,Membership!E4,'Brand Activation'!C2)</f>
        <v>147817.89</v>
      </c>
    </row>
    <row r="24" ht="15.75" customHeight="1">
      <c r="B24" s="6" t="s">
        <v>23</v>
      </c>
      <c r="C24" s="7">
        <f>C23/1.18</f>
        <v>125269.3983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9.75"/>
    <col customWidth="1" min="3" max="3" width="18.25"/>
    <col customWidth="1" min="4" max="4" width="13.25"/>
    <col customWidth="1" min="5" max="5" width="15.13"/>
    <col customWidth="1" min="6" max="6" width="17.63"/>
    <col customWidth="1" min="8" max="8" width="12.25"/>
  </cols>
  <sheetData>
    <row r="1" ht="15.75" customHeight="1">
      <c r="A1" s="18" t="s">
        <v>24</v>
      </c>
      <c r="B1" s="18" t="s">
        <v>25</v>
      </c>
      <c r="C1" s="18" t="s">
        <v>26</v>
      </c>
      <c r="D1" s="18" t="s">
        <v>27</v>
      </c>
      <c r="E1" s="18" t="s">
        <v>28</v>
      </c>
      <c r="F1" s="18" t="s">
        <v>29</v>
      </c>
      <c r="G1" s="18" t="s">
        <v>30</v>
      </c>
      <c r="H1" s="19" t="s">
        <v>31</v>
      </c>
    </row>
    <row r="2" ht="15.75" customHeight="1">
      <c r="A2" s="20">
        <v>45962.0</v>
      </c>
      <c r="B2" s="21" t="s">
        <v>32</v>
      </c>
      <c r="C2" s="22">
        <v>7.5</v>
      </c>
      <c r="D2" s="23" t="s">
        <v>33</v>
      </c>
      <c r="E2" s="22">
        <v>5170.0</v>
      </c>
      <c r="F2" s="22">
        <v>560.0</v>
      </c>
      <c r="G2" s="22">
        <v>600.0</v>
      </c>
      <c r="H2" s="24">
        <f t="shared" ref="H2:H31" si="1">sum(E2:G2)</f>
        <v>6330</v>
      </c>
    </row>
    <row r="3" ht="15.75" customHeight="1">
      <c r="A3" s="20">
        <v>45963.0</v>
      </c>
      <c r="B3" s="21" t="s">
        <v>34</v>
      </c>
      <c r="C3" s="22">
        <v>6.0</v>
      </c>
      <c r="D3" s="23" t="s">
        <v>33</v>
      </c>
      <c r="E3" s="25">
        <v>4600.0</v>
      </c>
      <c r="F3" s="22">
        <v>0.0</v>
      </c>
      <c r="G3" s="26">
        <v>400.0</v>
      </c>
      <c r="H3" s="26">
        <f t="shared" si="1"/>
        <v>5000</v>
      </c>
    </row>
    <row r="4" ht="15.75" customHeight="1">
      <c r="A4" s="20">
        <v>45964.0</v>
      </c>
      <c r="B4" s="21" t="s">
        <v>35</v>
      </c>
      <c r="C4" s="22">
        <v>1.0</v>
      </c>
      <c r="D4" s="23" t="s">
        <v>33</v>
      </c>
      <c r="E4" s="22">
        <v>560.0</v>
      </c>
      <c r="F4" s="22">
        <v>0.0</v>
      </c>
      <c r="G4" s="22">
        <v>100.0</v>
      </c>
      <c r="H4" s="24">
        <f t="shared" si="1"/>
        <v>660</v>
      </c>
    </row>
    <row r="5" ht="15.75" customHeight="1">
      <c r="A5" s="20">
        <v>45965.0</v>
      </c>
      <c r="B5" s="21" t="s">
        <v>36</v>
      </c>
      <c r="C5" s="22">
        <v>4.5</v>
      </c>
      <c r="D5" s="23" t="s">
        <v>33</v>
      </c>
      <c r="E5" s="22">
        <v>2480.0</v>
      </c>
      <c r="F5" s="22">
        <v>0.0</v>
      </c>
      <c r="G5" s="22">
        <v>500.0</v>
      </c>
      <c r="H5" s="24">
        <f t="shared" si="1"/>
        <v>2980</v>
      </c>
    </row>
    <row r="6" ht="15.75" customHeight="1">
      <c r="A6" s="20">
        <v>45966.0</v>
      </c>
      <c r="B6" s="21" t="s">
        <v>37</v>
      </c>
      <c r="C6" s="22">
        <v>4.5</v>
      </c>
      <c r="D6" s="23" t="s">
        <v>33</v>
      </c>
      <c r="E6" s="26">
        <v>2400.0</v>
      </c>
      <c r="F6" s="22">
        <v>1540.0</v>
      </c>
      <c r="G6" s="26">
        <v>0.0</v>
      </c>
      <c r="H6" s="26">
        <f t="shared" si="1"/>
        <v>3940</v>
      </c>
    </row>
    <row r="7" ht="15.75" customHeight="1">
      <c r="A7" s="20">
        <v>45967.0</v>
      </c>
      <c r="B7" s="21" t="s">
        <v>38</v>
      </c>
      <c r="C7" s="22">
        <v>0.0</v>
      </c>
      <c r="D7" s="23" t="s">
        <v>33</v>
      </c>
      <c r="E7" s="26">
        <v>0.0</v>
      </c>
      <c r="F7" s="22">
        <v>0.0</v>
      </c>
      <c r="G7" s="26">
        <v>100.0</v>
      </c>
      <c r="H7" s="26">
        <f t="shared" si="1"/>
        <v>100</v>
      </c>
    </row>
    <row r="8" ht="15.75" customHeight="1">
      <c r="A8" s="20">
        <v>45968.0</v>
      </c>
      <c r="B8" s="21" t="s">
        <v>39</v>
      </c>
      <c r="C8" s="22">
        <v>3.5</v>
      </c>
      <c r="D8" s="23" t="s">
        <v>33</v>
      </c>
      <c r="E8" s="26">
        <v>2320.0</v>
      </c>
      <c r="F8" s="22">
        <v>0.0</v>
      </c>
      <c r="G8" s="26">
        <v>300.0</v>
      </c>
      <c r="H8" s="26">
        <f t="shared" si="1"/>
        <v>2620</v>
      </c>
    </row>
    <row r="9" ht="15.75" customHeight="1">
      <c r="A9" s="20">
        <v>45969.0</v>
      </c>
      <c r="B9" s="21" t="s">
        <v>32</v>
      </c>
      <c r="C9" s="22">
        <v>4.0</v>
      </c>
      <c r="D9" s="23" t="s">
        <v>33</v>
      </c>
      <c r="E9" s="26">
        <v>2450.0</v>
      </c>
      <c r="F9" s="22">
        <v>0.0</v>
      </c>
      <c r="G9" s="26">
        <v>300.0</v>
      </c>
      <c r="H9" s="26">
        <f t="shared" si="1"/>
        <v>2750</v>
      </c>
    </row>
    <row r="10" ht="15.75" customHeight="1">
      <c r="A10" s="20">
        <v>45970.0</v>
      </c>
      <c r="B10" s="21" t="s">
        <v>34</v>
      </c>
      <c r="C10" s="22">
        <v>4.0</v>
      </c>
      <c r="D10" s="23" t="s">
        <v>33</v>
      </c>
      <c r="E10" s="26">
        <v>2880.0</v>
      </c>
      <c r="F10" s="22">
        <v>0.0</v>
      </c>
      <c r="G10" s="26">
        <v>400.0</v>
      </c>
      <c r="H10" s="26">
        <f t="shared" si="1"/>
        <v>3280</v>
      </c>
    </row>
    <row r="11" ht="15.75" customHeight="1">
      <c r="A11" s="20">
        <v>45971.0</v>
      </c>
      <c r="B11" s="21" t="s">
        <v>35</v>
      </c>
      <c r="C11" s="22">
        <v>3.5</v>
      </c>
      <c r="D11" s="23" t="s">
        <v>33</v>
      </c>
      <c r="E11" s="27">
        <v>3240.0</v>
      </c>
      <c r="F11" s="13">
        <v>0.0</v>
      </c>
      <c r="G11" s="27">
        <v>100.0</v>
      </c>
      <c r="H11" s="24">
        <f t="shared" si="1"/>
        <v>3340</v>
      </c>
    </row>
    <row r="12" ht="15.75" customHeight="1">
      <c r="A12" s="20">
        <v>45972.0</v>
      </c>
      <c r="B12" s="21" t="s">
        <v>36</v>
      </c>
      <c r="C12" s="22">
        <v>2.5</v>
      </c>
      <c r="D12" s="23" t="s">
        <v>33</v>
      </c>
      <c r="E12" s="26">
        <v>1400.0</v>
      </c>
      <c r="F12" s="22">
        <v>0.0</v>
      </c>
      <c r="G12" s="26">
        <v>100.0</v>
      </c>
      <c r="H12" s="26">
        <f t="shared" si="1"/>
        <v>1500</v>
      </c>
    </row>
    <row r="13" ht="15.75" customHeight="1">
      <c r="A13" s="20">
        <v>45973.0</v>
      </c>
      <c r="B13" s="21" t="s">
        <v>37</v>
      </c>
      <c r="C13" s="22">
        <v>2.0</v>
      </c>
      <c r="D13" s="23" t="s">
        <v>33</v>
      </c>
      <c r="E13" s="26">
        <v>1140.0</v>
      </c>
      <c r="F13" s="22">
        <v>0.0</v>
      </c>
      <c r="G13" s="26">
        <v>300.0</v>
      </c>
      <c r="H13" s="26">
        <f t="shared" si="1"/>
        <v>1440</v>
      </c>
    </row>
    <row r="14" ht="15.75" customHeight="1">
      <c r="A14" s="20">
        <v>45974.0</v>
      </c>
      <c r="B14" s="21" t="s">
        <v>38</v>
      </c>
      <c r="C14" s="22">
        <v>4.0</v>
      </c>
      <c r="D14" s="23" t="s">
        <v>33</v>
      </c>
      <c r="E14" s="26">
        <v>3520.0</v>
      </c>
      <c r="F14" s="22">
        <v>0.0</v>
      </c>
      <c r="G14" s="26">
        <v>75.0</v>
      </c>
      <c r="H14" s="26">
        <f t="shared" si="1"/>
        <v>3595</v>
      </c>
    </row>
    <row r="15" ht="15.75" customHeight="1">
      <c r="A15" s="20">
        <v>45975.0</v>
      </c>
      <c r="B15" s="21" t="s">
        <v>39</v>
      </c>
      <c r="C15" s="22">
        <v>6.0</v>
      </c>
      <c r="D15" s="23" t="s">
        <v>33</v>
      </c>
      <c r="E15" s="22">
        <v>4440.0</v>
      </c>
      <c r="F15" s="22">
        <v>0.0</v>
      </c>
      <c r="G15" s="22">
        <v>400.0</v>
      </c>
      <c r="H15" s="24">
        <f t="shared" si="1"/>
        <v>4840</v>
      </c>
    </row>
    <row r="16" ht="15.75" customHeight="1">
      <c r="A16" s="20">
        <v>45976.0</v>
      </c>
      <c r="B16" s="21" t="s">
        <v>32</v>
      </c>
      <c r="C16" s="22">
        <v>6.5</v>
      </c>
      <c r="D16" s="22" t="s">
        <v>33</v>
      </c>
      <c r="E16" s="26">
        <v>6280.0</v>
      </c>
      <c r="F16" s="22">
        <v>0.0</v>
      </c>
      <c r="G16" s="26">
        <v>100.0</v>
      </c>
      <c r="H16" s="26">
        <f t="shared" si="1"/>
        <v>6380</v>
      </c>
    </row>
    <row r="17" ht="15.75" customHeight="1">
      <c r="A17" s="20">
        <v>45977.0</v>
      </c>
      <c r="B17" s="21" t="s">
        <v>34</v>
      </c>
      <c r="C17" s="22">
        <v>13.0</v>
      </c>
      <c r="D17" s="22" t="s">
        <v>33</v>
      </c>
      <c r="E17" s="26">
        <v>8040.0</v>
      </c>
      <c r="F17" s="22">
        <v>840.0</v>
      </c>
      <c r="G17" s="26">
        <v>500.0</v>
      </c>
      <c r="H17" s="26">
        <f t="shared" si="1"/>
        <v>9380</v>
      </c>
    </row>
    <row r="18" ht="15.75" customHeight="1">
      <c r="A18" s="20">
        <v>45978.0</v>
      </c>
      <c r="B18" s="21" t="s">
        <v>35</v>
      </c>
      <c r="C18" s="22">
        <v>0.0</v>
      </c>
      <c r="D18" s="22" t="s">
        <v>33</v>
      </c>
      <c r="E18" s="22">
        <v>0.0</v>
      </c>
      <c r="F18" s="22">
        <v>0.0</v>
      </c>
      <c r="G18" s="22">
        <v>0.0</v>
      </c>
      <c r="H18" s="24">
        <f t="shared" si="1"/>
        <v>0</v>
      </c>
    </row>
    <row r="19" ht="15.75" customHeight="1">
      <c r="A19" s="20">
        <v>45979.0</v>
      </c>
      <c r="B19" s="21" t="s">
        <v>36</v>
      </c>
      <c r="C19" s="22">
        <v>3.5</v>
      </c>
      <c r="D19" s="22" t="s">
        <v>33</v>
      </c>
      <c r="E19" s="26">
        <v>1960.0</v>
      </c>
      <c r="F19" s="22">
        <v>0.0</v>
      </c>
      <c r="G19" s="26">
        <v>200.0</v>
      </c>
      <c r="H19" s="26">
        <f t="shared" si="1"/>
        <v>2160</v>
      </c>
    </row>
    <row r="20" ht="15.75" customHeight="1">
      <c r="A20" s="20">
        <v>45980.0</v>
      </c>
      <c r="B20" s="21" t="s">
        <v>37</v>
      </c>
      <c r="C20" s="22">
        <v>4.0</v>
      </c>
      <c r="D20" s="22" t="s">
        <v>33</v>
      </c>
      <c r="E20" s="24">
        <v>4400.0</v>
      </c>
      <c r="F20" s="24">
        <v>0.0</v>
      </c>
      <c r="G20" s="24">
        <v>0.0</v>
      </c>
      <c r="H20" s="24">
        <f t="shared" si="1"/>
        <v>4400</v>
      </c>
    </row>
    <row r="21" ht="15.75" customHeight="1">
      <c r="A21" s="20">
        <v>45981.0</v>
      </c>
      <c r="B21" s="21" t="s">
        <v>38</v>
      </c>
      <c r="C21" s="22">
        <v>3.5</v>
      </c>
      <c r="D21" s="22" t="s">
        <v>33</v>
      </c>
      <c r="E21" s="26">
        <v>1960.0</v>
      </c>
      <c r="F21" s="22">
        <v>0.0</v>
      </c>
      <c r="G21" s="26">
        <v>200.0</v>
      </c>
      <c r="H21" s="26">
        <f t="shared" si="1"/>
        <v>2160</v>
      </c>
    </row>
    <row r="22" ht="15.75" customHeight="1">
      <c r="A22" s="20">
        <v>45982.0</v>
      </c>
      <c r="B22" s="21" t="s">
        <v>39</v>
      </c>
      <c r="C22" s="22">
        <v>1.5</v>
      </c>
      <c r="D22" s="22" t="s">
        <v>33</v>
      </c>
      <c r="E22" s="22">
        <v>2040.0</v>
      </c>
      <c r="F22" s="22">
        <v>0.0</v>
      </c>
      <c r="G22" s="28"/>
      <c r="H22" s="24">
        <f t="shared" si="1"/>
        <v>2040</v>
      </c>
    </row>
    <row r="23" ht="15.75" customHeight="1">
      <c r="A23" s="20">
        <v>45983.0</v>
      </c>
      <c r="B23" s="21" t="s">
        <v>32</v>
      </c>
      <c r="C23" s="22">
        <v>4.5</v>
      </c>
      <c r="D23" s="22" t="s">
        <v>33</v>
      </c>
      <c r="E23" s="22">
        <v>3210.0</v>
      </c>
      <c r="F23" s="22">
        <v>0.0</v>
      </c>
      <c r="G23" s="22">
        <v>500.0</v>
      </c>
      <c r="H23" s="24">
        <f t="shared" si="1"/>
        <v>3710</v>
      </c>
    </row>
    <row r="24" ht="15.75" customHeight="1">
      <c r="A24" s="20">
        <v>45984.0</v>
      </c>
      <c r="B24" s="21" t="s">
        <v>34</v>
      </c>
      <c r="C24" s="22">
        <v>3.0</v>
      </c>
      <c r="D24" s="22" t="s">
        <v>33</v>
      </c>
      <c r="E24" s="26">
        <v>2320.0</v>
      </c>
      <c r="F24" s="22">
        <v>200.0</v>
      </c>
      <c r="G24" s="26">
        <v>400.0</v>
      </c>
      <c r="H24" s="26">
        <f t="shared" si="1"/>
        <v>2920</v>
      </c>
    </row>
    <row r="25" ht="15.75" customHeight="1">
      <c r="A25" s="20">
        <v>45985.0</v>
      </c>
      <c r="B25" s="21" t="s">
        <v>35</v>
      </c>
      <c r="C25" s="22">
        <v>2.0</v>
      </c>
      <c r="D25" s="22" t="s">
        <v>33</v>
      </c>
      <c r="E25" s="26">
        <v>2400.0</v>
      </c>
      <c r="F25" s="22">
        <v>0.0</v>
      </c>
      <c r="G25" s="26">
        <v>0.0</v>
      </c>
      <c r="H25" s="26">
        <f t="shared" si="1"/>
        <v>2400</v>
      </c>
    </row>
    <row r="26" ht="15.75" customHeight="1">
      <c r="A26" s="20">
        <v>45986.0</v>
      </c>
      <c r="B26" s="21" t="s">
        <v>36</v>
      </c>
      <c r="C26" s="22">
        <v>5.0</v>
      </c>
      <c r="D26" s="22" t="s">
        <v>33</v>
      </c>
      <c r="E26" s="26">
        <v>3370.0</v>
      </c>
      <c r="F26" s="22">
        <v>0.0</v>
      </c>
      <c r="G26" s="26">
        <v>20.0</v>
      </c>
      <c r="H26" s="26">
        <f t="shared" si="1"/>
        <v>3390</v>
      </c>
    </row>
    <row r="27" ht="15.75" customHeight="1">
      <c r="A27" s="20">
        <v>45987.0</v>
      </c>
      <c r="B27" s="21" t="s">
        <v>37</v>
      </c>
      <c r="C27" s="22">
        <v>2.0</v>
      </c>
      <c r="D27" s="22" t="s">
        <v>33</v>
      </c>
      <c r="E27" s="26">
        <v>1120.0</v>
      </c>
      <c r="F27" s="22">
        <v>0.0</v>
      </c>
      <c r="G27" s="22">
        <v>100.0</v>
      </c>
      <c r="H27" s="26">
        <f t="shared" si="1"/>
        <v>1220</v>
      </c>
    </row>
    <row r="28" ht="15.75" customHeight="1">
      <c r="A28" s="20">
        <v>45988.0</v>
      </c>
      <c r="B28" s="21" t="s">
        <v>38</v>
      </c>
      <c r="C28" s="22">
        <v>3.0</v>
      </c>
      <c r="D28" s="22" t="s">
        <v>33</v>
      </c>
      <c r="E28" s="22">
        <v>3680.0</v>
      </c>
      <c r="F28" s="22">
        <v>0.0</v>
      </c>
      <c r="G28" s="26">
        <v>100.0</v>
      </c>
      <c r="H28" s="24">
        <f t="shared" si="1"/>
        <v>3780</v>
      </c>
    </row>
    <row r="29" ht="15.75" customHeight="1">
      <c r="A29" s="20">
        <v>45989.0</v>
      </c>
      <c r="B29" s="21" t="s">
        <v>39</v>
      </c>
      <c r="C29" s="24">
        <v>2.0</v>
      </c>
      <c r="D29" s="22" t="s">
        <v>33</v>
      </c>
      <c r="E29" s="26">
        <v>2920.0</v>
      </c>
      <c r="F29" s="13">
        <v>0.0</v>
      </c>
      <c r="G29" s="26">
        <v>100.0</v>
      </c>
      <c r="H29" s="26">
        <f t="shared" si="1"/>
        <v>3020</v>
      </c>
    </row>
    <row r="30" ht="15.75" customHeight="1">
      <c r="A30" s="20">
        <v>45990.0</v>
      </c>
      <c r="B30" s="21" t="s">
        <v>32</v>
      </c>
      <c r="C30" s="29">
        <v>4.0</v>
      </c>
      <c r="D30" s="22" t="s">
        <v>33</v>
      </c>
      <c r="E30" s="29">
        <v>3370.0</v>
      </c>
      <c r="F30" s="29">
        <v>0.0</v>
      </c>
      <c r="G30" s="22">
        <v>400.0</v>
      </c>
      <c r="H30" s="24">
        <f t="shared" si="1"/>
        <v>3770</v>
      </c>
    </row>
    <row r="31" ht="15.75" customHeight="1">
      <c r="A31" s="20">
        <v>45991.0</v>
      </c>
      <c r="B31" s="21" t="s">
        <v>34</v>
      </c>
      <c r="C31" s="29">
        <v>5.0</v>
      </c>
      <c r="D31" s="22" t="s">
        <v>33</v>
      </c>
      <c r="E31" s="29">
        <v>2170.0</v>
      </c>
      <c r="F31" s="29">
        <v>180.0</v>
      </c>
      <c r="G31" s="22">
        <v>300.0</v>
      </c>
      <c r="H31" s="24">
        <f t="shared" si="1"/>
        <v>2650</v>
      </c>
    </row>
    <row r="32" ht="15.75" customHeight="1">
      <c r="A32" s="30" t="s">
        <v>40</v>
      </c>
      <c r="B32" s="21"/>
      <c r="C32" s="31">
        <f>SUM(C2:C31)</f>
        <v>115.5</v>
      </c>
      <c r="D32" s="32"/>
      <c r="E32" s="31">
        <f t="shared" ref="E32:H32" si="2">SUM(E2:E31)</f>
        <v>85840</v>
      </c>
      <c r="F32" s="31">
        <f t="shared" si="2"/>
        <v>3320</v>
      </c>
      <c r="G32" s="31">
        <f t="shared" si="2"/>
        <v>6595</v>
      </c>
      <c r="H32" s="33">
        <f t="shared" si="2"/>
        <v>95755</v>
      </c>
      <c r="I32" s="3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3.0"/>
    <col customWidth="1" min="3" max="3" width="12.63"/>
    <col customWidth="1" min="4" max="4" width="23.88"/>
    <col customWidth="1" min="5" max="8" width="12.63"/>
  </cols>
  <sheetData>
    <row r="1" ht="15.75" customHeight="1">
      <c r="A1" s="35" t="s">
        <v>41</v>
      </c>
      <c r="B1" s="36" t="s">
        <v>24</v>
      </c>
      <c r="C1" s="36" t="s">
        <v>42</v>
      </c>
      <c r="D1" s="36" t="s">
        <v>43</v>
      </c>
      <c r="E1" s="37" t="s">
        <v>44</v>
      </c>
      <c r="F1" s="36" t="s">
        <v>45</v>
      </c>
      <c r="G1" s="36" t="s">
        <v>46</v>
      </c>
      <c r="H1" s="36" t="s">
        <v>2</v>
      </c>
    </row>
    <row r="2" ht="15.75" customHeight="1">
      <c r="A2" s="38"/>
      <c r="B2" s="13" t="s">
        <v>47</v>
      </c>
      <c r="C2" s="39">
        <v>4500.0</v>
      </c>
      <c r="D2" s="39">
        <v>585.0</v>
      </c>
      <c r="E2" s="40">
        <f t="shared" ref="E2:E5" si="1">C2-D2</f>
        <v>3915</v>
      </c>
      <c r="F2" s="39">
        <v>3.81</v>
      </c>
      <c r="G2" s="39">
        <v>19.06</v>
      </c>
      <c r="H2" s="13">
        <v>3892.11</v>
      </c>
    </row>
    <row r="3" ht="15.75" customHeight="1">
      <c r="A3" s="38"/>
      <c r="B3" s="13" t="s">
        <v>48</v>
      </c>
      <c r="C3" s="39">
        <v>2560.0</v>
      </c>
      <c r="D3" s="13">
        <v>332.8</v>
      </c>
      <c r="E3" s="40">
        <f t="shared" si="1"/>
        <v>2227.2</v>
      </c>
      <c r="F3" s="13">
        <v>2.16</v>
      </c>
      <c r="G3" s="13">
        <v>10.84</v>
      </c>
      <c r="H3" s="13">
        <v>2214.8</v>
      </c>
    </row>
    <row r="4" ht="15.75" customHeight="1">
      <c r="A4" s="38"/>
      <c r="B4" s="13" t="s">
        <v>49</v>
      </c>
      <c r="C4" s="39">
        <v>6870.0</v>
      </c>
      <c r="D4" s="13">
        <v>899.6</v>
      </c>
      <c r="E4" s="40">
        <f t="shared" si="1"/>
        <v>5970.4</v>
      </c>
      <c r="F4" s="13">
        <v>5.8</v>
      </c>
      <c r="G4" s="13">
        <v>29.3</v>
      </c>
      <c r="H4" s="13">
        <v>5965.22</v>
      </c>
    </row>
    <row r="5" ht="15.75" customHeight="1">
      <c r="A5" s="38"/>
      <c r="B5" s="13" t="s">
        <v>50</v>
      </c>
      <c r="C5" s="39">
        <v>4515.0</v>
      </c>
      <c r="D5" s="13">
        <v>586.95</v>
      </c>
      <c r="E5" s="40">
        <f t="shared" si="1"/>
        <v>3928.05</v>
      </c>
      <c r="F5" s="13">
        <v>3.8</v>
      </c>
      <c r="G5" s="13">
        <v>19.13</v>
      </c>
      <c r="H5" s="13">
        <v>3905.09</v>
      </c>
    </row>
    <row r="6" ht="15.75" customHeight="1">
      <c r="A6" s="41"/>
      <c r="B6" s="13"/>
      <c r="C6" s="42"/>
      <c r="D6" s="13"/>
      <c r="E6" s="40"/>
      <c r="F6" s="13"/>
      <c r="G6" s="13"/>
      <c r="H6" s="27"/>
    </row>
    <row r="7" ht="15.75" customHeight="1">
      <c r="A7" s="38"/>
      <c r="B7" s="8"/>
      <c r="C7" s="43">
        <f>SUM(C2:C5)</f>
        <v>18445</v>
      </c>
      <c r="D7" s="8"/>
      <c r="E7" s="43">
        <f>SUM(E2:E6)</f>
        <v>16040.65</v>
      </c>
      <c r="F7" s="8"/>
      <c r="G7" s="8"/>
      <c r="H7" s="33">
        <f>SUM(H2:H6)</f>
        <v>15977.22</v>
      </c>
    </row>
    <row r="8" ht="15.75" customHeight="1">
      <c r="E8" s="4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3.25"/>
    <col customWidth="1" min="3" max="4" width="14.0"/>
    <col customWidth="1" min="5" max="5" width="23.88"/>
    <col customWidth="1" min="6" max="7" width="12.63"/>
    <col customWidth="1" min="8" max="8" width="6.88"/>
    <col customWidth="1" min="9" max="10" width="14.13"/>
  </cols>
  <sheetData>
    <row r="1" ht="15.75" customHeight="1">
      <c r="A1" s="44" t="s">
        <v>41</v>
      </c>
      <c r="B1" s="37" t="s">
        <v>24</v>
      </c>
      <c r="C1" s="37" t="s">
        <v>51</v>
      </c>
      <c r="D1" s="37" t="s">
        <v>52</v>
      </c>
      <c r="E1" s="37" t="s">
        <v>53</v>
      </c>
      <c r="F1" s="37" t="s">
        <v>44</v>
      </c>
      <c r="G1" s="37" t="s">
        <v>54</v>
      </c>
      <c r="H1" s="37" t="s">
        <v>55</v>
      </c>
      <c r="I1" s="37" t="s">
        <v>56</v>
      </c>
    </row>
    <row r="2" ht="15.75" customHeight="1">
      <c r="A2" s="38"/>
      <c r="B2" s="13" t="s">
        <v>57</v>
      </c>
      <c r="C2" s="27">
        <v>800.0</v>
      </c>
      <c r="D2" s="27">
        <v>56.0</v>
      </c>
      <c r="E2" s="27">
        <v>10.08</v>
      </c>
      <c r="F2" s="40">
        <f t="shared" ref="F2:F5" si="1">C2 - D2-E2</f>
        <v>733.92</v>
      </c>
      <c r="G2" s="27">
        <v>0.8</v>
      </c>
      <c r="H2" s="27">
        <v>4.0</v>
      </c>
      <c r="I2" s="45">
        <v>729.12</v>
      </c>
    </row>
    <row r="3" ht="15.75" customHeight="1">
      <c r="A3" s="38"/>
      <c r="B3" s="8"/>
      <c r="C3" s="24"/>
      <c r="D3" s="24"/>
      <c r="E3" s="24"/>
      <c r="F3" s="40">
        <f t="shared" si="1"/>
        <v>0</v>
      </c>
      <c r="G3" s="24"/>
      <c r="H3" s="24"/>
      <c r="I3" s="24"/>
    </row>
    <row r="4" ht="15.75" customHeight="1">
      <c r="A4" s="41"/>
      <c r="B4" s="13"/>
      <c r="C4" s="13"/>
      <c r="D4" s="13"/>
      <c r="E4" s="13"/>
      <c r="F4" s="40">
        <f t="shared" si="1"/>
        <v>0</v>
      </c>
      <c r="G4" s="13"/>
      <c r="H4" s="13"/>
      <c r="I4" s="13"/>
    </row>
    <row r="5" ht="15.75" customHeight="1">
      <c r="A5" s="41"/>
      <c r="B5" s="13"/>
      <c r="C5" s="46"/>
      <c r="D5" s="46"/>
      <c r="E5" s="46"/>
      <c r="F5" s="40">
        <f t="shared" si="1"/>
        <v>0</v>
      </c>
      <c r="G5" s="46"/>
      <c r="H5" s="46"/>
      <c r="I5" s="46"/>
    </row>
    <row r="6" ht="15.75" customHeight="1">
      <c r="A6" s="41"/>
      <c r="B6" s="13"/>
      <c r="C6" s="47"/>
      <c r="D6" s="48"/>
      <c r="E6" s="13"/>
      <c r="F6" s="43"/>
      <c r="G6" s="8"/>
      <c r="H6" s="13"/>
      <c r="I6" s="47"/>
    </row>
    <row r="7" ht="15.75" customHeight="1">
      <c r="A7" s="38"/>
      <c r="B7" s="8"/>
      <c r="C7" s="49">
        <f>SUM(C2:C5)</f>
        <v>800</v>
      </c>
      <c r="D7" s="50"/>
      <c r="E7" s="8"/>
      <c r="F7" s="43">
        <f>SUM(F2:F6)</f>
        <v>733.92</v>
      </c>
      <c r="G7" s="8"/>
      <c r="H7" s="8"/>
      <c r="I7" s="49">
        <f>SUM(I2:I5)</f>
        <v>729.12</v>
      </c>
    </row>
    <row r="8" ht="15.75" customHeight="1">
      <c r="F8" s="4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8.25"/>
    <col customWidth="1" min="4" max="4" width="14.38"/>
  </cols>
  <sheetData>
    <row r="1">
      <c r="A1" s="44" t="s">
        <v>41</v>
      </c>
      <c r="B1" s="37" t="s">
        <v>24</v>
      </c>
      <c r="C1" s="51" t="s">
        <v>58</v>
      </c>
      <c r="D1" s="37" t="s">
        <v>52</v>
      </c>
      <c r="E1" s="37" t="s">
        <v>56</v>
      </c>
    </row>
    <row r="2">
      <c r="A2" s="41"/>
      <c r="B2" s="13" t="s">
        <v>59</v>
      </c>
      <c r="C2" s="13">
        <v>776.32</v>
      </c>
      <c r="D2" s="13">
        <v>0.0</v>
      </c>
      <c r="E2" s="13"/>
    </row>
    <row r="3">
      <c r="A3" s="38"/>
      <c r="B3" s="8"/>
      <c r="C3" s="8"/>
      <c r="D3" s="8"/>
      <c r="E3" s="8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7.25"/>
    <col customWidth="1" min="3" max="3" width="18.25"/>
    <col customWidth="1" min="4" max="4" width="23.88"/>
    <col customWidth="1" min="5" max="5" width="14.13"/>
    <col customWidth="1" min="6" max="7" width="12.63"/>
    <col customWidth="1" min="8" max="8" width="14.13"/>
  </cols>
  <sheetData>
    <row r="1" ht="15.75" customHeight="1">
      <c r="A1" s="52"/>
      <c r="B1" s="37" t="s">
        <v>24</v>
      </c>
      <c r="C1" s="37" t="s">
        <v>60</v>
      </c>
      <c r="D1" s="37" t="s">
        <v>52</v>
      </c>
      <c r="E1" s="37" t="s">
        <v>56</v>
      </c>
    </row>
    <row r="2" ht="15.75" customHeight="1">
      <c r="A2" s="41"/>
      <c r="B2" s="13" t="s">
        <v>59</v>
      </c>
      <c r="C2" s="13">
        <v>0.0</v>
      </c>
      <c r="D2" s="13"/>
      <c r="E2" s="13"/>
    </row>
    <row r="3" ht="15.75" customHeight="1">
      <c r="A3" s="38"/>
      <c r="B3" s="8"/>
      <c r="C3" s="8"/>
      <c r="D3" s="8"/>
      <c r="E3" s="8"/>
    </row>
    <row r="4" ht="15.75" customHeight="1">
      <c r="A4" s="38"/>
      <c r="B4" s="8"/>
      <c r="C4" s="53">
        <f>SUM(C2:C3)</f>
        <v>0</v>
      </c>
      <c r="D4" s="8"/>
      <c r="E4" s="53">
        <f>SUM(E2:E3)</f>
        <v>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7.25"/>
    <col customWidth="1" min="3" max="3" width="14.75"/>
    <col customWidth="1" min="4" max="4" width="18.5"/>
    <col customWidth="1" min="5" max="5" width="24.38"/>
    <col customWidth="1" min="6" max="6" width="14.13"/>
    <col customWidth="1" min="7" max="7" width="12.63"/>
  </cols>
  <sheetData>
    <row r="1" ht="15.75" customHeight="1">
      <c r="A1" s="44" t="s">
        <v>41</v>
      </c>
      <c r="B1" s="54" t="s">
        <v>24</v>
      </c>
      <c r="C1" s="54" t="s">
        <v>61</v>
      </c>
      <c r="D1" s="54" t="s">
        <v>62</v>
      </c>
      <c r="E1" s="55" t="s">
        <v>63</v>
      </c>
      <c r="F1" s="54" t="s">
        <v>56</v>
      </c>
    </row>
    <row r="2" ht="15.75" customHeight="1">
      <c r="A2" s="41"/>
      <c r="B2" s="27" t="s">
        <v>59</v>
      </c>
      <c r="C2" s="56">
        <v>4640.0</v>
      </c>
      <c r="D2" s="13">
        <v>3712.0</v>
      </c>
      <c r="E2" s="13">
        <v>74.12</v>
      </c>
      <c r="F2" s="12">
        <f>D2-E2</f>
        <v>3637.88</v>
      </c>
    </row>
    <row r="3" ht="15.75" customHeight="1">
      <c r="B3" s="57"/>
    </row>
    <row r="4" ht="15.75" customHeight="1">
      <c r="B4" s="57"/>
    </row>
    <row r="5" ht="15.75" customHeight="1">
      <c r="B5" s="57"/>
    </row>
    <row r="6" ht="15.75" customHeight="1">
      <c r="B6" s="57"/>
    </row>
    <row r="7" ht="15.75" customHeight="1">
      <c r="C7" s="5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7.25"/>
    <col customWidth="1" min="3" max="3" width="14.75"/>
    <col customWidth="1" min="4" max="4" width="18.5"/>
    <col customWidth="1" min="5" max="5" width="24.38"/>
    <col customWidth="1" min="6" max="6" width="14.13"/>
    <col customWidth="1" min="7" max="7" width="12.63"/>
  </cols>
  <sheetData>
    <row r="1" ht="15.75" customHeight="1">
      <c r="A1" s="44" t="s">
        <v>41</v>
      </c>
      <c r="B1" s="54" t="s">
        <v>24</v>
      </c>
      <c r="C1" s="51" t="s">
        <v>64</v>
      </c>
      <c r="D1" s="51" t="s">
        <v>65</v>
      </c>
      <c r="E1" s="55" t="s">
        <v>63</v>
      </c>
      <c r="F1" s="54" t="s">
        <v>56</v>
      </c>
    </row>
    <row r="2" ht="15.75" customHeight="1">
      <c r="A2" s="41"/>
      <c r="B2" s="59">
        <v>45980.0</v>
      </c>
      <c r="C2" s="56">
        <v>2000.0</v>
      </c>
      <c r="D2" s="13">
        <v>60.0</v>
      </c>
      <c r="E2" s="60"/>
      <c r="F2" s="12">
        <v>1940.0</v>
      </c>
    </row>
    <row r="3" ht="15.75" customHeight="1">
      <c r="B3" s="57"/>
    </row>
    <row r="4" ht="15.75" customHeight="1">
      <c r="B4" s="57"/>
    </row>
    <row r="5" ht="15.75" customHeight="1">
      <c r="B5" s="57"/>
    </row>
    <row r="6" ht="15.75" customHeight="1">
      <c r="B6" s="57"/>
    </row>
    <row r="7" ht="15.75" customHeight="1">
      <c r="C7" s="5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15.25"/>
    <col customWidth="1" min="3" max="3" width="17.13"/>
    <col customWidth="1" min="4" max="4" width="12.63"/>
    <col customWidth="1" min="5" max="5" width="15.25"/>
    <col customWidth="1" min="6" max="6" width="12.63"/>
  </cols>
  <sheetData>
    <row r="1" ht="15.75" customHeight="1">
      <c r="A1" s="54" t="s">
        <v>66</v>
      </c>
      <c r="B1" s="54" t="s">
        <v>67</v>
      </c>
      <c r="C1" s="54" t="s">
        <v>68</v>
      </c>
      <c r="D1" s="54" t="s">
        <v>69</v>
      </c>
      <c r="E1" s="61" t="s">
        <v>70</v>
      </c>
    </row>
    <row r="2" ht="15.75" customHeight="1">
      <c r="A2" s="56" t="s">
        <v>71</v>
      </c>
      <c r="B2" s="41" t="s">
        <v>72</v>
      </c>
      <c r="C2" s="41" t="s">
        <v>73</v>
      </c>
      <c r="D2" s="62">
        <v>45962.0</v>
      </c>
      <c r="E2" s="56">
        <v>18880.0</v>
      </c>
    </row>
    <row r="3" ht="15.75" customHeight="1">
      <c r="A3" s="63" t="s">
        <v>74</v>
      </c>
      <c r="B3" s="63" t="s">
        <v>75</v>
      </c>
      <c r="C3" s="41" t="s">
        <v>76</v>
      </c>
      <c r="D3" s="64">
        <v>45978.0</v>
      </c>
      <c r="E3" s="65">
        <v>5500.0</v>
      </c>
      <c r="F3" s="45"/>
      <c r="G3" s="38"/>
      <c r="H3" s="65"/>
      <c r="I3" s="64"/>
      <c r="J3" s="65"/>
      <c r="K3" s="38"/>
    </row>
    <row r="4" ht="15.75" customHeight="1">
      <c r="A4" s="66" t="s">
        <v>40</v>
      </c>
      <c r="B4" s="58"/>
      <c r="C4" s="58"/>
      <c r="D4" s="58"/>
      <c r="E4" s="58">
        <f>SUM(E2:E3)</f>
        <v>24380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list" allowBlank="1" showErrorMessage="1" sqref="B2:B3">
      <formula1>"Pickleball,Padel,Box Cricket,Pickle &amp; Box"</formula1>
    </dataValidation>
    <dataValidation type="list" allowBlank="1" showErrorMessage="1" sqref="C2:C3">
      <formula1>"Kickoff Pack (7),Pro Pack (30),Rally Pack (15),Grand slam (90),Collab"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9" t="s">
        <v>77</v>
      </c>
      <c r="B1" s="19" t="s">
        <v>78</v>
      </c>
      <c r="C1" s="19" t="s">
        <v>2</v>
      </c>
      <c r="D1" s="19" t="s">
        <v>79</v>
      </c>
      <c r="E1" s="19" t="s">
        <v>80</v>
      </c>
    </row>
    <row r="2">
      <c r="A2" s="67" t="s">
        <v>81</v>
      </c>
      <c r="B2" s="67" t="s">
        <v>82</v>
      </c>
      <c r="C2" s="67">
        <v>4480.0</v>
      </c>
      <c r="D2" s="67" t="s">
        <v>83</v>
      </c>
      <c r="E2" s="67" t="s">
        <v>84</v>
      </c>
    </row>
  </sheetData>
  <drawing r:id="rId1"/>
</worksheet>
</file>