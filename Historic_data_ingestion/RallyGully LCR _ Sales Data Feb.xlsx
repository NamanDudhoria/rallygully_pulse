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Sportomic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<sst xmlns="http://schemas.openxmlformats.org/spreadsheetml/2006/main" count="128" uniqueCount="63">
  <si>
    <t>Date</t>
  </si>
  <si>
    <t>Link</t>
  </si>
  <si>
    <t>Date: 1 - 28 Feb</t>
  </si>
  <si>
    <t>Day</t>
  </si>
  <si>
    <t>Offline booking hours</t>
  </si>
  <si>
    <t>Particulars</t>
  </si>
  <si>
    <t>Discount Given</t>
  </si>
  <si>
    <t>Amount</t>
  </si>
  <si>
    <t>Booking Revenue</t>
  </si>
  <si>
    <t>Community Revenue</t>
  </si>
  <si>
    <t xml:space="preserve">Paddle Rental </t>
  </si>
  <si>
    <t>Offline</t>
  </si>
  <si>
    <t>Total Revenue</t>
  </si>
  <si>
    <t>Paid to Hudle</t>
  </si>
  <si>
    <t>Sunday</t>
  </si>
  <si>
    <t>Commisions (Including GST)</t>
  </si>
  <si>
    <t>Net Revenue</t>
  </si>
  <si>
    <t>TDS</t>
  </si>
  <si>
    <t>TCS</t>
  </si>
  <si>
    <t>14% and 10%</t>
  </si>
  <si>
    <t>1 - 28 Feb</t>
  </si>
  <si>
    <t>Paid to Playo (₹)</t>
  </si>
  <si>
    <t>Commissions (₹)</t>
  </si>
  <si>
    <t>GST (₹)</t>
  </si>
  <si>
    <t>TDS (₹)</t>
  </si>
  <si>
    <t>Rentals</t>
  </si>
  <si>
    <t>TCS (₹)</t>
  </si>
  <si>
    <t>Final Amount (₹)</t>
  </si>
  <si>
    <t>Monday</t>
  </si>
  <si>
    <t>Tuesday</t>
  </si>
  <si>
    <t>Wednesday</t>
  </si>
  <si>
    <t>F&amp;B</t>
  </si>
  <si>
    <t>Thursday</t>
  </si>
  <si>
    <t>Friday</t>
  </si>
  <si>
    <t>Product Sales</t>
  </si>
  <si>
    <t>Total</t>
  </si>
  <si>
    <t>Bookings</t>
  </si>
  <si>
    <t>Saturday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</si>
  <si>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</si>
  <si>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</si>
  <si>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</si>
  <si>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</si>
  <si>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</si>
  <si>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</si>
  <si>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</si>
  <si>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</si>
  <si>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</si>
  <si>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</si>
  <si>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</si>
  <si>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</si>
  <si>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</si>
  <si>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</si>
  <si>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</si>
  <si>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</si>
  <si>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</si>
  <si>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</si>
  <si>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Paid to Khelomore (₹)</t>
  </si>
  <si>
    <t>Month</t>
  </si>
  <si>
    <t>Sports Type</t>
  </si>
  <si>
    <t>Amount Collected</t>
  </si>
  <si>
    <t>Paid to Sportomic (₹)</t>
  </si>
  <si>
    <t>Feb</t>
  </si>
  <si>
    <t>Football Management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</si>
</sst>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$₹]#,##0.00"/>
    <numFmt numFmtId="166" formatCode="[&gt;9999999][$₹]##\,##\,##\,##0;[&gt;99999][$₹]##\,##\,##0;[$₹]##,##0"/>
    <numFmt numFmtId="167" formatCode="[&gt;9999999][$₹]##\,##\,##\,##0.00;[&gt;99999][$₹]##\,##\,##0.00;[$₹]##,##0.00"/>
  </numFmts>
  <fonts count="12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color rgb="FF000000"/>
      <name val="Arial"/>
    </font>
    <font>
      <b/>
      <u/>
      <color rgb="FF0000FF"/>
      <name val="Arial"/>
    </font>
    <font>
      <b/>
      <color theme="1"/>
      <name val="Arial"/>
      <scheme val="minor"/>
    </font>
    <font>
      <b/>
      <u/>
      <sz val="10.0"/>
      <color rgb="FF0000FF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9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9" xfId="0" applyAlignment="1" applyBorder="1" applyFont="1" applyNumberFormat="1">
      <alignment vertical="bottom"/>
    </xf>
    <xf borderId="1" fillId="2" fontId="1" numFmtId="165" xfId="0" applyAlignment="1" applyBorder="1" applyFill="1" applyFont="1" applyNumberFormat="1">
      <alignment horizontal="center" vertical="bottom"/>
    </xf>
    <xf borderId="1" fillId="0" fontId="4" numFmtId="3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1" fillId="2" fontId="6" numFmtId="165" xfId="0" applyAlignment="1" applyBorder="1" applyFill="1" applyFont="1" applyNumberForma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1" numFmtId="166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4" numFmtId="3" xfId="0" applyAlignment="1" applyBorder="1" applyFont="1" applyNumberFormat="1">
      <alignment horizontal="right" vertical="bottom"/>
    </xf>
    <xf borderId="1" fillId="3" fontId="4" numFmtId="165" xfId="0" applyAlignment="1" applyBorder="1" applyFill="1" applyFont="1" applyNumberFormat="1">
      <alignment vertical="bottom"/>
    </xf>
    <xf borderId="1" fillId="0" fontId="4" numFmtId="167" xfId="0" applyAlignment="1" applyBorder="1" applyFont="1" applyNumberFormat="1">
      <alignment horizontal="right" vertical="bottom"/>
    </xf>
    <xf borderId="1" fillId="3" fontId="4" numFmtId="165" xfId="0" applyAlignment="1" applyBorder="1" applyFill="1" applyFont="1" applyNumberFormat="1">
      <alignment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3" fontId="4" numFmtId="165" xfId="0" applyAlignment="1" applyBorder="1" applyFill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readingOrder="0" vertical="bottom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ill="1" applyFont="1">
      <alignment readingOrder="0" vertical="bottom"/>
    </xf>
    <xf borderId="1" fillId="2" fontId="1" numFmtId="167" xfId="0" applyAlignment="1" applyBorder="1" applyFill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1" fillId="3" fontId="4" numFmtId="165" xfId="0" applyAlignment="1" applyBorder="1" applyFill="1" applyFont="1" applyNumberFormat="1">
      <alignment horizontal="right" vertical="bottom"/>
    </xf>
    <xf borderId="1" fillId="2" fontId="1" numFmtId="165" xfId="0" applyAlignment="1" applyBorder="1" applyFill="1" applyFont="1" applyNumberFormat="1">
      <alignment horizontal="right" vertical="bottom"/>
    </xf>
    <xf borderId="1" fillId="0" fontId="4" numFmtId="3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2" fontId="1" numFmtId="4" xfId="0" applyAlignment="1" applyBorder="1" applyFill="1" applyFont="1" applyNumberFormat="1">
      <alignment horizontal="right" vertical="bottom"/>
    </xf>
    <xf borderId="1" fillId="2" fontId="4" numFmtId="4" xfId="0" applyAlignment="1" applyBorder="1" applyFill="1" applyFont="1" applyNumberFormat="1">
      <alignment horizontal="right" vertical="bottom"/>
    </xf>
    <xf borderId="1" fillId="0" fontId="1" numFmtId="166" xfId="0" applyAlignment="1" applyBorder="1" applyFont="1" applyNumberFormat="1">
      <alignment horizontal="right" readingOrder="0" vertical="bottom"/>
    </xf>
    <xf borderId="0" fillId="0" fontId="7" numFmtId="0" xfId="0" applyFont="1"/>
    <xf borderId="4" fillId="0" fontId="4" numFmtId="0" xfId="0" applyAlignment="1" applyBorder="1" applyFont="1">
      <alignment vertical="bottom"/>
    </xf>
    <xf borderId="4" fillId="0" fontId="4" numFmtId="166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1" numFmtId="165" xfId="0" applyAlignment="1" applyBorder="1" applyFont="1" applyNumberFormat="1">
      <alignment horizontal="right" vertical="bottom"/>
    </xf>
    <xf borderId="1" fillId="2" fontId="8" numFmtId="165" xfId="0" applyAlignment="1" applyBorder="1" applyFill="1" applyFont="1" applyNumberFormat="1">
      <alignment horizontal="center" readingOrder="0" vertical="bottom"/>
    </xf>
    <xf borderId="1" fillId="2" fontId="9" numFmtId="165" xfId="0" applyAlignment="1" applyBorder="1" applyFill="1" applyFont="1" applyNumberFormat="1">
      <alignment horizontal="center" vertical="bottom"/>
    </xf>
    <xf borderId="0" fillId="0" fontId="10" numFmtId="165" xfId="0" applyFont="1" applyNumberFormat="1"/>
    <xf borderId="1" fillId="3" fontId="11" numFmtId="165" xfId="0" applyAlignment="1" applyBorder="1" applyFill="1" applyFont="1" applyNumberFormat="1">
      <alignment vertical="bottom"/>
    </xf>
    <xf borderId="1" fillId="3" fontId="11" numFmtId="165" xfId="0" applyAlignment="1" applyBorder="1" applyFill="1" applyFont="1" applyNumberFormat="1">
      <alignment horizontal="right" readingOrder="0" vertical="bottom"/>
    </xf>
    <xf borderId="1" fillId="0" fontId="4" numFmtId="167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k7gy76L2v7KKZ6RRsTl84ZzxWBkrlqRhMb17IrlM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2</v>
      </c>
      <c r="C2" s="4"/>
    </row>
    <row r="3">
      <c r="B3" s="6" t="s">
        <v>5</v>
      </c>
      <c r="C3" s="6" t="s">
        <v>7</v>
      </c>
    </row>
    <row r="4">
      <c r="B4" s="8" t="s">
        <v>11</v>
      </c>
      <c r="C4" s="21">
        <f>SUM(C5,C6,C7,C8)</f>
        <v>191125</v>
      </c>
    </row>
    <row r="5" outlineLevel="1">
      <c r="B5" s="19" t="s">
        <v>25</v>
      </c>
      <c r="C5" s="27">
        <f>'Offline &amp; RG Community'!G30</f>
        <v>31275</v>
      </c>
    </row>
    <row r="6" outlineLevel="1">
      <c r="B6" s="19" t="s">
        <v>31</v>
      </c>
      <c r="C6" s="30">
        <v>0.0</v>
      </c>
    </row>
    <row r="7" outlineLevel="1">
      <c r="B7" s="19" t="s">
        <v>34</v>
      </c>
      <c r="C7" s="30">
        <v>0.0</v>
      </c>
    </row>
    <row r="8" outlineLevel="1">
      <c r="B8" s="19" t="s">
        <v>36</v>
      </c>
      <c r="C8" s="30">
        <f>'Offline &amp; RG Community'!E30</f>
        <v>159850</v>
      </c>
    </row>
    <row r="9">
      <c r="B9" s="8" t="s">
        <v>38</v>
      </c>
      <c r="C9" s="21">
        <f>SUM(C10:C14)</f>
        <v>137534.76</v>
      </c>
    </row>
    <row r="10" outlineLevel="1">
      <c r="B10" s="19" t="s">
        <v>39</v>
      </c>
      <c r="C10" s="27">
        <f>Hudle!C3</f>
        <v>38157</v>
      </c>
    </row>
    <row r="11" outlineLevel="1">
      <c r="B11" s="19" t="s">
        <v>40</v>
      </c>
      <c r="C11" s="27">
        <f>Playo!C3</f>
        <v>57992.5</v>
      </c>
    </row>
    <row r="12" outlineLevel="1">
      <c r="B12" s="19" t="s">
        <v>41</v>
      </c>
      <c r="C12" s="30">
        <v>0.0</v>
      </c>
    </row>
    <row r="13" outlineLevel="1">
      <c r="B13" s="19" t="s">
        <v>42</v>
      </c>
      <c r="C13" s="27">
        <f>Khelomore!C3</f>
        <v>41385.26</v>
      </c>
    </row>
    <row r="14">
      <c r="B14" s="20" t="s">
        <v>43</v>
      </c>
      <c r="C14" s="30">
        <v>0.0</v>
      </c>
    </row>
    <row r="15">
      <c r="B15" s="38" t="s">
        <v>44</v>
      </c>
      <c r="C15" s="21">
        <f>sum(C16:C19)</f>
        <v>2205</v>
      </c>
    </row>
    <row r="16" outlineLevel="1">
      <c r="B16" s="12" t="s">
        <v>45</v>
      </c>
      <c r="C16" s="30">
        <v>0.0</v>
      </c>
    </row>
    <row r="17" outlineLevel="1">
      <c r="B17" s="12" t="s">
        <v>46</v>
      </c>
      <c r="C17" s="30">
        <f>Sportomic!C2</f>
        <v>360</v>
      </c>
    </row>
    <row r="18" outlineLevel="1">
      <c r="B18" s="19" t="s">
        <v>47</v>
      </c>
      <c r="C18" s="30">
        <f>'Offline &amp; RG Community'!F30</f>
        <v>1845</v>
      </c>
    </row>
    <row r="19" outlineLevel="1">
      <c r="B19" s="19" t="s">
        <v>48</v>
      </c>
      <c r="C19" s="30">
        <v>0.0</v>
      </c>
    </row>
    <row r="20">
      <c r="B20" s="8" t="s">
        <v>49</v>
      </c>
      <c r="C20" s="41">
        <v>0.0</v>
      </c>
    </row>
    <row r="21">
      <c r="B21" s="19" t="s">
        <v>50</v>
      </c>
      <c r="C21" s="30">
        <v>0.0</v>
      </c>
    </row>
    <row r="22">
      <c r="B22" s="19" t="s">
        <v>51</v>
      </c>
      <c r="C22" s="30">
        <v>0.0</v>
      </c>
    </row>
    <row r="23">
      <c r="B23" s="43" t="s">
        <v>52</v>
      </c>
      <c r="C23" s="44">
        <f>'Other Income'!C2</f>
        <v>120000</v>
      </c>
    </row>
    <row r="24">
      <c r="B24" s="8" t="s">
        <v>53</v>
      </c>
      <c r="C24" s="21">
        <f>sum(C4,C9,C15,C20,C21,C22,C23)</f>
        <v>450864.76</v>
      </c>
    </row>
    <row r="25">
      <c r="B25" s="45" t="s">
        <v>54</v>
      </c>
      <c r="C25" s="46">
        <f>'Offline &amp; RG Community'!H30+Hudle!E3+Playo!F3+Khelomore!E3+'Other Income'!C2 + Sportomic!C2</f>
        <v>440225.637</v>
      </c>
    </row>
    <row r="26">
      <c r="B26" s="8" t="s">
        <v>55</v>
      </c>
      <c r="C26" s="21">
        <f>C25/1.18</f>
        <v>373072.5737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0</v>
      </c>
      <c r="B1" s="3" t="s">
        <v>3</v>
      </c>
      <c r="C1" s="3" t="s">
        <v>4</v>
      </c>
      <c r="D1" s="5" t="s">
        <v>6</v>
      </c>
      <c r="E1" s="7" t="s">
        <v>8</v>
      </c>
      <c r="F1" s="3" t="s">
        <v>9</v>
      </c>
      <c r="G1" s="7" t="s">
        <v>10</v>
      </c>
      <c r="H1" s="9" t="s">
        <v>12</v>
      </c>
    </row>
    <row r="2">
      <c r="A2" s="11">
        <v>46054.0</v>
      </c>
      <c r="B2" s="12" t="s">
        <v>14</v>
      </c>
      <c r="C2" s="13">
        <v>12.5</v>
      </c>
      <c r="D2" s="14" t="s">
        <v>19</v>
      </c>
      <c r="E2" s="16">
        <v>6995.0</v>
      </c>
      <c r="F2" s="13">
        <v>1125.0</v>
      </c>
      <c r="G2" s="13">
        <v>3200.0</v>
      </c>
      <c r="H2" s="23">
        <f t="shared" ref="H2:H29" si="1">SUM(E2:G2)</f>
        <v>11320</v>
      </c>
    </row>
    <row r="3">
      <c r="A3" s="11">
        <v>46055.0</v>
      </c>
      <c r="B3" s="12" t="s">
        <v>28</v>
      </c>
      <c r="C3" s="13">
        <v>3.0</v>
      </c>
      <c r="D3" s="14" t="s">
        <v>19</v>
      </c>
      <c r="E3" s="16">
        <v>2025.0</v>
      </c>
      <c r="F3" s="13">
        <v>0.0</v>
      </c>
      <c r="G3" s="16">
        <v>1000.0</v>
      </c>
      <c r="H3" s="23">
        <f t="shared" si="1"/>
        <v>3025</v>
      </c>
    </row>
    <row r="4">
      <c r="A4" s="11">
        <v>46056.0</v>
      </c>
      <c r="B4" s="12" t="s">
        <v>29</v>
      </c>
      <c r="C4" s="13">
        <v>6.5</v>
      </c>
      <c r="D4" s="14" t="s">
        <v>19</v>
      </c>
      <c r="E4" s="16">
        <v>4850.0</v>
      </c>
      <c r="F4" s="13">
        <v>0.0</v>
      </c>
      <c r="G4" s="16">
        <v>850.0</v>
      </c>
      <c r="H4" s="23">
        <f t="shared" si="1"/>
        <v>5700</v>
      </c>
    </row>
    <row r="5">
      <c r="A5" s="11">
        <v>46057.0</v>
      </c>
      <c r="B5" s="12" t="s">
        <v>30</v>
      </c>
      <c r="C5" s="13">
        <v>5.0</v>
      </c>
      <c r="D5" s="14" t="s">
        <v>19</v>
      </c>
      <c r="E5" s="16">
        <v>3525.0</v>
      </c>
      <c r="F5" s="16">
        <v>0.0</v>
      </c>
      <c r="G5" s="16">
        <v>1000.0</v>
      </c>
      <c r="H5" s="23">
        <f t="shared" si="1"/>
        <v>4525</v>
      </c>
    </row>
    <row r="6">
      <c r="A6" s="11">
        <v>46058.0</v>
      </c>
      <c r="B6" s="12" t="s">
        <v>32</v>
      </c>
      <c r="C6" s="13">
        <v>3.5</v>
      </c>
      <c r="D6" s="14" t="s">
        <v>19</v>
      </c>
      <c r="E6" s="16">
        <v>2400.0</v>
      </c>
      <c r="F6" s="16">
        <v>540.0</v>
      </c>
      <c r="G6" s="16">
        <v>550.0</v>
      </c>
      <c r="H6" s="23">
        <f t="shared" si="1"/>
        <v>3490</v>
      </c>
    </row>
    <row r="7">
      <c r="A7" s="11">
        <v>46059.0</v>
      </c>
      <c r="B7" s="12" t="s">
        <v>33</v>
      </c>
      <c r="C7" s="13">
        <v>5.5</v>
      </c>
      <c r="D7" s="14" t="s">
        <v>19</v>
      </c>
      <c r="E7" s="13">
        <v>3585.0</v>
      </c>
      <c r="F7" s="13">
        <v>0.0</v>
      </c>
      <c r="G7" s="13">
        <v>850.0</v>
      </c>
      <c r="H7" s="23">
        <f t="shared" si="1"/>
        <v>4435</v>
      </c>
    </row>
    <row r="8">
      <c r="A8" s="11">
        <v>46060.0</v>
      </c>
      <c r="B8" s="12" t="s">
        <v>37</v>
      </c>
      <c r="C8" s="13">
        <v>2.5</v>
      </c>
      <c r="D8" s="14" t="s">
        <v>19</v>
      </c>
      <c r="E8" s="16">
        <v>1665.0</v>
      </c>
      <c r="F8" s="13">
        <v>0.0</v>
      </c>
      <c r="G8" s="16">
        <v>1600.0</v>
      </c>
      <c r="H8" s="23">
        <f t="shared" si="1"/>
        <v>3265</v>
      </c>
    </row>
    <row r="9">
      <c r="A9" s="11">
        <v>46061.0</v>
      </c>
      <c r="B9" s="12" t="s">
        <v>14</v>
      </c>
      <c r="C9" s="13">
        <v>9.5</v>
      </c>
      <c r="D9" s="14" t="s">
        <v>19</v>
      </c>
      <c r="E9" s="16">
        <v>6305.0</v>
      </c>
      <c r="F9" s="13">
        <v>0.0</v>
      </c>
      <c r="G9" s="16">
        <v>2275.0</v>
      </c>
      <c r="H9" s="23">
        <f t="shared" si="1"/>
        <v>8580</v>
      </c>
    </row>
    <row r="10">
      <c r="A10" s="11">
        <v>46062.0</v>
      </c>
      <c r="B10" s="12" t="s">
        <v>28</v>
      </c>
      <c r="C10" s="13">
        <v>6.0</v>
      </c>
      <c r="D10" s="14" t="s">
        <v>19</v>
      </c>
      <c r="E10" s="16">
        <v>4025.0</v>
      </c>
      <c r="F10" s="13">
        <v>0.0</v>
      </c>
      <c r="G10" s="16">
        <v>800.0</v>
      </c>
      <c r="H10" s="23">
        <f t="shared" si="1"/>
        <v>4825</v>
      </c>
    </row>
    <row r="11">
      <c r="A11" s="11">
        <v>46063.0</v>
      </c>
      <c r="B11" s="12" t="s">
        <v>29</v>
      </c>
      <c r="C11" s="13">
        <v>10.0</v>
      </c>
      <c r="D11" s="14" t="s">
        <v>19</v>
      </c>
      <c r="E11" s="16">
        <v>6955.0</v>
      </c>
      <c r="F11" s="13">
        <v>180.0</v>
      </c>
      <c r="G11" s="13">
        <v>1000.0</v>
      </c>
      <c r="H11" s="23">
        <f t="shared" si="1"/>
        <v>8135</v>
      </c>
    </row>
    <row r="12">
      <c r="A12" s="11">
        <v>46064.0</v>
      </c>
      <c r="B12" s="12" t="s">
        <v>30</v>
      </c>
      <c r="C12" s="13">
        <v>7.5</v>
      </c>
      <c r="D12" s="14" t="s">
        <v>19</v>
      </c>
      <c r="E12" s="13">
        <v>4920.0</v>
      </c>
      <c r="F12" s="13">
        <v>0.0</v>
      </c>
      <c r="G12" s="16">
        <v>1600.0</v>
      </c>
      <c r="H12" s="23">
        <f t="shared" si="1"/>
        <v>6520</v>
      </c>
    </row>
    <row r="13">
      <c r="A13" s="11">
        <v>46065.0</v>
      </c>
      <c r="B13" s="12" t="s">
        <v>32</v>
      </c>
      <c r="C13" s="20">
        <v>11.0</v>
      </c>
      <c r="D13" s="14" t="s">
        <v>19</v>
      </c>
      <c r="E13" s="37">
        <v>7340.0</v>
      </c>
      <c r="F13" s="20">
        <v>0.0</v>
      </c>
      <c r="G13" s="37">
        <v>1825.0</v>
      </c>
      <c r="H13" s="23">
        <f t="shared" si="1"/>
        <v>9165</v>
      </c>
    </row>
    <row r="14">
      <c r="A14" s="11">
        <v>46066.0</v>
      </c>
      <c r="B14" s="12" t="s">
        <v>33</v>
      </c>
      <c r="C14" s="13">
        <v>5.5</v>
      </c>
      <c r="D14" s="14" t="s">
        <v>19</v>
      </c>
      <c r="E14" s="13">
        <v>3825.0</v>
      </c>
      <c r="F14" s="13">
        <v>0.0</v>
      </c>
      <c r="G14" s="13">
        <v>1325.0</v>
      </c>
      <c r="H14" s="23">
        <f t="shared" si="1"/>
        <v>5150</v>
      </c>
    </row>
    <row r="15">
      <c r="A15" s="11">
        <v>46067.0</v>
      </c>
      <c r="B15" s="12" t="s">
        <v>37</v>
      </c>
      <c r="C15" s="13">
        <v>11.0</v>
      </c>
      <c r="D15" s="14" t="s">
        <v>19</v>
      </c>
      <c r="E15" s="13">
        <v>7335.0</v>
      </c>
      <c r="F15" s="13">
        <v>0.0</v>
      </c>
      <c r="G15" s="13">
        <v>1300.0</v>
      </c>
      <c r="H15" s="23">
        <f t="shared" si="1"/>
        <v>8635</v>
      </c>
    </row>
    <row r="16">
      <c r="A16" s="11">
        <v>46068.0</v>
      </c>
      <c r="B16" s="12" t="s">
        <v>14</v>
      </c>
      <c r="C16" s="13">
        <v>7.5</v>
      </c>
      <c r="D16" s="14" t="s">
        <v>19</v>
      </c>
      <c r="E16" s="13">
        <v>4785.0</v>
      </c>
      <c r="F16" s="13">
        <v>0.0</v>
      </c>
      <c r="G16" s="13">
        <v>1650.0</v>
      </c>
      <c r="H16" s="23">
        <f t="shared" si="1"/>
        <v>6435</v>
      </c>
    </row>
    <row r="17">
      <c r="A17" s="11">
        <v>46069.0</v>
      </c>
      <c r="B17" s="12" t="s">
        <v>28</v>
      </c>
      <c r="C17" s="13">
        <v>9.5</v>
      </c>
      <c r="D17" s="14" t="s">
        <v>19</v>
      </c>
      <c r="E17" s="13">
        <v>6405.0</v>
      </c>
      <c r="F17" s="13">
        <v>0.0</v>
      </c>
      <c r="G17" s="13">
        <v>1275.0</v>
      </c>
      <c r="H17" s="23">
        <f t="shared" si="1"/>
        <v>7680</v>
      </c>
    </row>
    <row r="18">
      <c r="A18" s="11">
        <v>46070.0</v>
      </c>
      <c r="B18" s="12" t="s">
        <v>29</v>
      </c>
      <c r="C18" s="13">
        <v>3.0</v>
      </c>
      <c r="D18" s="14" t="s">
        <v>19</v>
      </c>
      <c r="E18" s="13">
        <v>1875.0</v>
      </c>
      <c r="F18" s="13">
        <v>0.0</v>
      </c>
      <c r="G18" s="13">
        <v>550.0</v>
      </c>
      <c r="H18" s="23">
        <f t="shared" si="1"/>
        <v>2425</v>
      </c>
    </row>
    <row r="19">
      <c r="A19" s="11">
        <v>46071.0</v>
      </c>
      <c r="B19" s="12" t="s">
        <v>30</v>
      </c>
      <c r="C19" s="13">
        <v>10.0</v>
      </c>
      <c r="D19" s="14" t="s">
        <v>19</v>
      </c>
      <c r="E19" s="13">
        <v>6570.0</v>
      </c>
      <c r="F19" s="13">
        <v>0.0</v>
      </c>
      <c r="G19" s="13">
        <v>450.0</v>
      </c>
      <c r="H19" s="23">
        <f t="shared" si="1"/>
        <v>7020</v>
      </c>
    </row>
    <row r="20">
      <c r="A20" s="11">
        <v>46072.0</v>
      </c>
      <c r="B20" s="12" t="s">
        <v>32</v>
      </c>
      <c r="C20" s="13">
        <v>12.5</v>
      </c>
      <c r="D20" s="14" t="s">
        <v>19</v>
      </c>
      <c r="E20" s="16">
        <v>8070.0</v>
      </c>
      <c r="F20" s="13">
        <v>0.0</v>
      </c>
      <c r="G20" s="13">
        <v>650.0</v>
      </c>
      <c r="H20" s="23">
        <f t="shared" si="1"/>
        <v>8720</v>
      </c>
    </row>
    <row r="21">
      <c r="A21" s="11">
        <v>46073.0</v>
      </c>
      <c r="B21" s="12" t="s">
        <v>33</v>
      </c>
      <c r="C21" s="13">
        <v>9.0</v>
      </c>
      <c r="D21" s="14" t="s">
        <v>19</v>
      </c>
      <c r="E21" s="16">
        <v>5925.0</v>
      </c>
      <c r="F21" s="13">
        <v>0.0</v>
      </c>
      <c r="G21" s="13">
        <v>600.0</v>
      </c>
      <c r="H21" s="23">
        <f t="shared" si="1"/>
        <v>6525</v>
      </c>
    </row>
    <row r="22">
      <c r="A22" s="11">
        <v>46074.0</v>
      </c>
      <c r="B22" s="12" t="s">
        <v>37</v>
      </c>
      <c r="C22" s="13">
        <v>9.5</v>
      </c>
      <c r="D22" s="14" t="s">
        <v>19</v>
      </c>
      <c r="E22" s="13">
        <v>6100.0</v>
      </c>
      <c r="F22" s="13">
        <v>0.0</v>
      </c>
      <c r="G22" s="13">
        <v>1525.0</v>
      </c>
      <c r="H22" s="23">
        <f t="shared" si="1"/>
        <v>7625</v>
      </c>
    </row>
    <row r="23">
      <c r="A23" s="11">
        <v>46075.0</v>
      </c>
      <c r="B23" s="12" t="s">
        <v>14</v>
      </c>
      <c r="C23" s="13">
        <v>13.0</v>
      </c>
      <c r="D23" s="14" t="s">
        <v>19</v>
      </c>
      <c r="E23" s="13">
        <v>8195.0</v>
      </c>
      <c r="F23" s="13">
        <v>0.0</v>
      </c>
      <c r="G23" s="13">
        <v>1850.0</v>
      </c>
      <c r="H23" s="23">
        <f t="shared" si="1"/>
        <v>10045</v>
      </c>
    </row>
    <row r="24">
      <c r="A24" s="11">
        <v>46076.0</v>
      </c>
      <c r="B24" s="12" t="s">
        <v>28</v>
      </c>
      <c r="C24" s="13">
        <v>13.5</v>
      </c>
      <c r="D24" s="14" t="s">
        <v>19</v>
      </c>
      <c r="E24" s="13">
        <v>8345.0</v>
      </c>
      <c r="F24" s="13">
        <v>0.0</v>
      </c>
      <c r="G24" s="13">
        <v>650.0</v>
      </c>
      <c r="H24" s="23">
        <f t="shared" si="1"/>
        <v>8995</v>
      </c>
    </row>
    <row r="25">
      <c r="A25" s="11">
        <v>46077.0</v>
      </c>
      <c r="B25" s="12" t="s">
        <v>29</v>
      </c>
      <c r="C25" s="13">
        <v>9.5</v>
      </c>
      <c r="D25" s="14" t="s">
        <v>19</v>
      </c>
      <c r="E25" s="13">
        <v>5900.0</v>
      </c>
      <c r="F25" s="13">
        <v>0.0</v>
      </c>
      <c r="G25" s="13">
        <v>800.0</v>
      </c>
      <c r="H25" s="23">
        <f t="shared" si="1"/>
        <v>6700</v>
      </c>
    </row>
    <row r="26">
      <c r="A26" s="11">
        <v>46078.0</v>
      </c>
      <c r="B26" s="12" t="s">
        <v>30</v>
      </c>
      <c r="C26" s="13">
        <v>11.5</v>
      </c>
      <c r="D26" s="14" t="s">
        <v>19</v>
      </c>
      <c r="E26" s="13">
        <v>7440.0</v>
      </c>
      <c r="F26" s="13">
        <v>0.0</v>
      </c>
      <c r="G26" s="13">
        <v>700.0</v>
      </c>
      <c r="H26" s="23">
        <f t="shared" si="1"/>
        <v>8140</v>
      </c>
    </row>
    <row r="27">
      <c r="A27" s="11">
        <v>46079.0</v>
      </c>
      <c r="B27" s="12" t="s">
        <v>32</v>
      </c>
      <c r="C27" s="13">
        <v>6.0</v>
      </c>
      <c r="D27" s="14" t="s">
        <v>19</v>
      </c>
      <c r="E27" s="13">
        <v>3750.0</v>
      </c>
      <c r="F27" s="13">
        <v>0.0</v>
      </c>
      <c r="G27" s="13">
        <v>175.0</v>
      </c>
      <c r="H27" s="23">
        <f t="shared" si="1"/>
        <v>3925</v>
      </c>
    </row>
    <row r="28">
      <c r="A28" s="11">
        <v>46080.0</v>
      </c>
      <c r="B28" s="12" t="s">
        <v>33</v>
      </c>
      <c r="C28" s="13">
        <v>15.0</v>
      </c>
      <c r="D28" s="14" t="s">
        <v>19</v>
      </c>
      <c r="E28" s="13">
        <v>10540.0</v>
      </c>
      <c r="F28" s="13">
        <v>0.0</v>
      </c>
      <c r="G28" s="13">
        <v>625.0</v>
      </c>
      <c r="H28" s="23">
        <f t="shared" si="1"/>
        <v>11165</v>
      </c>
    </row>
    <row r="29">
      <c r="A29" s="11">
        <v>46081.0</v>
      </c>
      <c r="B29" s="12" t="s">
        <v>37</v>
      </c>
      <c r="C29" s="13">
        <v>16.0</v>
      </c>
      <c r="D29" s="14" t="s">
        <v>19</v>
      </c>
      <c r="E29" s="13">
        <v>10200.0</v>
      </c>
      <c r="F29" s="13">
        <v>0.0</v>
      </c>
      <c r="G29" s="13">
        <v>600.0</v>
      </c>
      <c r="H29" s="23">
        <f t="shared" si="1"/>
        <v>10800</v>
      </c>
    </row>
    <row r="30">
      <c r="A30" s="39" t="s">
        <v>35</v>
      </c>
      <c r="B30" s="40"/>
      <c r="C30" s="39">
        <f>SUM(C2:C29)</f>
        <v>244.5</v>
      </c>
      <c r="D30" s="40"/>
      <c r="E30" s="39">
        <f t="shared" ref="E30:H30" si="2">SUM(E2:E29)</f>
        <v>159850</v>
      </c>
      <c r="F30" s="39">
        <f t="shared" si="2"/>
        <v>1845</v>
      </c>
      <c r="G30" s="39">
        <f t="shared" si="2"/>
        <v>31275</v>
      </c>
      <c r="H30" s="39">
        <f t="shared" si="2"/>
        <v>192970</v>
      </c>
      <c r="I30" s="42"/>
      <c r="J30" s="42"/>
      <c r="K30" s="42"/>
      <c r="L30" s="42"/>
      <c r="M30" s="42"/>
      <c r="N30" s="42"/>
      <c r="O30" s="42"/>
      <c r="P30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0" t="s">
        <v>1</v>
      </c>
      <c r="B1" s="3" t="s">
        <v>0</v>
      </c>
      <c r="C1" s="3" t="s">
        <v>13</v>
      </c>
      <c r="D1" s="3" t="s">
        <v>15</v>
      </c>
      <c r="E1" s="3" t="s">
        <v>16</v>
      </c>
      <c r="F1" s="3" t="s">
        <v>17</v>
      </c>
      <c r="G1" s="3" t="s">
        <v>18</v>
      </c>
      <c r="H1" s="15" t="s">
        <v>7</v>
      </c>
      <c r="I1" s="17"/>
    </row>
    <row r="2">
      <c r="A2" s="19"/>
      <c r="B2" s="20" t="s">
        <v>20</v>
      </c>
      <c r="C2" s="22">
        <v>38157.0</v>
      </c>
      <c r="D2" s="22">
        <v>4973.5</v>
      </c>
      <c r="E2" s="25">
        <f>C2-D2</f>
        <v>33183.5</v>
      </c>
      <c r="F2" s="22">
        <v>32.42</v>
      </c>
      <c r="G2" s="22">
        <v>162.1</v>
      </c>
      <c r="H2" s="29">
        <v>33089.6</v>
      </c>
    </row>
    <row r="3">
      <c r="A3" s="31"/>
      <c r="B3" s="32" t="s">
        <v>35</v>
      </c>
      <c r="C3" s="33">
        <f>SUM(C2)</f>
        <v>38157</v>
      </c>
      <c r="D3" s="34"/>
      <c r="E3" s="33">
        <f>SUM(E2)</f>
        <v>33183.5</v>
      </c>
      <c r="F3" s="34"/>
      <c r="G3" s="34"/>
      <c r="H3" s="36">
        <f>SUM(H2)</f>
        <v>33089.6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8" t="s">
        <v>1</v>
      </c>
      <c r="B1" s="15" t="s">
        <v>0</v>
      </c>
      <c r="C1" s="15" t="s">
        <v>21</v>
      </c>
      <c r="D1" s="15" t="s">
        <v>22</v>
      </c>
      <c r="E1" s="15" t="s">
        <v>23</v>
      </c>
      <c r="F1" s="15" t="s">
        <v>16</v>
      </c>
      <c r="G1" s="15" t="s">
        <v>24</v>
      </c>
      <c r="H1" s="15" t="s">
        <v>26</v>
      </c>
      <c r="I1" s="15" t="s">
        <v>27</v>
      </c>
    </row>
    <row r="2">
      <c r="A2" s="24"/>
      <c r="B2" s="26" t="s">
        <v>20</v>
      </c>
      <c r="C2" s="28">
        <v>57992.5</v>
      </c>
      <c r="D2" s="28">
        <v>3047.75</v>
      </c>
      <c r="E2" s="28">
        <v>548.61</v>
      </c>
      <c r="F2" s="35">
        <f>C2-D2-E2</f>
        <v>54396.14</v>
      </c>
      <c r="G2" s="28">
        <v>58.04</v>
      </c>
      <c r="H2" s="28">
        <v>0.0</v>
      </c>
      <c r="I2" s="28">
        <v>54314.96</v>
      </c>
    </row>
    <row r="3">
      <c r="A3" s="31"/>
      <c r="B3" s="32" t="s">
        <v>35</v>
      </c>
      <c r="C3" s="33">
        <f>SUM(C2)</f>
        <v>57992.5</v>
      </c>
      <c r="D3" s="34"/>
      <c r="E3" s="33"/>
      <c r="F3" s="33">
        <f>SUM(F2)</f>
        <v>54396.14</v>
      </c>
      <c r="G3" s="34"/>
      <c r="H3" s="36"/>
      <c r="I3" s="36">
        <f>SUM(I2)</f>
        <v>54314.96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47" t="s">
        <v>1</v>
      </c>
      <c r="B1" s="48" t="s">
        <v>0</v>
      </c>
      <c r="C1" s="48" t="s">
        <v>56</v>
      </c>
      <c r="D1" s="48" t="s">
        <v>22</v>
      </c>
      <c r="E1" s="48" t="s">
        <v>27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>
      <c r="A2" s="50"/>
      <c r="B2" s="26" t="s">
        <v>20</v>
      </c>
      <c r="C2" s="51">
        <v>41385.26</v>
      </c>
      <c r="D2" s="50">
        <f>C2*5%</f>
        <v>2069.263</v>
      </c>
      <c r="E2" s="51">
        <f>C2-D2</f>
        <v>39315.997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>
      <c r="A3" s="31"/>
      <c r="B3" s="32" t="s">
        <v>35</v>
      </c>
      <c r="C3" s="33">
        <f>SUM(C2)</f>
        <v>41385.26</v>
      </c>
      <c r="D3" s="34"/>
      <c r="E3" s="33">
        <f>SUM(E2)</f>
        <v>39315.997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</cols>
  <sheetData>
    <row r="1">
      <c r="A1" s="10" t="s">
        <v>1</v>
      </c>
      <c r="B1" s="3" t="s">
        <v>0</v>
      </c>
      <c r="C1" s="3" t="s">
        <v>60</v>
      </c>
    </row>
    <row r="2">
      <c r="A2" s="19"/>
      <c r="B2" s="53" t="s">
        <v>20</v>
      </c>
      <c r="C2" s="41">
        <v>360.0</v>
      </c>
    </row>
    <row r="3">
      <c r="A3" s="54"/>
      <c r="B3" s="55"/>
      <c r="C3" s="54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25"/>
    <col customWidth="1" min="3" max="3" width="15.25"/>
  </cols>
  <sheetData>
    <row r="1">
      <c r="A1" s="3" t="s">
        <v>57</v>
      </c>
      <c r="B1" s="3" t="s">
        <v>58</v>
      </c>
      <c r="C1" s="3" t="s">
        <v>59</v>
      </c>
    </row>
    <row r="2">
      <c r="A2" s="20" t="s">
        <v>61</v>
      </c>
      <c r="B2" s="20" t="s">
        <v>62</v>
      </c>
      <c r="C2" s="52">
        <v>120000.0</v>
      </c>
    </row>
  </sheetData>
  <drawing r:id="rId1"/>
</worksheet>
</file>