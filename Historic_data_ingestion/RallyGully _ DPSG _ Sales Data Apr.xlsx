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District" sheetId="4" r:id="rId8"/>
    <sheet state="visible" name="Membership" sheetId="5" r:id="rId9"/>
  </sheets>
  <definedNames/>
  <calcPr/>
</workbook>
</file>

<file path=xl/sharedStrings.xml><?xml version="1.0" encoding="utf-8"?>
<sst xmlns="http://schemas.openxmlformats.org/spreadsheetml/2006/main" count="164" uniqueCount="97">
  <si>
    <t>Link</t>
  </si>
  <si>
    <t>Date</t>
  </si>
  <si>
    <t>1 - 30 April</t>
  </si>
  <si>
    <t>Day</t>
  </si>
  <si>
    <t>Particulars</t>
  </si>
  <si>
    <t>Offline booking hours</t>
  </si>
  <si>
    <t>Amount</t>
  </si>
  <si>
    <t>Discount</t>
  </si>
  <si>
    <t>Pickleball</t>
  </si>
  <si>
    <t>Booking Revenue</t>
  </si>
  <si>
    <t>Pay &amp; Play</t>
  </si>
  <si>
    <t>Community</t>
  </si>
  <si>
    <t>Paid to Hudle</t>
  </si>
  <si>
    <t>Commisions (Including GST)</t>
  </si>
  <si>
    <t>Net Revenue</t>
  </si>
  <si>
    <t>TDS</t>
  </si>
  <si>
    <t>TCS</t>
  </si>
  <si>
    <t>1-28 Apr</t>
  </si>
  <si>
    <t xml:space="preserve">Paddle Rental </t>
  </si>
  <si>
    <t>F&amp;B</t>
  </si>
  <si>
    <t>Paid to District</t>
  </si>
  <si>
    <t>Total Revenue</t>
  </si>
  <si>
    <t>Commissions (₹)</t>
  </si>
  <si>
    <t>GST on Commission</t>
  </si>
  <si>
    <t>Payment Gateway</t>
  </si>
  <si>
    <t xml:space="preserve">Online </t>
  </si>
  <si>
    <t>Final Amount (₹)</t>
  </si>
  <si>
    <t>1 Apr</t>
  </si>
  <si>
    <t>Wednesday</t>
  </si>
  <si>
    <t>District</t>
  </si>
  <si>
    <t>1 - 30 Apr</t>
  </si>
  <si>
    <t>10 and 20%</t>
  </si>
  <si>
    <t>28-30 Apr</t>
  </si>
  <si>
    <t>Hudle</t>
  </si>
  <si>
    <t>Total</t>
  </si>
  <si>
    <t>Playo</t>
  </si>
  <si>
    <t>Khelomore</t>
  </si>
  <si>
    <t>Zplys</t>
  </si>
  <si>
    <t>Offline</t>
  </si>
  <si>
    <t>Bookings</t>
  </si>
  <si>
    <t>Memberships</t>
  </si>
  <si>
    <t>Pickup games</t>
  </si>
  <si>
    <t>2 Apr</t>
  </si>
  <si>
    <t>Thursday</t>
  </si>
  <si>
    <t>Social Events/Tournaments</t>
  </si>
  <si>
    <t>Academy</t>
  </si>
  <si>
    <t>Events &amp; Partnership</t>
  </si>
  <si>
    <t>Corporate events</t>
  </si>
  <si>
    <t>3 Apr</t>
  </si>
  <si>
    <t>Friday</t>
  </si>
  <si>
    <t>All B2B partnerships</t>
  </si>
  <si>
    <t>Commerce</t>
  </si>
  <si>
    <t>Product rental</t>
  </si>
  <si>
    <t>4 Apr</t>
  </si>
  <si>
    <t>Saturday</t>
  </si>
  <si>
    <t>Product sales</t>
  </si>
  <si>
    <t>5 Apr</t>
  </si>
  <si>
    <t>Other Income</t>
  </si>
  <si>
    <t>Sunday</t>
  </si>
  <si>
    <t>Total Gross Revenue</t>
  </si>
  <si>
    <t>6 Apr</t>
  </si>
  <si>
    <t>Monday</t>
  </si>
  <si>
    <t>Total Net Revenue (Post Commissions)</t>
  </si>
  <si>
    <t>7 Apr</t>
  </si>
  <si>
    <t>Tuesday</t>
  </si>
  <si>
    <t>8 Apr</t>
  </si>
  <si>
    <t>Total Revenue post GST</t>
  </si>
  <si>
    <t>9 Apr</t>
  </si>
  <si>
    <t>10 Apr</t>
  </si>
  <si>
    <t>Investor's Share (40%)</t>
  </si>
  <si>
    <t>11 Apr</t>
  </si>
  <si>
    <t>12 Apr</t>
  </si>
  <si>
    <t>13 Apr</t>
  </si>
  <si>
    <t>14 Apr</t>
  </si>
  <si>
    <t>15 Apr</t>
  </si>
  <si>
    <t>16 Apr</t>
  </si>
  <si>
    <t>17 Apr</t>
  </si>
  <si>
    <t>18 Apr</t>
  </si>
  <si>
    <t>19 Apr</t>
  </si>
  <si>
    <t>20 Apr</t>
  </si>
  <si>
    <t>21 Apr</t>
  </si>
  <si>
    <t>Member Name</t>
  </si>
  <si>
    <t>Sports Type</t>
  </si>
  <si>
    <t>Membership Type</t>
  </si>
  <si>
    <t>Start Date</t>
  </si>
  <si>
    <t>Amount Collected</t>
  </si>
  <si>
    <t>22 Apr</t>
  </si>
  <si>
    <t>Kavish</t>
  </si>
  <si>
    <t>23 Apr</t>
  </si>
  <si>
    <t>Rally Pack (15)</t>
  </si>
  <si>
    <t>24 Apr</t>
  </si>
  <si>
    <t>25 Apr</t>
  </si>
  <si>
    <t>26 Apr</t>
  </si>
  <si>
    <t>27 Apr</t>
  </si>
  <si>
    <t>28 Apr</t>
  </si>
  <si>
    <t>29 Apr</t>
  </si>
  <si>
    <t>30 Apr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</si>
</sst>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#,##0.0"/>
    <numFmt numFmtId="166" formatCode="[&gt;9999999][$₹]##\,##\,##\,##0;[&gt;99999][$₹]##\,##\,##0;[$₹]##,##0"/>
    <numFmt numFmtId="167" formatCode="[$₹]#,##0.00"/>
    <numFmt numFmtId="168" formatCode="[&gt;9999999][$₹]##\,##\,##\,##0.00;[&gt;99999][$₹]##\,##\,##0.00;[$₹]##,##0.00"/>
    <numFmt numFmtId="169" formatCode="d mmm"/>
    <numFmt numFmtId="170" formatCode="[$₹]#,##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2" fontId="5" numFmtId="0" xfId="0" applyAlignment="1" applyBorder="1" applyFill="1" applyFont="1">
      <alignment horizontal="center" readingOrder="0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2" fontId="6" numFmtId="167" xfId="0" applyAlignment="1" applyBorder="1" applyFill="1" applyFont="1" applyNumberFormat="1">
      <alignment horizontal="center" readingOrder="0" vertical="bottom"/>
    </xf>
    <xf borderId="1" fillId="0" fontId="4" numFmtId="167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0" fillId="2" fontId="7" numFmtId="167" xfId="0" applyAlignment="1" applyFill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0" fillId="2" fontId="2" numFmtId="167" xfId="0" applyAlignment="1" applyFill="1" applyFont="1" applyNumberFormat="1">
      <alignment horizontal="center" vertical="bottom"/>
    </xf>
    <xf borderId="1" fillId="2" fontId="2" numFmtId="0" xfId="0" applyAlignment="1" applyBorder="1" applyFill="1" applyFon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3" fontId="4" numFmtId="167" xfId="0" applyAlignment="1" applyFill="1" applyFont="1" applyNumberFormat="1">
      <alignment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3" fontId="4" numFmtId="166" xfId="0" applyAlignment="1" applyBorder="1" applyFill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  <xf borderId="1" fillId="3" fontId="4" numFmtId="168" xfId="0" applyAlignment="1" applyBorder="1" applyFill="1" applyFont="1" applyNumberFormat="1">
      <alignment horizontal="right" readingOrder="0" vertical="bottom"/>
    </xf>
    <xf borderId="1" fillId="3" fontId="4" numFmtId="167" xfId="0" applyAlignment="1" applyBorder="1" applyFill="1" applyFont="1" applyNumberFormat="1">
      <alignment readingOrder="0" vertical="bottom"/>
    </xf>
    <xf borderId="0" fillId="0" fontId="4" numFmtId="167" xfId="0" applyAlignment="1" applyFont="1" applyNumberForma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2" fontId="4" numFmtId="167" xfId="0" applyAlignment="1" applyBorder="1" applyFill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2" fontId="2" numFmtId="167" xfId="0" applyAlignment="1" applyBorder="1" applyFill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3" fontId="4" numFmtId="165" xfId="0" applyAlignment="1" applyBorder="1" applyFill="1" applyFont="1" applyNumberFormat="1">
      <alignment horizontal="right" readingOrder="0" vertical="bottom"/>
    </xf>
    <xf borderId="1" fillId="0" fontId="8" numFmtId="0" xfId="0" applyAlignment="1" applyBorder="1" applyFont="1">
      <alignment readingOrder="0"/>
    </xf>
    <xf borderId="1" fillId="2" fontId="2" numFmtId="170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0" fontId="2" numFmtId="170" xfId="0" applyAlignment="1" applyBorder="1" applyFont="1" applyNumberFormat="1">
      <alignment vertical="bottom"/>
    </xf>
    <xf borderId="1" fillId="0" fontId="2" numFmtId="170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2" fontId="2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169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2" fontId="4" numFmtId="164" xfId="0" applyAlignment="1" applyBorder="1" applyFill="1" applyFont="1" applyNumberFormat="1">
      <alignment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2</v>
      </c>
      <c r="C2" s="4"/>
    </row>
    <row r="3">
      <c r="B3" s="5" t="s">
        <v>4</v>
      </c>
      <c r="C3" s="5" t="s">
        <v>6</v>
      </c>
      <c r="E3" s="6"/>
    </row>
    <row r="4">
      <c r="B4" s="8"/>
      <c r="C4" s="10" t="s">
        <v>8</v>
      </c>
      <c r="E4" s="6"/>
    </row>
    <row r="5">
      <c r="B5" s="11" t="s">
        <v>10</v>
      </c>
      <c r="C5" s="20">
        <f>sum(C6,C12)</f>
        <v>84355</v>
      </c>
      <c r="E5" s="6"/>
    </row>
    <row r="6">
      <c r="B6" s="11" t="s">
        <v>25</v>
      </c>
      <c r="C6" s="20">
        <f>sum(C7:C11)</f>
        <v>33095</v>
      </c>
      <c r="E6" s="6"/>
    </row>
    <row r="7" outlineLevel="1">
      <c r="B7" s="26" t="s">
        <v>29</v>
      </c>
      <c r="C7" s="33">
        <f>District!C4</f>
        <v>21550</v>
      </c>
      <c r="E7" s="6"/>
    </row>
    <row r="8" outlineLevel="1">
      <c r="B8" s="26" t="s">
        <v>33</v>
      </c>
      <c r="C8" s="33">
        <f>Hudle!C4</f>
        <v>11545</v>
      </c>
      <c r="E8" s="6"/>
    </row>
    <row r="9" outlineLevel="1">
      <c r="B9" s="26" t="s">
        <v>35</v>
      </c>
      <c r="C9" s="38">
        <v>0.0</v>
      </c>
      <c r="E9" s="6"/>
    </row>
    <row r="10" outlineLevel="1">
      <c r="B10" s="39" t="s">
        <v>36</v>
      </c>
      <c r="C10" s="38">
        <v>0.0</v>
      </c>
      <c r="E10" s="40"/>
    </row>
    <row r="11" outlineLevel="1">
      <c r="B11" s="26" t="s">
        <v>37</v>
      </c>
      <c r="C11" s="38">
        <v>0.0</v>
      </c>
      <c r="E11" s="40"/>
    </row>
    <row r="12">
      <c r="B12" s="43" t="s">
        <v>38</v>
      </c>
      <c r="C12" s="20">
        <f>sum(C13:C14)</f>
        <v>51260</v>
      </c>
    </row>
    <row r="13" outlineLevel="1">
      <c r="B13" s="26" t="s">
        <v>39</v>
      </c>
      <c r="C13" s="33">
        <f>'Offline &amp; RG Community'!E32</f>
        <v>43760</v>
      </c>
    </row>
    <row r="14" outlineLevel="1">
      <c r="B14" s="15" t="s">
        <v>40</v>
      </c>
      <c r="C14" s="38">
        <f>Membership!E2</f>
        <v>7500</v>
      </c>
      <c r="E14" s="6"/>
    </row>
    <row r="15">
      <c r="B15" s="43" t="s">
        <v>11</v>
      </c>
      <c r="C15" s="20">
        <f>sum(C16:C17)</f>
        <v>3600</v>
      </c>
      <c r="E15" s="6"/>
    </row>
    <row r="16" outlineLevel="1">
      <c r="B16" s="39" t="s">
        <v>41</v>
      </c>
      <c r="C16" s="33">
        <f>'Offline &amp; RG Community'!F32</f>
        <v>3600</v>
      </c>
      <c r="E16" s="6"/>
    </row>
    <row r="17" outlineLevel="1">
      <c r="B17" s="39" t="s">
        <v>44</v>
      </c>
      <c r="C17" s="38">
        <v>0.0</v>
      </c>
    </row>
    <row r="18">
      <c r="B18" s="43" t="s">
        <v>45</v>
      </c>
      <c r="C18" s="20">
        <v>0.0</v>
      </c>
      <c r="E18" s="6"/>
    </row>
    <row r="19">
      <c r="B19" s="11" t="s">
        <v>46</v>
      </c>
      <c r="C19" s="20">
        <f>sum(C20,C21)</f>
        <v>0</v>
      </c>
    </row>
    <row r="20" outlineLevel="1">
      <c r="B20" s="26" t="s">
        <v>47</v>
      </c>
      <c r="C20" s="49">
        <v>0.0</v>
      </c>
    </row>
    <row r="21" outlineLevel="1">
      <c r="B21" s="39" t="s">
        <v>50</v>
      </c>
      <c r="C21" s="50">
        <v>0.0</v>
      </c>
    </row>
    <row r="22">
      <c r="B22" s="11" t="s">
        <v>51</v>
      </c>
      <c r="C22" s="20">
        <f>sum(C23:C25)</f>
        <v>7235</v>
      </c>
    </row>
    <row r="23" outlineLevel="1">
      <c r="B23" s="26" t="s">
        <v>52</v>
      </c>
      <c r="C23" s="49">
        <f>'Offline &amp; RG Community'!G32</f>
        <v>6850</v>
      </c>
    </row>
    <row r="24" outlineLevel="1">
      <c r="B24" s="26" t="s">
        <v>55</v>
      </c>
      <c r="C24" s="38">
        <v>0.0</v>
      </c>
    </row>
    <row r="25" outlineLevel="1">
      <c r="B25" s="26" t="s">
        <v>19</v>
      </c>
      <c r="C25" s="50">
        <f>'Offline &amp; RG Community'!H32</f>
        <v>385</v>
      </c>
    </row>
    <row r="26">
      <c r="B26" s="11" t="s">
        <v>57</v>
      </c>
      <c r="C26" s="20">
        <v>0.0</v>
      </c>
    </row>
    <row r="27">
      <c r="B27" s="22" t="s">
        <v>59</v>
      </c>
      <c r="C27" s="53">
        <f>C5+C15+C22+C18+C19+C26</f>
        <v>95190</v>
      </c>
    </row>
    <row r="28">
      <c r="B28" s="54" t="s">
        <v>62</v>
      </c>
      <c r="C28" s="55">
        <f>'Offline &amp; RG Community'!K32+Hudle!E4+District!F4+Membership!G2</f>
        <v>89173.6775</v>
      </c>
    </row>
    <row r="29">
      <c r="B29" s="11" t="s">
        <v>66</v>
      </c>
      <c r="C29" s="56">
        <f>C28/1.18</f>
        <v>75570.91314</v>
      </c>
    </row>
    <row r="30">
      <c r="B30" s="57" t="s">
        <v>69</v>
      </c>
      <c r="C30" s="48">
        <f>C29*40%</f>
        <v>30228.36525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9.88"/>
    <col customWidth="1" min="5" max="5" width="15.13"/>
    <col customWidth="1" min="6" max="6" width="17.63"/>
    <col customWidth="1" min="10" max="10" width="15.25"/>
  </cols>
  <sheetData>
    <row r="1">
      <c r="A1" s="3" t="s">
        <v>1</v>
      </c>
      <c r="B1" s="3" t="s">
        <v>3</v>
      </c>
      <c r="C1" s="7" t="s">
        <v>5</v>
      </c>
      <c r="D1" s="9" t="s">
        <v>7</v>
      </c>
      <c r="E1" s="3" t="s">
        <v>9</v>
      </c>
      <c r="F1" s="9" t="s">
        <v>11</v>
      </c>
      <c r="G1" s="3" t="s">
        <v>18</v>
      </c>
      <c r="H1" s="9" t="s">
        <v>19</v>
      </c>
      <c r="I1" s="3" t="s">
        <v>21</v>
      </c>
      <c r="J1" s="19" t="s">
        <v>24</v>
      </c>
      <c r="K1" s="22" t="s">
        <v>14</v>
      </c>
    </row>
    <row r="2">
      <c r="A2" s="23" t="s">
        <v>27</v>
      </c>
      <c r="B2" s="27" t="s">
        <v>28</v>
      </c>
      <c r="C2" s="29">
        <v>3.0</v>
      </c>
      <c r="D2" s="31" t="s">
        <v>31</v>
      </c>
      <c r="E2" s="31">
        <v>2160.0</v>
      </c>
      <c r="F2" s="31">
        <v>0.0</v>
      </c>
      <c r="G2" s="31">
        <v>250.0</v>
      </c>
      <c r="H2" s="31">
        <v>0.0</v>
      </c>
      <c r="I2" s="42">
        <f t="shared" ref="I2:I16" si="1">sum(E2:H2)</f>
        <v>2410</v>
      </c>
      <c r="J2" s="48">
        <f t="shared" ref="J2:J31" si="2">I2*2.5%*1.18</f>
        <v>71.095</v>
      </c>
      <c r="K2" s="48">
        <f t="shared" ref="K2:K31" si="3">I2-J2</f>
        <v>2338.905</v>
      </c>
    </row>
    <row r="3">
      <c r="A3" s="23" t="s">
        <v>42</v>
      </c>
      <c r="B3" s="27" t="s">
        <v>43</v>
      </c>
      <c r="C3" s="29">
        <v>6.5</v>
      </c>
      <c r="D3" s="31" t="s">
        <v>31</v>
      </c>
      <c r="E3" s="31">
        <v>4680.0</v>
      </c>
      <c r="F3" s="31">
        <v>0.0</v>
      </c>
      <c r="G3" s="31">
        <v>350.0</v>
      </c>
      <c r="H3" s="31">
        <v>0.0</v>
      </c>
      <c r="I3" s="42">
        <f t="shared" si="1"/>
        <v>5030</v>
      </c>
      <c r="J3" s="48">
        <f t="shared" si="2"/>
        <v>148.385</v>
      </c>
      <c r="K3" s="48">
        <f t="shared" si="3"/>
        <v>4881.615</v>
      </c>
    </row>
    <row r="4">
      <c r="A4" s="23" t="s">
        <v>48</v>
      </c>
      <c r="B4" s="27" t="s">
        <v>49</v>
      </c>
      <c r="C4" s="51">
        <v>0.0</v>
      </c>
      <c r="D4" s="31" t="s">
        <v>31</v>
      </c>
      <c r="E4" s="31">
        <v>0.0</v>
      </c>
      <c r="F4" s="52">
        <v>0.0</v>
      </c>
      <c r="G4" s="31">
        <v>0.0</v>
      </c>
      <c r="H4" s="31">
        <v>0.0</v>
      </c>
      <c r="I4" s="42">
        <f t="shared" si="1"/>
        <v>0</v>
      </c>
      <c r="J4" s="48">
        <f t="shared" si="2"/>
        <v>0</v>
      </c>
      <c r="K4" s="48">
        <f t="shared" si="3"/>
        <v>0</v>
      </c>
    </row>
    <row r="5">
      <c r="A5" s="23" t="s">
        <v>53</v>
      </c>
      <c r="B5" s="27" t="s">
        <v>54</v>
      </c>
      <c r="C5" s="29">
        <v>1.0</v>
      </c>
      <c r="D5" s="31" t="s">
        <v>31</v>
      </c>
      <c r="E5" s="31">
        <v>360.0</v>
      </c>
      <c r="F5" s="31">
        <v>0.0</v>
      </c>
      <c r="G5" s="31">
        <v>100.0</v>
      </c>
      <c r="H5" s="31">
        <v>0.0</v>
      </c>
      <c r="I5" s="42">
        <f t="shared" si="1"/>
        <v>460</v>
      </c>
      <c r="J5" s="48">
        <f t="shared" si="2"/>
        <v>13.57</v>
      </c>
      <c r="K5" s="48">
        <f t="shared" si="3"/>
        <v>446.43</v>
      </c>
    </row>
    <row r="6">
      <c r="A6" s="23" t="s">
        <v>56</v>
      </c>
      <c r="B6" s="27" t="s">
        <v>58</v>
      </c>
      <c r="C6" s="29">
        <v>2.5</v>
      </c>
      <c r="D6" s="31" t="s">
        <v>31</v>
      </c>
      <c r="E6" s="31">
        <v>1800.0</v>
      </c>
      <c r="F6" s="31">
        <v>0.0</v>
      </c>
      <c r="G6" s="31">
        <v>0.0</v>
      </c>
      <c r="H6" s="31">
        <v>0.0</v>
      </c>
      <c r="I6" s="42">
        <f t="shared" si="1"/>
        <v>1800</v>
      </c>
      <c r="J6" s="48">
        <f t="shared" si="2"/>
        <v>53.1</v>
      </c>
      <c r="K6" s="48">
        <f t="shared" si="3"/>
        <v>1746.9</v>
      </c>
    </row>
    <row r="7">
      <c r="A7" s="23" t="s">
        <v>60</v>
      </c>
      <c r="B7" s="27" t="s">
        <v>61</v>
      </c>
      <c r="C7" s="29">
        <v>1.0</v>
      </c>
      <c r="D7" s="31" t="s">
        <v>31</v>
      </c>
      <c r="E7" s="31">
        <v>720.0</v>
      </c>
      <c r="F7" s="31">
        <v>0.0</v>
      </c>
      <c r="G7" s="31">
        <v>100.0</v>
      </c>
      <c r="H7" s="31">
        <v>0.0</v>
      </c>
      <c r="I7" s="42">
        <f t="shared" si="1"/>
        <v>820</v>
      </c>
      <c r="J7" s="48">
        <f t="shared" si="2"/>
        <v>24.19</v>
      </c>
      <c r="K7" s="48">
        <f t="shared" si="3"/>
        <v>795.81</v>
      </c>
    </row>
    <row r="8">
      <c r="A8" s="23" t="s">
        <v>63</v>
      </c>
      <c r="B8" s="27" t="s">
        <v>64</v>
      </c>
      <c r="C8" s="29">
        <v>1.0</v>
      </c>
      <c r="D8" s="31" t="s">
        <v>31</v>
      </c>
      <c r="E8" s="31">
        <v>720.0</v>
      </c>
      <c r="F8" s="31">
        <v>0.0</v>
      </c>
      <c r="G8" s="31">
        <v>200.0</v>
      </c>
      <c r="H8" s="31">
        <v>0.0</v>
      </c>
      <c r="I8" s="42">
        <f t="shared" si="1"/>
        <v>920</v>
      </c>
      <c r="J8" s="48">
        <f t="shared" si="2"/>
        <v>27.14</v>
      </c>
      <c r="K8" s="48">
        <f t="shared" si="3"/>
        <v>892.86</v>
      </c>
    </row>
    <row r="9">
      <c r="A9" s="23" t="s">
        <v>65</v>
      </c>
      <c r="B9" s="27" t="s">
        <v>28</v>
      </c>
      <c r="C9" s="29">
        <v>3.5</v>
      </c>
      <c r="D9" s="31" t="s">
        <v>31</v>
      </c>
      <c r="E9" s="31">
        <v>1520.0</v>
      </c>
      <c r="F9" s="31">
        <v>0.0</v>
      </c>
      <c r="G9" s="31">
        <v>150.0</v>
      </c>
      <c r="H9" s="31">
        <v>0.0</v>
      </c>
      <c r="I9" s="42">
        <f t="shared" si="1"/>
        <v>1670</v>
      </c>
      <c r="J9" s="48">
        <f t="shared" si="2"/>
        <v>49.265</v>
      </c>
      <c r="K9" s="48">
        <f t="shared" si="3"/>
        <v>1620.735</v>
      </c>
    </row>
    <row r="10">
      <c r="A10" s="23" t="s">
        <v>67</v>
      </c>
      <c r="B10" s="27" t="s">
        <v>43</v>
      </c>
      <c r="C10" s="29">
        <v>1.0</v>
      </c>
      <c r="D10" s="31" t="s">
        <v>31</v>
      </c>
      <c r="E10" s="31">
        <v>720.0</v>
      </c>
      <c r="F10" s="31">
        <v>600.0</v>
      </c>
      <c r="G10" s="31">
        <v>350.0</v>
      </c>
      <c r="H10" s="31">
        <v>0.0</v>
      </c>
      <c r="I10" s="42">
        <f t="shared" si="1"/>
        <v>1670</v>
      </c>
      <c r="J10" s="48">
        <f t="shared" si="2"/>
        <v>49.265</v>
      </c>
      <c r="K10" s="48">
        <f t="shared" si="3"/>
        <v>1620.735</v>
      </c>
    </row>
    <row r="11">
      <c r="A11" s="23" t="s">
        <v>68</v>
      </c>
      <c r="B11" s="27" t="s">
        <v>49</v>
      </c>
      <c r="C11" s="29">
        <v>2.5</v>
      </c>
      <c r="D11" s="31" t="s">
        <v>31</v>
      </c>
      <c r="E11" s="31">
        <v>1800.0</v>
      </c>
      <c r="F11" s="31">
        <v>0.0</v>
      </c>
      <c r="G11" s="31">
        <v>100.0</v>
      </c>
      <c r="H11" s="31">
        <v>0.0</v>
      </c>
      <c r="I11" s="42">
        <f t="shared" si="1"/>
        <v>1900</v>
      </c>
      <c r="J11" s="48">
        <f t="shared" si="2"/>
        <v>56.05</v>
      </c>
      <c r="K11" s="48">
        <f t="shared" si="3"/>
        <v>1843.95</v>
      </c>
    </row>
    <row r="12">
      <c r="A12" s="23" t="s">
        <v>70</v>
      </c>
      <c r="B12" s="27" t="s">
        <v>54</v>
      </c>
      <c r="C12" s="29">
        <v>2.5</v>
      </c>
      <c r="D12" s="31" t="s">
        <v>31</v>
      </c>
      <c r="E12" s="31">
        <v>1800.0</v>
      </c>
      <c r="F12" s="31">
        <v>1400.0</v>
      </c>
      <c r="G12" s="31">
        <v>650.0</v>
      </c>
      <c r="H12" s="31">
        <v>0.0</v>
      </c>
      <c r="I12" s="42">
        <f t="shared" si="1"/>
        <v>3850</v>
      </c>
      <c r="J12" s="48">
        <f t="shared" si="2"/>
        <v>113.575</v>
      </c>
      <c r="K12" s="48">
        <f t="shared" si="3"/>
        <v>3736.425</v>
      </c>
    </row>
    <row r="13">
      <c r="A13" s="23" t="s">
        <v>71</v>
      </c>
      <c r="B13" s="27" t="s">
        <v>58</v>
      </c>
      <c r="C13" s="29">
        <v>3.5</v>
      </c>
      <c r="D13" s="31" t="s">
        <v>31</v>
      </c>
      <c r="E13" s="31">
        <v>3580.0</v>
      </c>
      <c r="F13" s="31">
        <v>600.0</v>
      </c>
      <c r="G13" s="31">
        <v>450.0</v>
      </c>
      <c r="H13" s="31">
        <v>0.0</v>
      </c>
      <c r="I13" s="42">
        <f t="shared" si="1"/>
        <v>4630</v>
      </c>
      <c r="J13" s="48">
        <f t="shared" si="2"/>
        <v>136.585</v>
      </c>
      <c r="K13" s="48">
        <f t="shared" si="3"/>
        <v>4493.415</v>
      </c>
    </row>
    <row r="14">
      <c r="A14" s="23" t="s">
        <v>72</v>
      </c>
      <c r="B14" s="27" t="s">
        <v>61</v>
      </c>
      <c r="C14" s="29">
        <v>1.0</v>
      </c>
      <c r="D14" s="31" t="s">
        <v>31</v>
      </c>
      <c r="E14" s="31">
        <v>0.0</v>
      </c>
      <c r="F14" s="31">
        <v>800.0</v>
      </c>
      <c r="G14" s="31">
        <v>250.0</v>
      </c>
      <c r="H14" s="31">
        <v>0.0</v>
      </c>
      <c r="I14" s="42">
        <f t="shared" si="1"/>
        <v>1050</v>
      </c>
      <c r="J14" s="48">
        <f t="shared" si="2"/>
        <v>30.975</v>
      </c>
      <c r="K14" s="48">
        <f t="shared" si="3"/>
        <v>1019.025</v>
      </c>
    </row>
    <row r="15">
      <c r="A15" s="23" t="s">
        <v>73</v>
      </c>
      <c r="B15" s="27" t="s">
        <v>64</v>
      </c>
      <c r="C15" s="29">
        <v>5.0</v>
      </c>
      <c r="D15" s="31" t="s">
        <v>31</v>
      </c>
      <c r="E15" s="31">
        <v>2600.0</v>
      </c>
      <c r="F15" s="31">
        <v>0.0</v>
      </c>
      <c r="G15" s="31">
        <v>350.0</v>
      </c>
      <c r="H15" s="31">
        <v>70.0</v>
      </c>
      <c r="I15" s="42">
        <f t="shared" si="1"/>
        <v>3020</v>
      </c>
      <c r="J15" s="48">
        <f t="shared" si="2"/>
        <v>89.09</v>
      </c>
      <c r="K15" s="48">
        <f t="shared" si="3"/>
        <v>2930.91</v>
      </c>
    </row>
    <row r="16">
      <c r="A16" s="23" t="s">
        <v>74</v>
      </c>
      <c r="B16" s="27" t="s">
        <v>28</v>
      </c>
      <c r="C16" s="58">
        <v>1.5</v>
      </c>
      <c r="D16" s="31" t="s">
        <v>31</v>
      </c>
      <c r="E16" s="59">
        <v>1080.0</v>
      </c>
      <c r="F16" s="59">
        <v>0.0</v>
      </c>
      <c r="G16" s="59">
        <v>200.0</v>
      </c>
      <c r="H16" s="31">
        <v>70.0</v>
      </c>
      <c r="I16" s="42">
        <f t="shared" si="1"/>
        <v>1350</v>
      </c>
      <c r="J16" s="48">
        <f t="shared" si="2"/>
        <v>39.825</v>
      </c>
      <c r="K16" s="48">
        <f t="shared" si="3"/>
        <v>1310.175</v>
      </c>
    </row>
    <row r="17">
      <c r="A17" s="23" t="s">
        <v>75</v>
      </c>
      <c r="B17" s="27" t="s">
        <v>43</v>
      </c>
      <c r="C17" s="58">
        <v>2.0</v>
      </c>
      <c r="D17" s="31" t="s">
        <v>31</v>
      </c>
      <c r="E17" s="59">
        <v>1420.0</v>
      </c>
      <c r="F17" s="59">
        <v>200.0</v>
      </c>
      <c r="G17" s="59">
        <v>350.0</v>
      </c>
      <c r="H17" s="31">
        <v>70.0</v>
      </c>
      <c r="I17" s="42">
        <f t="shared" ref="I17:I21" si="4">SUM(E17:H17)</f>
        <v>2040</v>
      </c>
      <c r="J17" s="48">
        <f t="shared" si="2"/>
        <v>60.18</v>
      </c>
      <c r="K17" s="48">
        <f t="shared" si="3"/>
        <v>1979.82</v>
      </c>
    </row>
    <row r="18">
      <c r="A18" s="23" t="s">
        <v>76</v>
      </c>
      <c r="B18" s="27" t="s">
        <v>49</v>
      </c>
      <c r="C18" s="58">
        <v>0.0</v>
      </c>
      <c r="D18" s="31" t="s">
        <v>31</v>
      </c>
      <c r="E18" s="59">
        <v>0.0</v>
      </c>
      <c r="F18" s="59">
        <v>0.0</v>
      </c>
      <c r="G18" s="59">
        <v>0.0</v>
      </c>
      <c r="H18" s="31">
        <v>0.0</v>
      </c>
      <c r="I18" s="42">
        <f t="shared" si="4"/>
        <v>0</v>
      </c>
      <c r="J18" s="48">
        <f t="shared" si="2"/>
        <v>0</v>
      </c>
      <c r="K18" s="48">
        <f t="shared" si="3"/>
        <v>0</v>
      </c>
    </row>
    <row r="19">
      <c r="A19" s="23" t="s">
        <v>77</v>
      </c>
      <c r="B19" s="27" t="s">
        <v>54</v>
      </c>
      <c r="C19" s="58">
        <v>0.0</v>
      </c>
      <c r="D19" s="31" t="s">
        <v>31</v>
      </c>
      <c r="E19" s="59">
        <v>0.0</v>
      </c>
      <c r="F19" s="59">
        <v>0.0</v>
      </c>
      <c r="G19" s="59">
        <v>250.0</v>
      </c>
      <c r="H19" s="31">
        <v>0.0</v>
      </c>
      <c r="I19" s="42">
        <f t="shared" si="4"/>
        <v>250</v>
      </c>
      <c r="J19" s="48">
        <f t="shared" si="2"/>
        <v>7.375</v>
      </c>
      <c r="K19" s="48">
        <f t="shared" si="3"/>
        <v>242.625</v>
      </c>
    </row>
    <row r="20">
      <c r="A20" s="23" t="s">
        <v>78</v>
      </c>
      <c r="B20" s="27" t="s">
        <v>58</v>
      </c>
      <c r="C20" s="58">
        <v>3.0</v>
      </c>
      <c r="D20" s="31" t="s">
        <v>31</v>
      </c>
      <c r="E20" s="59">
        <v>2160.0</v>
      </c>
      <c r="F20" s="59">
        <v>0.0</v>
      </c>
      <c r="G20" s="59">
        <v>450.0</v>
      </c>
      <c r="H20" s="31">
        <v>0.0</v>
      </c>
      <c r="I20" s="42">
        <f t="shared" si="4"/>
        <v>2610</v>
      </c>
      <c r="J20" s="48">
        <f t="shared" si="2"/>
        <v>76.995</v>
      </c>
      <c r="K20" s="48">
        <f t="shared" si="3"/>
        <v>2533.005</v>
      </c>
    </row>
    <row r="21">
      <c r="A21" s="23" t="s">
        <v>79</v>
      </c>
      <c r="B21" s="27" t="s">
        <v>61</v>
      </c>
      <c r="C21" s="58">
        <v>2.0</v>
      </c>
      <c r="D21" s="31" t="s">
        <v>31</v>
      </c>
      <c r="E21" s="59">
        <v>1800.0</v>
      </c>
      <c r="F21" s="59">
        <v>0.0</v>
      </c>
      <c r="G21" s="59">
        <v>150.0</v>
      </c>
      <c r="H21" s="31">
        <v>0.0</v>
      </c>
      <c r="I21" s="42">
        <f t="shared" si="4"/>
        <v>1950</v>
      </c>
      <c r="J21" s="48">
        <f t="shared" si="2"/>
        <v>57.525</v>
      </c>
      <c r="K21" s="48">
        <f t="shared" si="3"/>
        <v>1892.475</v>
      </c>
    </row>
    <row r="22">
      <c r="A22" s="23" t="s">
        <v>80</v>
      </c>
      <c r="B22" s="27" t="s">
        <v>64</v>
      </c>
      <c r="C22" s="58">
        <v>2.0</v>
      </c>
      <c r="D22" s="31" t="s">
        <v>31</v>
      </c>
      <c r="E22" s="59">
        <v>1440.0</v>
      </c>
      <c r="F22" s="59">
        <v>0.0</v>
      </c>
      <c r="G22" s="59">
        <v>150.0</v>
      </c>
      <c r="H22" s="31">
        <v>0.0</v>
      </c>
      <c r="I22" s="42">
        <f>SUM(F22:G22)</f>
        <v>150</v>
      </c>
      <c r="J22" s="48">
        <f t="shared" si="2"/>
        <v>4.425</v>
      </c>
      <c r="K22" s="48">
        <f t="shared" si="3"/>
        <v>145.575</v>
      </c>
    </row>
    <row r="23">
      <c r="A23" s="23" t="s">
        <v>86</v>
      </c>
      <c r="B23" s="27" t="s">
        <v>28</v>
      </c>
      <c r="C23" s="58">
        <v>1.0</v>
      </c>
      <c r="D23" s="31" t="s">
        <v>31</v>
      </c>
      <c r="E23" s="59">
        <v>720.0</v>
      </c>
      <c r="F23" s="59">
        <v>0.0</v>
      </c>
      <c r="G23" s="59">
        <v>50.0</v>
      </c>
      <c r="H23" s="31">
        <v>0.0</v>
      </c>
      <c r="I23" s="42">
        <f>sum(E23:H23)</f>
        <v>770</v>
      </c>
      <c r="J23" s="48">
        <f t="shared" si="2"/>
        <v>22.715</v>
      </c>
      <c r="K23" s="48">
        <f t="shared" si="3"/>
        <v>747.285</v>
      </c>
    </row>
    <row r="24">
      <c r="A24" s="23" t="s">
        <v>88</v>
      </c>
      <c r="B24" s="27" t="s">
        <v>43</v>
      </c>
      <c r="C24" s="58">
        <v>3.0</v>
      </c>
      <c r="D24" s="31" t="s">
        <v>31</v>
      </c>
      <c r="E24" s="59">
        <v>3600.0</v>
      </c>
      <c r="F24" s="59">
        <v>0.0</v>
      </c>
      <c r="G24" s="59">
        <v>300.0</v>
      </c>
      <c r="H24" s="31">
        <v>35.0</v>
      </c>
      <c r="I24" s="42">
        <f t="shared" ref="I24:I31" si="5">SUM(E24:H24)</f>
        <v>3935</v>
      </c>
      <c r="J24" s="48">
        <f t="shared" si="2"/>
        <v>116.0825</v>
      </c>
      <c r="K24" s="48">
        <f t="shared" si="3"/>
        <v>3818.9175</v>
      </c>
    </row>
    <row r="25">
      <c r="A25" s="23" t="s">
        <v>90</v>
      </c>
      <c r="B25" s="27" t="s">
        <v>49</v>
      </c>
      <c r="C25" s="58">
        <v>2.0</v>
      </c>
      <c r="D25" s="31" t="s">
        <v>31</v>
      </c>
      <c r="E25" s="59">
        <v>1520.0</v>
      </c>
      <c r="F25" s="59">
        <v>0.0</v>
      </c>
      <c r="G25" s="59">
        <v>0.0</v>
      </c>
      <c r="H25" s="31">
        <v>70.0</v>
      </c>
      <c r="I25" s="42">
        <f t="shared" si="5"/>
        <v>1590</v>
      </c>
      <c r="J25" s="48">
        <f t="shared" si="2"/>
        <v>46.905</v>
      </c>
      <c r="K25" s="48">
        <f t="shared" si="3"/>
        <v>1543.095</v>
      </c>
    </row>
    <row r="26">
      <c r="A26" s="23" t="s">
        <v>91</v>
      </c>
      <c r="B26" s="27" t="s">
        <v>54</v>
      </c>
      <c r="C26" s="58">
        <v>3.0</v>
      </c>
      <c r="D26" s="31" t="s">
        <v>31</v>
      </c>
      <c r="E26" s="59">
        <v>1800.0</v>
      </c>
      <c r="F26" s="59">
        <v>0.0</v>
      </c>
      <c r="G26" s="59">
        <v>600.0</v>
      </c>
      <c r="H26" s="31">
        <v>0.0</v>
      </c>
      <c r="I26" s="42">
        <f t="shared" si="5"/>
        <v>2400</v>
      </c>
      <c r="J26" s="48">
        <f t="shared" si="2"/>
        <v>70.8</v>
      </c>
      <c r="K26" s="48">
        <f t="shared" si="3"/>
        <v>2329.2</v>
      </c>
    </row>
    <row r="27">
      <c r="A27" s="23" t="s">
        <v>92</v>
      </c>
      <c r="B27" s="27" t="s">
        <v>58</v>
      </c>
      <c r="C27" s="58">
        <v>3.0</v>
      </c>
      <c r="D27" s="31" t="s">
        <v>31</v>
      </c>
      <c r="E27" s="59">
        <v>1800.0</v>
      </c>
      <c r="F27" s="59">
        <v>0.0</v>
      </c>
      <c r="G27" s="59">
        <v>350.0</v>
      </c>
      <c r="H27" s="31">
        <v>0.0</v>
      </c>
      <c r="I27" s="42">
        <f t="shared" si="5"/>
        <v>2150</v>
      </c>
      <c r="J27" s="48">
        <f t="shared" si="2"/>
        <v>63.425</v>
      </c>
      <c r="K27" s="48">
        <f t="shared" si="3"/>
        <v>2086.575</v>
      </c>
    </row>
    <row r="28">
      <c r="A28" s="23" t="s">
        <v>93</v>
      </c>
      <c r="B28" s="27" t="s">
        <v>61</v>
      </c>
      <c r="C28" s="58">
        <v>3.0</v>
      </c>
      <c r="D28" s="31" t="s">
        <v>31</v>
      </c>
      <c r="E28" s="59">
        <v>1800.0</v>
      </c>
      <c r="F28" s="59">
        <v>0.0</v>
      </c>
      <c r="G28" s="59">
        <v>350.0</v>
      </c>
      <c r="H28" s="31">
        <v>70.0</v>
      </c>
      <c r="I28" s="42">
        <f t="shared" si="5"/>
        <v>2220</v>
      </c>
      <c r="J28" s="48">
        <f t="shared" si="2"/>
        <v>65.49</v>
      </c>
      <c r="K28" s="48">
        <f t="shared" si="3"/>
        <v>2154.51</v>
      </c>
    </row>
    <row r="29">
      <c r="A29" s="23" t="s">
        <v>94</v>
      </c>
      <c r="B29" s="27" t="s">
        <v>64</v>
      </c>
      <c r="C29" s="58">
        <v>0.0</v>
      </c>
      <c r="D29" s="31" t="s">
        <v>31</v>
      </c>
      <c r="E29" s="59">
        <v>0.0</v>
      </c>
      <c r="F29" s="59">
        <v>0.0</v>
      </c>
      <c r="G29" s="59">
        <v>150.0</v>
      </c>
      <c r="H29" s="31">
        <v>0.0</v>
      </c>
      <c r="I29" s="42">
        <f t="shared" si="5"/>
        <v>150</v>
      </c>
      <c r="J29" s="48">
        <f t="shared" si="2"/>
        <v>4.425</v>
      </c>
      <c r="K29" s="48">
        <f t="shared" si="3"/>
        <v>145.575</v>
      </c>
    </row>
    <row r="30">
      <c r="A30" s="23" t="s">
        <v>95</v>
      </c>
      <c r="B30" s="27" t="s">
        <v>28</v>
      </c>
      <c r="C30" s="58">
        <v>3.0</v>
      </c>
      <c r="D30" s="31" t="s">
        <v>31</v>
      </c>
      <c r="E30" s="59">
        <v>2160.0</v>
      </c>
      <c r="F30" s="59">
        <v>0.0</v>
      </c>
      <c r="G30" s="59">
        <v>200.0</v>
      </c>
      <c r="H30" s="31">
        <v>0.0</v>
      </c>
      <c r="I30" s="42">
        <f t="shared" si="5"/>
        <v>2360</v>
      </c>
      <c r="J30" s="48">
        <f t="shared" si="2"/>
        <v>69.62</v>
      </c>
      <c r="K30" s="48">
        <f t="shared" si="3"/>
        <v>2290.38</v>
      </c>
    </row>
    <row r="31">
      <c r="A31" s="23" t="s">
        <v>96</v>
      </c>
      <c r="B31" s="27" t="s">
        <v>43</v>
      </c>
      <c r="C31" s="58">
        <v>0.0</v>
      </c>
      <c r="D31" s="31" t="s">
        <v>31</v>
      </c>
      <c r="E31" s="59">
        <v>0.0</v>
      </c>
      <c r="F31" s="59">
        <v>0.0</v>
      </c>
      <c r="G31" s="59">
        <v>0.0</v>
      </c>
      <c r="H31" s="31">
        <v>0.0</v>
      </c>
      <c r="I31" s="42">
        <f t="shared" si="5"/>
        <v>0</v>
      </c>
      <c r="J31" s="48">
        <f t="shared" si="2"/>
        <v>0</v>
      </c>
      <c r="K31" s="48">
        <f t="shared" si="3"/>
        <v>0</v>
      </c>
    </row>
    <row r="32">
      <c r="A32" s="19" t="s">
        <v>34</v>
      </c>
      <c r="B32" s="64"/>
      <c r="C32" s="65">
        <f>SUM(C2:C31)</f>
        <v>62.5</v>
      </c>
      <c r="D32" s="66"/>
      <c r="E32" s="67">
        <f t="shared" ref="E32:K32" si="6">SUM(E2:E31)</f>
        <v>43760</v>
      </c>
      <c r="F32" s="67">
        <f t="shared" si="6"/>
        <v>3600</v>
      </c>
      <c r="G32" s="67">
        <f t="shared" si="6"/>
        <v>6850</v>
      </c>
      <c r="H32" s="67">
        <f t="shared" si="6"/>
        <v>385</v>
      </c>
      <c r="I32" s="67">
        <f t="shared" si="6"/>
        <v>53155</v>
      </c>
      <c r="J32" s="65">
        <f t="shared" si="6"/>
        <v>1568.0725</v>
      </c>
      <c r="K32" s="65">
        <f t="shared" si="6"/>
        <v>51586.9275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2" t="s">
        <v>0</v>
      </c>
      <c r="B1" s="13" t="s">
        <v>1</v>
      </c>
      <c r="C1" s="13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6</v>
      </c>
    </row>
    <row r="2">
      <c r="A2" s="15"/>
      <c r="B2" s="16" t="s">
        <v>17</v>
      </c>
      <c r="C2" s="17">
        <v>11545.0</v>
      </c>
      <c r="D2" s="17">
        <v>1500.0</v>
      </c>
      <c r="E2" s="24">
        <f t="shared" ref="E2:E3" si="1">C2-D2</f>
        <v>10045</v>
      </c>
      <c r="F2" s="17">
        <v>10.0</v>
      </c>
      <c r="G2" s="17">
        <v>49.0</v>
      </c>
      <c r="H2" s="28">
        <v>9985.0</v>
      </c>
    </row>
    <row r="3">
      <c r="A3" s="30"/>
      <c r="B3" s="32" t="s">
        <v>32</v>
      </c>
      <c r="C3" s="34">
        <v>0.0</v>
      </c>
      <c r="D3" s="35">
        <v>0.0</v>
      </c>
      <c r="E3" s="24">
        <f t="shared" si="1"/>
        <v>0</v>
      </c>
      <c r="F3" s="35">
        <v>0.0</v>
      </c>
      <c r="G3" s="35">
        <v>0.0</v>
      </c>
      <c r="H3" s="34">
        <v>0.0</v>
      </c>
    </row>
    <row r="4">
      <c r="A4" s="36"/>
      <c r="B4" s="37" t="s">
        <v>34</v>
      </c>
      <c r="C4" s="41">
        <f>SUM(C2:C3)</f>
        <v>11545</v>
      </c>
      <c r="D4" s="44"/>
      <c r="E4" s="41">
        <f>SUM(E2:E3)</f>
        <v>10045</v>
      </c>
      <c r="F4" s="44"/>
      <c r="G4" s="41"/>
      <c r="H4" s="41">
        <f>SUM(H2:H3)</f>
        <v>9985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4" t="s">
        <v>0</v>
      </c>
      <c r="B1" s="13" t="s">
        <v>1</v>
      </c>
      <c r="C1" s="13" t="s">
        <v>20</v>
      </c>
      <c r="D1" s="13" t="s">
        <v>22</v>
      </c>
      <c r="E1" s="18" t="s">
        <v>23</v>
      </c>
      <c r="F1" s="13" t="s">
        <v>14</v>
      </c>
      <c r="G1" s="21" t="s">
        <v>16</v>
      </c>
      <c r="H1" s="21" t="s">
        <v>15</v>
      </c>
      <c r="I1" s="13" t="s">
        <v>26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5"/>
      <c r="B2" s="16" t="s">
        <v>30</v>
      </c>
      <c r="C2" s="28">
        <v>21550.0</v>
      </c>
      <c r="D2" s="28">
        <v>1091.0</v>
      </c>
      <c r="E2" s="17">
        <v>196.0</v>
      </c>
      <c r="F2" s="24">
        <f>C2-D2-E2</f>
        <v>20263</v>
      </c>
      <c r="G2" s="28">
        <v>107.0</v>
      </c>
      <c r="H2" s="28">
        <v>21.55</v>
      </c>
      <c r="I2" s="28">
        <v>20133.0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6"/>
      <c r="B3" s="15"/>
      <c r="C3" s="16"/>
      <c r="D3" s="16"/>
      <c r="E3" s="45"/>
      <c r="F3" s="24"/>
      <c r="G3" s="16"/>
      <c r="H3" s="16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6"/>
      <c r="B4" s="37" t="s">
        <v>34</v>
      </c>
      <c r="C4" s="46">
        <f>SUM(C2:C3)</f>
        <v>21550</v>
      </c>
      <c r="D4" s="44"/>
      <c r="E4" s="47"/>
      <c r="F4" s="41">
        <f>SUM(F2:F3)</f>
        <v>20263</v>
      </c>
      <c r="G4" s="44"/>
      <c r="H4" s="44"/>
      <c r="I4" s="46">
        <f>SUM(I2:I3)</f>
        <v>20133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13"/>
    <col customWidth="1" min="4" max="4" width="8.88"/>
    <col customWidth="1" min="5" max="6" width="15.25"/>
  </cols>
  <sheetData>
    <row r="1">
      <c r="A1" s="13" t="s">
        <v>81</v>
      </c>
      <c r="B1" s="13" t="s">
        <v>82</v>
      </c>
      <c r="C1" s="13" t="s">
        <v>83</v>
      </c>
      <c r="D1" s="13" t="s">
        <v>84</v>
      </c>
      <c r="E1" s="60" t="s">
        <v>85</v>
      </c>
      <c r="F1" s="19" t="s">
        <v>24</v>
      </c>
      <c r="G1" s="22" t="s">
        <v>14</v>
      </c>
    </row>
    <row r="2">
      <c r="A2" s="61" t="s">
        <v>87</v>
      </c>
      <c r="B2" s="16" t="s">
        <v>8</v>
      </c>
      <c r="C2" s="15" t="s">
        <v>89</v>
      </c>
      <c r="D2" s="62">
        <v>46113.0</v>
      </c>
      <c r="E2" s="63">
        <v>7500.0</v>
      </c>
      <c r="F2" s="48">
        <f>E2*2.5%*1.18</f>
        <v>221.25</v>
      </c>
      <c r="G2" s="48">
        <f>E2-F2</f>
        <v>7278.75</v>
      </c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