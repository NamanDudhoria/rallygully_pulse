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<sst xmlns="http://schemas.openxmlformats.org/spreadsheetml/2006/main" count="124" uniqueCount="65">
  <si>
    <t>Date</t>
  </si>
  <si>
    <t>1 - 31 July</t>
  </si>
  <si>
    <t>Day</t>
  </si>
  <si>
    <t>Offline booking hours</t>
  </si>
  <si>
    <t>Pickleball</t>
  </si>
  <si>
    <t>Turf</t>
  </si>
  <si>
    <t>Community Revenue</t>
  </si>
  <si>
    <t>Total Revenue</t>
  </si>
  <si>
    <t>Payment Gateway</t>
  </si>
  <si>
    <t>Net Revenue</t>
  </si>
  <si>
    <t>Particulars</t>
  </si>
  <si>
    <t>Wednesday</t>
  </si>
  <si>
    <t>Amount</t>
  </si>
  <si>
    <t>Total</t>
  </si>
  <si>
    <t>Padel</t>
  </si>
  <si>
    <t>Pay &amp; Play</t>
  </si>
  <si>
    <t>Thursday</t>
  </si>
  <si>
    <t>Friday</t>
  </si>
  <si>
    <t>Saturday</t>
  </si>
  <si>
    <t>Sunday</t>
  </si>
  <si>
    <t>Monday</t>
  </si>
  <si>
    <t>Tuesday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</si>
  <si>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</si>
  <si>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</si>
  <si>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</si>
  <si>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</si>
  <si>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</si>
  <si>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</si>
  <si>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</si>
  <si>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</si>
  <si>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Link</t>
  </si>
  <si>
    <t>Memberships</t>
  </si>
  <si>
    <t>Paid to District</t>
  </si>
  <si>
    <t>Commissions (₹)</t>
  </si>
  <si>
    <t>GST on Commission</t>
  </si>
  <si>
    <t>Community</t>
  </si>
  <si>
    <t>TCS</t>
  </si>
  <si>
    <t>TDS</t>
  </si>
  <si>
    <t>Final Amount (₹)</t>
  </si>
  <si>
    <t>Pickup games</t>
  </si>
  <si>
    <t>Social Events/Tournaments</t>
  </si>
  <si>
    <t>Academy</t>
  </si>
  <si>
    <t>Paid to Hudle</t>
  </si>
  <si>
    <t>Commisions (Including GST)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</si>
  <si>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</si>
  <si>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</si>
  <si>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</si>
  <si>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</si>
  <si>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</si>
  <si>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</si>
  <si>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</si>
  <si>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</si>
  <si>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</si>
  <si>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</si>
  <si>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</si>
  <si>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Paid to Playo (₹)</t>
  </si>
  <si>
    <t>GST (₹)</t>
  </si>
  <si>
    <t>TDS (₹)</t>
  </si>
  <si>
    <t>TCS (₹)</t>
  </si>
  <si>
    <t>Month</t>
  </si>
  <si>
    <t>Sports Type</t>
  </si>
  <si>
    <t>Amount Collected</t>
  </si>
  <si>
    <t>July</t>
  </si>
  <si>
    <t>Paid to Khelomore (₹)</t>
  </si>
  <si>
    <t>Padel Operations &amp; 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</si>
</sst>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d mmmm"/>
    <numFmt numFmtId="167" formatCode="[&gt;9999999][$₹]##\,##\,##\,##0;[&gt;99999][$₹]##\,##\,##0;[$₹]##,##0"/>
    <numFmt numFmtId="168" formatCode="[$₹]#,##0.00"/>
    <numFmt numFmtId="169" formatCode="d mmm"/>
    <numFmt numFmtId="170" formatCode="[&gt;9999999][$₹]##\,##\,##\,##0.00;[&gt;99999][$₹]##\,##\,##0.00;[$₹]#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2" fontId="2" numFmtId="165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3" fontId="4" numFmtId="166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3" fontId="4" numFmtId="3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horizontal="right" vertical="bottom"/>
    </xf>
    <xf borderId="1" fillId="0" fontId="2" numFmtId="164" xfId="0" applyAlignment="1" applyBorder="1" applyFont="1" applyNumberFormat="1">
      <alignment horizontal="center" vertical="bottom"/>
    </xf>
    <xf borderId="1" fillId="2" fontId="4" numFmtId="0" xfId="0" applyAlignment="1" applyBorder="1" applyFill="1" applyFont="1">
      <alignment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167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5" numFmtId="168" xfId="0" applyAlignment="1" applyBorder="1" applyFill="1" applyFont="1" applyNumberFormat="1">
      <alignment horizontal="center" readingOrder="0" vertical="bottom"/>
    </xf>
    <xf borderId="1" fillId="0" fontId="4" numFmtId="168" xfId="0" applyAlignment="1" applyBorder="1" applyFont="1" applyNumberFormat="1">
      <alignment vertical="bottom"/>
    </xf>
    <xf borderId="1" fillId="2" fontId="2" numFmtId="168" xfId="0" applyAlignment="1" applyBorder="1" applyFill="1" applyFont="1" applyNumberFormat="1">
      <alignment horizontal="center" vertical="bottom"/>
    </xf>
    <xf borderId="1" fillId="2" fontId="2" numFmtId="164" xfId="0" applyAlignment="1" applyBorder="1" applyFill="1" applyFont="1" applyNumberFormat="1">
      <alignment vertical="bottom"/>
    </xf>
    <xf borderId="0" fillId="2" fontId="6" numFmtId="168" xfId="0" applyAlignment="1" applyFill="1" applyFont="1" applyNumberFormat="1">
      <alignment vertical="bottom"/>
    </xf>
    <xf borderId="0" fillId="2" fontId="2" numFmtId="168" xfId="0" applyAlignment="1" applyFill="1" applyFont="1" applyNumberFormat="1">
      <alignment horizontal="center" vertical="bottom"/>
    </xf>
    <xf borderId="1" fillId="2" fontId="7" numFmtId="0" xfId="0" applyAlignment="1" applyBorder="1" applyFill="1" applyFont="1">
      <alignment horizontal="center" readingOrder="0" vertical="bottom"/>
    </xf>
    <xf borderId="0" fillId="0" fontId="4" numFmtId="169" xfId="0" applyAlignment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1" fillId="2" fontId="2" numFmtId="4" xfId="0" applyAlignment="1" applyBorder="1" applyFill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170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0" fillId="0" fontId="4" numFmtId="168" xfId="0" applyAlignment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170" xfId="0" applyAlignment="1" applyBorder="1" applyFont="1" applyNumberFormat="1">
      <alignment vertical="bottom"/>
    </xf>
    <xf borderId="1" fillId="0" fontId="4" numFmtId="167" xfId="0" applyAlignment="1" applyBorder="1" applyFont="1" applyNumberFormat="1">
      <alignment horizontal="right" vertical="bottom"/>
    </xf>
    <xf borderId="1" fillId="2" fontId="2" numFmtId="168" xfId="0" applyAlignment="1" applyBorder="1" applyFill="1" applyFont="1" applyNumberForma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2" fontId="4" numFmtId="168" xfId="0" applyAlignment="1" applyBorder="1" applyFill="1" applyFont="1" applyNumberFormat="1">
      <alignment vertical="bottom"/>
    </xf>
    <xf borderId="1" fillId="2" fontId="4" numFmtId="170" xfId="0" applyAlignment="1" applyBorder="1" applyFill="1" applyFont="1" applyNumberFormat="1">
      <alignment vertical="bottom"/>
    </xf>
    <xf borderId="1" fillId="2" fontId="2" numFmtId="170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8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2" fontId="2" numFmtId="167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0" fontId="2" numFmtId="168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3" fontId="4" numFmtId="0" xfId="0" applyAlignment="1" applyBorder="1" applyFill="1" applyFont="1">
      <alignment vertical="bottom"/>
    </xf>
    <xf borderId="1" fillId="3" fontId="4" numFmtId="4" xfId="0" applyAlignment="1" applyBorder="1" applyFill="1" applyFont="1" applyNumberForma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horizontal="right" readingOrder="0" vertical="bottom"/>
    </xf>
    <xf borderId="1" fillId="2" fontId="4" numFmtId="4" xfId="0" applyAlignment="1" applyBorder="1" applyFill="1" applyFont="1" applyNumberFormat="1">
      <alignment vertical="bottom"/>
    </xf>
    <xf borderId="0" fillId="2" fontId="2" numFmtId="168" xfId="0" applyAlignment="1" applyFill="1" applyFont="1" applyNumberForma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2" numFmtId="170" xfId="0" applyAlignment="1" applyBorder="1" applyFont="1" applyNumberFormat="1">
      <alignment horizontal="right" readingOrder="0" vertical="bottom"/>
    </xf>
    <xf borderId="1" fillId="3" fontId="4" numFmtId="168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2" fontId="2" numFmtId="169" xfId="0" applyAlignment="1" applyBorder="1" applyFill="1" applyFont="1" applyNumberFormat="1">
      <alignment vertical="bottom"/>
    </xf>
    <xf borderId="1" fillId="2" fontId="6" numFmtId="168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6" numFmtId="1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caLIILkMLo-ixvhy6P7P3SDWm9Fb8IGR7Rw0_-UPMA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Ym8S8uTMdumdaoCn5aF-mbyK6lmHcjIlWETTcfBby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0.13"/>
  </cols>
  <sheetData>
    <row r="1">
      <c r="A1" s="1"/>
    </row>
    <row r="2">
      <c r="B2" s="4" t="s">
        <v>1</v>
      </c>
      <c r="C2" s="6"/>
      <c r="D2" s="7"/>
      <c r="E2" s="10"/>
      <c r="F2" s="10"/>
    </row>
    <row r="3">
      <c r="B3" s="13" t="s">
        <v>10</v>
      </c>
      <c r="C3" s="13" t="s">
        <v>12</v>
      </c>
      <c r="D3" s="13"/>
      <c r="E3" s="16"/>
      <c r="F3" s="13"/>
    </row>
    <row r="4">
      <c r="B4" s="17"/>
      <c r="C4" s="2" t="s">
        <v>13</v>
      </c>
      <c r="D4" s="18" t="s">
        <v>4</v>
      </c>
      <c r="E4" s="2" t="s">
        <v>5</v>
      </c>
      <c r="F4" s="5" t="s">
        <v>14</v>
      </c>
    </row>
    <row r="5" outlineLevel="1">
      <c r="B5" s="20" t="s">
        <v>15</v>
      </c>
      <c r="C5" s="22">
        <f t="shared" ref="C5:E5" si="1">sum(C6,C12)</f>
        <v>43820</v>
      </c>
      <c r="D5" s="23">
        <f t="shared" si="1"/>
        <v>15815</v>
      </c>
      <c r="E5" s="22">
        <f t="shared" si="1"/>
        <v>28005</v>
      </c>
      <c r="F5" s="24">
        <v>0.0</v>
      </c>
    </row>
    <row r="6" outlineLevel="1">
      <c r="B6" s="20" t="s">
        <v>22</v>
      </c>
      <c r="C6" s="22">
        <f t="shared" ref="C6:E6" si="2">sum(C7:C11)</f>
        <v>34930</v>
      </c>
      <c r="D6" s="23">
        <f t="shared" si="2"/>
        <v>12715</v>
      </c>
      <c r="E6" s="22">
        <f t="shared" si="2"/>
        <v>22215</v>
      </c>
      <c r="F6" s="24">
        <v>0.0</v>
      </c>
    </row>
    <row r="7" outlineLevel="1">
      <c r="B7" s="26" t="s">
        <v>23</v>
      </c>
      <c r="C7" s="28">
        <f>District!C4</f>
        <v>2946</v>
      </c>
      <c r="D7" s="29">
        <f>District!B6</f>
        <v>0</v>
      </c>
      <c r="E7" s="30">
        <f>District!B7</f>
        <v>2946</v>
      </c>
      <c r="F7" s="28">
        <v>0.0</v>
      </c>
    </row>
    <row r="8" outlineLevel="1">
      <c r="B8" s="26" t="s">
        <v>24</v>
      </c>
      <c r="C8" s="19">
        <f>Hudle!C2</f>
        <v>4400</v>
      </c>
      <c r="D8" s="31">
        <f>Hudle!B5</f>
        <v>4400</v>
      </c>
      <c r="E8" s="32">
        <f>Hudle!B6</f>
        <v>0</v>
      </c>
      <c r="F8" s="28">
        <v>0.0</v>
      </c>
    </row>
    <row r="9">
      <c r="B9" s="26" t="s">
        <v>25</v>
      </c>
      <c r="C9" s="19">
        <f>Playo!C2</f>
        <v>17555</v>
      </c>
      <c r="D9" s="31">
        <f>Playo!B5</f>
        <v>3080</v>
      </c>
      <c r="E9" s="32">
        <f>Playo!B6</f>
        <v>14475</v>
      </c>
      <c r="F9" s="28">
        <v>0.0</v>
      </c>
    </row>
    <row r="10" outlineLevel="1">
      <c r="B10" s="33" t="s">
        <v>26</v>
      </c>
      <c r="C10" s="31">
        <f>Khelomore!C2</f>
        <v>10029</v>
      </c>
      <c r="D10" s="31">
        <f>Khelomore!B6</f>
        <v>5235</v>
      </c>
      <c r="E10" s="30">
        <f>Khelomore!B7</f>
        <v>4794</v>
      </c>
      <c r="F10" s="28">
        <v>0.0</v>
      </c>
    </row>
    <row r="11" outlineLevel="1">
      <c r="B11" s="26" t="s">
        <v>27</v>
      </c>
      <c r="C11" s="29">
        <v>0.0</v>
      </c>
      <c r="D11" s="29">
        <v>0.0</v>
      </c>
      <c r="E11" s="30">
        <v>0.0</v>
      </c>
      <c r="F11" s="28">
        <v>0.0</v>
      </c>
    </row>
    <row r="12" outlineLevel="1">
      <c r="B12" s="34" t="s">
        <v>28</v>
      </c>
      <c r="C12" s="23">
        <f t="shared" ref="C12:F12" si="3">sum(C13:C14)</f>
        <v>8890</v>
      </c>
      <c r="D12" s="23">
        <f t="shared" si="3"/>
        <v>3100</v>
      </c>
      <c r="E12" s="22">
        <f t="shared" si="3"/>
        <v>5790</v>
      </c>
      <c r="F12" s="23">
        <f t="shared" si="3"/>
        <v>0</v>
      </c>
    </row>
    <row r="13" outlineLevel="1">
      <c r="B13" s="26" t="s">
        <v>29</v>
      </c>
      <c r="C13" s="29">
        <f>'Offline &amp; RG Community'!D33+'Offline &amp; RG Community'!E33</f>
        <v>8890</v>
      </c>
      <c r="D13" s="29">
        <f>'Offline &amp; RG Community'!D33</f>
        <v>3100</v>
      </c>
      <c r="E13" s="32">
        <f>'Offline &amp; RG Community'!E33</f>
        <v>5790</v>
      </c>
      <c r="F13" s="28">
        <v>0.0</v>
      </c>
    </row>
    <row r="14">
      <c r="B14" s="36" t="s">
        <v>31</v>
      </c>
      <c r="C14" s="29">
        <v>0.0</v>
      </c>
      <c r="D14" s="29">
        <v>0.0</v>
      </c>
      <c r="E14" s="30">
        <v>0.0</v>
      </c>
      <c r="F14" s="28">
        <v>0.0</v>
      </c>
    </row>
    <row r="15">
      <c r="B15" s="34" t="s">
        <v>35</v>
      </c>
      <c r="C15" s="23">
        <f t="shared" ref="C15:E15" si="4">sum(C16:C17)</f>
        <v>0</v>
      </c>
      <c r="D15" s="23">
        <f t="shared" si="4"/>
        <v>0</v>
      </c>
      <c r="E15" s="22">
        <f t="shared" si="4"/>
        <v>0</v>
      </c>
      <c r="F15" s="24">
        <v>0.0</v>
      </c>
    </row>
    <row r="16" outlineLevel="1">
      <c r="B16" s="33" t="s">
        <v>39</v>
      </c>
      <c r="C16" s="29">
        <v>0.0</v>
      </c>
      <c r="D16" s="29">
        <v>0.0</v>
      </c>
      <c r="E16" s="30">
        <v>0.0</v>
      </c>
      <c r="F16" s="28">
        <v>0.0</v>
      </c>
    </row>
    <row r="17" outlineLevel="1">
      <c r="B17" s="33" t="s">
        <v>40</v>
      </c>
      <c r="C17" s="29">
        <v>0.0</v>
      </c>
      <c r="D17" s="29">
        <v>0.0</v>
      </c>
      <c r="E17" s="30">
        <v>0.0</v>
      </c>
      <c r="F17" s="28">
        <v>0.0</v>
      </c>
    </row>
    <row r="18" outlineLevel="1">
      <c r="B18" s="34" t="s">
        <v>41</v>
      </c>
      <c r="C18" s="23">
        <v>0.0</v>
      </c>
      <c r="D18" s="23">
        <v>0.0</v>
      </c>
      <c r="E18" s="22">
        <v>0.0</v>
      </c>
      <c r="F18" s="24">
        <v>0.0</v>
      </c>
    </row>
    <row r="19" outlineLevel="1">
      <c r="B19" s="20" t="s">
        <v>44</v>
      </c>
      <c r="C19" s="23">
        <f t="shared" ref="C19:E19" si="5">sum(C20)</f>
        <v>0</v>
      </c>
      <c r="D19" s="23">
        <f t="shared" si="5"/>
        <v>0</v>
      </c>
      <c r="E19" s="22">
        <f t="shared" si="5"/>
        <v>0</v>
      </c>
      <c r="F19" s="24">
        <v>0.0</v>
      </c>
    </row>
    <row r="20">
      <c r="B20" s="26" t="s">
        <v>45</v>
      </c>
      <c r="C20" s="52">
        <v>0.0</v>
      </c>
      <c r="D20" s="54">
        <v>0.0</v>
      </c>
      <c r="E20" s="30">
        <v>0.0</v>
      </c>
      <c r="F20" s="28">
        <v>0.0</v>
      </c>
    </row>
    <row r="21">
      <c r="B21" s="33" t="s">
        <v>46</v>
      </c>
      <c r="C21" s="52">
        <v>0.0</v>
      </c>
      <c r="D21" s="54">
        <f>SUM(D22:D25)</f>
        <v>0</v>
      </c>
      <c r="E21" s="30">
        <v>0.0</v>
      </c>
      <c r="F21" s="28">
        <v>0.0</v>
      </c>
    </row>
    <row r="22">
      <c r="B22" s="20" t="s">
        <v>47</v>
      </c>
      <c r="C22" s="23">
        <f t="shared" ref="C22:E22" si="6">sum(C23:C25)</f>
        <v>0</v>
      </c>
      <c r="D22" s="23">
        <f t="shared" si="6"/>
        <v>0</v>
      </c>
      <c r="E22" s="22">
        <f t="shared" si="6"/>
        <v>0</v>
      </c>
      <c r="F22" s="24">
        <v>0.0</v>
      </c>
    </row>
    <row r="23">
      <c r="B23" s="26" t="s">
        <v>48</v>
      </c>
      <c r="C23" s="52">
        <v>0.0</v>
      </c>
      <c r="D23" s="54">
        <v>0.0</v>
      </c>
      <c r="E23" s="30">
        <v>0.0</v>
      </c>
      <c r="F23" s="28">
        <v>0.0</v>
      </c>
    </row>
    <row r="24">
      <c r="B24" s="26" t="s">
        <v>49</v>
      </c>
      <c r="C24" s="29">
        <v>0.0</v>
      </c>
      <c r="D24" s="29">
        <v>0.0</v>
      </c>
      <c r="E24" s="30">
        <v>0.0</v>
      </c>
      <c r="F24" s="28">
        <v>0.0</v>
      </c>
    </row>
    <row r="25">
      <c r="B25" s="26" t="s">
        <v>50</v>
      </c>
      <c r="C25" s="52">
        <v>0.0</v>
      </c>
      <c r="D25" s="54">
        <v>0.0</v>
      </c>
      <c r="E25" s="30">
        <v>0.0</v>
      </c>
      <c r="F25" s="28">
        <v>0.0</v>
      </c>
    </row>
    <row r="26">
      <c r="B26" s="20" t="s">
        <v>51</v>
      </c>
      <c r="C26" s="28">
        <v>118000.0</v>
      </c>
      <c r="D26" s="54">
        <v>0.0</v>
      </c>
      <c r="E26" s="19">
        <v>0.0</v>
      </c>
      <c r="F26" s="28">
        <v>118000.0</v>
      </c>
    </row>
    <row r="27">
      <c r="B27" s="9" t="s">
        <v>52</v>
      </c>
      <c r="C27" s="64">
        <f t="shared" ref="C27:F27" si="7">sum(C5,C15,C18,C19,C22,C26)</f>
        <v>161820</v>
      </c>
      <c r="D27" s="64">
        <f t="shared" si="7"/>
        <v>15815</v>
      </c>
      <c r="E27" s="48">
        <f t="shared" si="7"/>
        <v>28005</v>
      </c>
      <c r="F27" s="64">
        <f t="shared" si="7"/>
        <v>118000</v>
      </c>
    </row>
    <row r="28">
      <c r="B28" s="65" t="s">
        <v>53</v>
      </c>
      <c r="C28" s="66">
        <f>'Offline &amp; RG Community'!I33+District!F4+Hudle!E3+Playo!F3+Khelomore!E4+'Other Income'!C2</f>
        <v>158235.2388</v>
      </c>
      <c r="D28" s="36"/>
      <c r="E28" s="32"/>
      <c r="F28" s="67"/>
    </row>
    <row r="29">
      <c r="B29" s="20" t="s">
        <v>54</v>
      </c>
      <c r="C29" s="23">
        <f>(C27/1.18)-(C27-C28)</f>
        <v>133550.832</v>
      </c>
      <c r="D29" s="23"/>
      <c r="E29" s="22"/>
      <c r="F29" s="22"/>
    </row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9.75"/>
    <col customWidth="1" min="6" max="6" width="17.63"/>
    <col customWidth="1" min="7" max="7" width="12.25"/>
    <col customWidth="1" min="8" max="8" width="15.25"/>
    <col customWidth="1" min="9" max="9" width="11.13"/>
  </cols>
  <sheetData>
    <row r="1">
      <c r="A1" s="2" t="s">
        <v>0</v>
      </c>
      <c r="B1" s="2" t="s">
        <v>2</v>
      </c>
      <c r="C1" s="3" t="s">
        <v>3</v>
      </c>
      <c r="D1" s="5" t="s">
        <v>4</v>
      </c>
      <c r="E1" s="5" t="s">
        <v>5</v>
      </c>
      <c r="F1" s="2" t="s">
        <v>6</v>
      </c>
      <c r="G1" s="2" t="s">
        <v>7</v>
      </c>
      <c r="H1" s="8" t="s">
        <v>8</v>
      </c>
      <c r="I1" s="9" t="s">
        <v>9</v>
      </c>
    </row>
    <row r="2">
      <c r="A2" s="11">
        <v>46204.0</v>
      </c>
      <c r="B2" s="12" t="s">
        <v>11</v>
      </c>
      <c r="C2" s="14">
        <v>0.0</v>
      </c>
      <c r="D2" s="15">
        <v>0.0</v>
      </c>
      <c r="E2" s="15">
        <v>0.0</v>
      </c>
      <c r="F2" s="15">
        <v>0.0</v>
      </c>
      <c r="G2" s="19">
        <f t="shared" ref="G2:G15" si="1">SUM(C2:F2)</f>
        <v>0</v>
      </c>
      <c r="H2" s="21">
        <f t="shared" ref="H2:H32" si="2">G2*1.75%</f>
        <v>0</v>
      </c>
      <c r="I2" s="19">
        <f t="shared" ref="I2:I32" si="3">G2-H2</f>
        <v>0</v>
      </c>
    </row>
    <row r="3">
      <c r="A3" s="11">
        <v>46205.0</v>
      </c>
      <c r="B3" s="12" t="s">
        <v>16</v>
      </c>
      <c r="C3" s="14">
        <v>0.0</v>
      </c>
      <c r="D3" s="15">
        <v>0.0</v>
      </c>
      <c r="E3" s="15">
        <v>0.0</v>
      </c>
      <c r="F3" s="15">
        <v>0.0</v>
      </c>
      <c r="G3" s="19">
        <f t="shared" si="1"/>
        <v>0</v>
      </c>
      <c r="H3" s="21">
        <f t="shared" si="2"/>
        <v>0</v>
      </c>
      <c r="I3" s="19">
        <f t="shared" si="3"/>
        <v>0</v>
      </c>
    </row>
    <row r="4">
      <c r="A4" s="11">
        <v>46206.0</v>
      </c>
      <c r="B4" s="12" t="s">
        <v>17</v>
      </c>
      <c r="C4" s="14">
        <v>0.0</v>
      </c>
      <c r="D4" s="15">
        <v>0.0</v>
      </c>
      <c r="E4" s="15">
        <v>0.0</v>
      </c>
      <c r="F4" s="15">
        <v>0.0</v>
      </c>
      <c r="G4" s="19">
        <f t="shared" si="1"/>
        <v>0</v>
      </c>
      <c r="H4" s="21">
        <f t="shared" si="2"/>
        <v>0</v>
      </c>
      <c r="I4" s="19">
        <f t="shared" si="3"/>
        <v>0</v>
      </c>
    </row>
    <row r="5">
      <c r="A5" s="11">
        <v>46207.0</v>
      </c>
      <c r="B5" s="12" t="s">
        <v>18</v>
      </c>
      <c r="C5" s="14">
        <v>0.0</v>
      </c>
      <c r="D5" s="15">
        <v>0.0</v>
      </c>
      <c r="E5" s="15">
        <v>0.0</v>
      </c>
      <c r="F5" s="15">
        <v>0.0</v>
      </c>
      <c r="G5" s="19">
        <f t="shared" si="1"/>
        <v>0</v>
      </c>
      <c r="H5" s="21">
        <f t="shared" si="2"/>
        <v>0</v>
      </c>
      <c r="I5" s="19">
        <f t="shared" si="3"/>
        <v>0</v>
      </c>
    </row>
    <row r="6">
      <c r="A6" s="11">
        <v>46208.0</v>
      </c>
      <c r="B6" s="12" t="s">
        <v>19</v>
      </c>
      <c r="C6" s="14">
        <v>0.0</v>
      </c>
      <c r="D6" s="15">
        <v>0.0</v>
      </c>
      <c r="E6" s="15">
        <v>0.0</v>
      </c>
      <c r="F6" s="15">
        <v>0.0</v>
      </c>
      <c r="G6" s="19">
        <f t="shared" si="1"/>
        <v>0</v>
      </c>
      <c r="H6" s="21">
        <f t="shared" si="2"/>
        <v>0</v>
      </c>
      <c r="I6" s="19">
        <f t="shared" si="3"/>
        <v>0</v>
      </c>
    </row>
    <row r="7">
      <c r="A7" s="11">
        <v>46209.0</v>
      </c>
      <c r="B7" s="12" t="s">
        <v>20</v>
      </c>
      <c r="C7" s="14">
        <v>0.0</v>
      </c>
      <c r="D7" s="15">
        <v>0.0</v>
      </c>
      <c r="E7" s="15">
        <v>0.0</v>
      </c>
      <c r="F7" s="15">
        <v>0.0</v>
      </c>
      <c r="G7" s="19">
        <f t="shared" si="1"/>
        <v>0</v>
      </c>
      <c r="H7" s="21">
        <f t="shared" si="2"/>
        <v>0</v>
      </c>
      <c r="I7" s="19">
        <f t="shared" si="3"/>
        <v>0</v>
      </c>
    </row>
    <row r="8">
      <c r="A8" s="11">
        <v>46210.0</v>
      </c>
      <c r="B8" s="12" t="s">
        <v>21</v>
      </c>
      <c r="C8" s="14">
        <v>0.0</v>
      </c>
      <c r="D8" s="15">
        <v>0.0</v>
      </c>
      <c r="E8" s="15">
        <v>0.0</v>
      </c>
      <c r="F8" s="15">
        <v>0.0</v>
      </c>
      <c r="G8" s="19">
        <f t="shared" si="1"/>
        <v>0</v>
      </c>
      <c r="H8" s="21">
        <f t="shared" si="2"/>
        <v>0</v>
      </c>
      <c r="I8" s="19">
        <f t="shared" si="3"/>
        <v>0</v>
      </c>
    </row>
    <row r="9">
      <c r="A9" s="11">
        <v>46211.0</v>
      </c>
      <c r="B9" s="12" t="s">
        <v>11</v>
      </c>
      <c r="C9" s="14">
        <v>0.0</v>
      </c>
      <c r="D9" s="15">
        <v>0.0</v>
      </c>
      <c r="E9" s="15">
        <v>0.0</v>
      </c>
      <c r="F9" s="15">
        <v>0.0</v>
      </c>
      <c r="G9" s="19">
        <f t="shared" si="1"/>
        <v>0</v>
      </c>
      <c r="H9" s="21">
        <f t="shared" si="2"/>
        <v>0</v>
      </c>
      <c r="I9" s="19">
        <f t="shared" si="3"/>
        <v>0</v>
      </c>
    </row>
    <row r="10">
      <c r="A10" s="11">
        <v>46212.0</v>
      </c>
      <c r="B10" s="12" t="s">
        <v>16</v>
      </c>
      <c r="C10" s="14">
        <v>0.0</v>
      </c>
      <c r="D10" s="15">
        <v>0.0</v>
      </c>
      <c r="E10" s="15">
        <v>0.0</v>
      </c>
      <c r="F10" s="15">
        <v>0.0</v>
      </c>
      <c r="G10" s="19">
        <f t="shared" si="1"/>
        <v>0</v>
      </c>
      <c r="H10" s="21">
        <f t="shared" si="2"/>
        <v>0</v>
      </c>
      <c r="I10" s="19">
        <f t="shared" si="3"/>
        <v>0</v>
      </c>
    </row>
    <row r="11">
      <c r="A11" s="11">
        <v>46213.0</v>
      </c>
      <c r="B11" s="12" t="s">
        <v>17</v>
      </c>
      <c r="C11" s="14">
        <v>0.0</v>
      </c>
      <c r="D11" s="15">
        <v>0.0</v>
      </c>
      <c r="E11" s="15">
        <v>0.0</v>
      </c>
      <c r="F11" s="15">
        <v>0.0</v>
      </c>
      <c r="G11" s="19">
        <f t="shared" si="1"/>
        <v>0</v>
      </c>
      <c r="H11" s="21">
        <f t="shared" si="2"/>
        <v>0</v>
      </c>
      <c r="I11" s="19">
        <f t="shared" si="3"/>
        <v>0</v>
      </c>
    </row>
    <row r="12">
      <c r="A12" s="11">
        <v>46214.0</v>
      </c>
      <c r="B12" s="12" t="s">
        <v>18</v>
      </c>
      <c r="C12" s="25">
        <v>0.5</v>
      </c>
      <c r="D12" s="15">
        <v>0.0</v>
      </c>
      <c r="E12" s="19">
        <v>850.0</v>
      </c>
      <c r="F12" s="15">
        <v>0.0</v>
      </c>
      <c r="G12" s="19">
        <f t="shared" si="1"/>
        <v>850.5</v>
      </c>
      <c r="H12" s="21">
        <f t="shared" si="2"/>
        <v>14.88375</v>
      </c>
      <c r="I12" s="19">
        <f t="shared" si="3"/>
        <v>835.61625</v>
      </c>
    </row>
    <row r="13">
      <c r="A13" s="11">
        <v>46215.0</v>
      </c>
      <c r="B13" s="12" t="s">
        <v>19</v>
      </c>
      <c r="C13" s="27">
        <v>2.0</v>
      </c>
      <c r="D13" s="15">
        <v>0.0</v>
      </c>
      <c r="E13" s="28">
        <v>0.0</v>
      </c>
      <c r="F13" s="15">
        <v>0.0</v>
      </c>
      <c r="G13" s="19">
        <f t="shared" si="1"/>
        <v>2</v>
      </c>
      <c r="H13" s="21">
        <f t="shared" si="2"/>
        <v>0.035</v>
      </c>
      <c r="I13" s="19">
        <f t="shared" si="3"/>
        <v>1.965</v>
      </c>
    </row>
    <row r="14">
      <c r="A14" s="11">
        <v>46216.0</v>
      </c>
      <c r="B14" s="12" t="s">
        <v>20</v>
      </c>
      <c r="C14" s="27">
        <v>0.0</v>
      </c>
      <c r="D14" s="15">
        <v>0.0</v>
      </c>
      <c r="E14" s="19">
        <v>0.0</v>
      </c>
      <c r="F14" s="15">
        <v>0.0</v>
      </c>
      <c r="G14" s="19">
        <f t="shared" si="1"/>
        <v>0</v>
      </c>
      <c r="H14" s="21">
        <f t="shared" si="2"/>
        <v>0</v>
      </c>
      <c r="I14" s="19">
        <f t="shared" si="3"/>
        <v>0</v>
      </c>
    </row>
    <row r="15">
      <c r="A15" s="11">
        <v>46217.0</v>
      </c>
      <c r="B15" s="12" t="s">
        <v>21</v>
      </c>
      <c r="C15" s="25">
        <v>0.5</v>
      </c>
      <c r="D15" s="15">
        <v>350.0</v>
      </c>
      <c r="E15" s="19">
        <v>0.0</v>
      </c>
      <c r="F15" s="15">
        <v>0.0</v>
      </c>
      <c r="G15" s="19">
        <f t="shared" si="1"/>
        <v>350.5</v>
      </c>
      <c r="H15" s="21">
        <f t="shared" si="2"/>
        <v>6.13375</v>
      </c>
      <c r="I15" s="19">
        <f t="shared" si="3"/>
        <v>344.36625</v>
      </c>
    </row>
    <row r="16">
      <c r="A16" s="11">
        <v>46218.0</v>
      </c>
      <c r="B16" s="12" t="s">
        <v>11</v>
      </c>
      <c r="C16" s="27">
        <v>0.0</v>
      </c>
      <c r="D16" s="15">
        <v>0.0</v>
      </c>
      <c r="E16" s="19">
        <v>0.0</v>
      </c>
      <c r="F16" s="15">
        <v>0.0</v>
      </c>
      <c r="G16" s="19">
        <v>0.0</v>
      </c>
      <c r="H16" s="21">
        <f t="shared" si="2"/>
        <v>0</v>
      </c>
      <c r="I16" s="19">
        <f t="shared" si="3"/>
        <v>0</v>
      </c>
    </row>
    <row r="17">
      <c r="A17" s="11">
        <v>46219.0</v>
      </c>
      <c r="B17" s="12" t="s">
        <v>16</v>
      </c>
      <c r="C17" s="27">
        <v>2.0</v>
      </c>
      <c r="D17" s="15">
        <v>0.0</v>
      </c>
      <c r="E17" s="19">
        <v>2840.0</v>
      </c>
      <c r="F17" s="15">
        <v>0.0</v>
      </c>
      <c r="G17" s="19">
        <f t="shared" ref="G17:G32" si="4">SUM(C17:F17)</f>
        <v>2842</v>
      </c>
      <c r="H17" s="21">
        <f t="shared" si="2"/>
        <v>49.735</v>
      </c>
      <c r="I17" s="19">
        <f t="shared" si="3"/>
        <v>2792.265</v>
      </c>
    </row>
    <row r="18">
      <c r="A18" s="11">
        <v>46220.0</v>
      </c>
      <c r="B18" s="12" t="s">
        <v>17</v>
      </c>
      <c r="C18" s="25">
        <v>1.0</v>
      </c>
      <c r="D18" s="19">
        <v>600.0</v>
      </c>
      <c r="E18" s="19">
        <v>0.0</v>
      </c>
      <c r="F18" s="15">
        <v>0.0</v>
      </c>
      <c r="G18" s="19">
        <f t="shared" si="4"/>
        <v>601</v>
      </c>
      <c r="H18" s="21">
        <f t="shared" si="2"/>
        <v>10.5175</v>
      </c>
      <c r="I18" s="19">
        <f t="shared" si="3"/>
        <v>590.4825</v>
      </c>
    </row>
    <row r="19">
      <c r="A19" s="11">
        <v>46221.0</v>
      </c>
      <c r="B19" s="12" t="s">
        <v>18</v>
      </c>
      <c r="C19" s="27">
        <v>3.0</v>
      </c>
      <c r="D19" s="19">
        <v>1800.0</v>
      </c>
      <c r="E19" s="19">
        <v>0.0</v>
      </c>
      <c r="F19" s="15">
        <v>0.0</v>
      </c>
      <c r="G19" s="19">
        <f t="shared" si="4"/>
        <v>1803</v>
      </c>
      <c r="H19" s="21">
        <f t="shared" si="2"/>
        <v>31.5525</v>
      </c>
      <c r="I19" s="19">
        <f t="shared" si="3"/>
        <v>1771.4475</v>
      </c>
    </row>
    <row r="20">
      <c r="A20" s="11">
        <v>46222.0</v>
      </c>
      <c r="B20" s="12" t="s">
        <v>19</v>
      </c>
      <c r="C20" s="25">
        <v>0.5</v>
      </c>
      <c r="D20" s="19">
        <v>350.0</v>
      </c>
      <c r="E20" s="19">
        <v>0.0</v>
      </c>
      <c r="F20" s="15">
        <v>0.0</v>
      </c>
      <c r="G20" s="19">
        <f t="shared" si="4"/>
        <v>350.5</v>
      </c>
      <c r="H20" s="21">
        <f t="shared" si="2"/>
        <v>6.13375</v>
      </c>
      <c r="I20" s="19">
        <f t="shared" si="3"/>
        <v>344.36625</v>
      </c>
    </row>
    <row r="21">
      <c r="A21" s="11">
        <v>46223.0</v>
      </c>
      <c r="B21" s="12" t="s">
        <v>20</v>
      </c>
      <c r="C21" s="27">
        <v>0.0</v>
      </c>
      <c r="D21" s="19">
        <v>0.0</v>
      </c>
      <c r="E21" s="19">
        <v>0.0</v>
      </c>
      <c r="F21" s="15">
        <v>0.0</v>
      </c>
      <c r="G21" s="19">
        <f t="shared" si="4"/>
        <v>0</v>
      </c>
      <c r="H21" s="21">
        <f t="shared" si="2"/>
        <v>0</v>
      </c>
      <c r="I21" s="19">
        <f t="shared" si="3"/>
        <v>0</v>
      </c>
    </row>
    <row r="22">
      <c r="A22" s="11">
        <v>46224.0</v>
      </c>
      <c r="B22" s="12" t="s">
        <v>21</v>
      </c>
      <c r="C22" s="27">
        <v>0.0</v>
      </c>
      <c r="D22" s="19">
        <v>0.0</v>
      </c>
      <c r="E22" s="19">
        <v>0.0</v>
      </c>
      <c r="F22" s="15">
        <v>0.0</v>
      </c>
      <c r="G22" s="19">
        <f t="shared" si="4"/>
        <v>0</v>
      </c>
      <c r="H22" s="21">
        <f t="shared" si="2"/>
        <v>0</v>
      </c>
      <c r="I22" s="19">
        <f t="shared" si="3"/>
        <v>0</v>
      </c>
    </row>
    <row r="23">
      <c r="A23" s="11">
        <v>46225.0</v>
      </c>
      <c r="B23" s="12" t="s">
        <v>11</v>
      </c>
      <c r="C23" s="27">
        <v>0.0</v>
      </c>
      <c r="D23" s="19">
        <v>0.0</v>
      </c>
      <c r="E23" s="19">
        <v>0.0</v>
      </c>
      <c r="F23" s="15">
        <v>0.0</v>
      </c>
      <c r="G23" s="19">
        <f t="shared" si="4"/>
        <v>0</v>
      </c>
      <c r="H23" s="21">
        <f t="shared" si="2"/>
        <v>0</v>
      </c>
      <c r="I23" s="19">
        <f t="shared" si="3"/>
        <v>0</v>
      </c>
    </row>
    <row r="24">
      <c r="A24" s="11">
        <v>46226.0</v>
      </c>
      <c r="B24" s="12" t="s">
        <v>16</v>
      </c>
      <c r="C24" s="27">
        <v>0.0</v>
      </c>
      <c r="D24" s="19">
        <v>0.0</v>
      </c>
      <c r="E24" s="19">
        <v>0.0</v>
      </c>
      <c r="F24" s="15">
        <v>0.0</v>
      </c>
      <c r="G24" s="19">
        <f t="shared" si="4"/>
        <v>0</v>
      </c>
      <c r="H24" s="21">
        <f t="shared" si="2"/>
        <v>0</v>
      </c>
      <c r="I24" s="19">
        <f t="shared" si="3"/>
        <v>0</v>
      </c>
    </row>
    <row r="25">
      <c r="A25" s="11">
        <v>46227.0</v>
      </c>
      <c r="B25" s="12" t="s">
        <v>17</v>
      </c>
      <c r="C25" s="27">
        <v>0.0</v>
      </c>
      <c r="D25" s="19">
        <v>0.0</v>
      </c>
      <c r="E25" s="19">
        <v>0.0</v>
      </c>
      <c r="F25" s="15">
        <v>0.0</v>
      </c>
      <c r="G25" s="19">
        <f t="shared" si="4"/>
        <v>0</v>
      </c>
      <c r="H25" s="21">
        <f t="shared" si="2"/>
        <v>0</v>
      </c>
      <c r="I25" s="19">
        <f t="shared" si="3"/>
        <v>0</v>
      </c>
    </row>
    <row r="26">
      <c r="A26" s="11">
        <v>46228.0</v>
      </c>
      <c r="B26" s="12" t="s">
        <v>18</v>
      </c>
      <c r="C26" s="27">
        <v>0.0</v>
      </c>
      <c r="D26" s="19">
        <v>0.0</v>
      </c>
      <c r="E26" s="19">
        <v>0.0</v>
      </c>
      <c r="F26" s="15">
        <v>0.0</v>
      </c>
      <c r="G26" s="19">
        <f t="shared" si="4"/>
        <v>0</v>
      </c>
      <c r="H26" s="21">
        <f t="shared" si="2"/>
        <v>0</v>
      </c>
      <c r="I26" s="19">
        <f t="shared" si="3"/>
        <v>0</v>
      </c>
    </row>
    <row r="27">
      <c r="A27" s="11">
        <v>46229.0</v>
      </c>
      <c r="B27" s="12" t="s">
        <v>19</v>
      </c>
      <c r="C27" s="25">
        <v>2.0</v>
      </c>
      <c r="D27" s="28">
        <v>0.0</v>
      </c>
      <c r="E27" s="19">
        <v>0.0</v>
      </c>
      <c r="F27" s="15">
        <v>0.0</v>
      </c>
      <c r="G27" s="19">
        <f t="shared" si="4"/>
        <v>2</v>
      </c>
      <c r="H27" s="21">
        <f t="shared" si="2"/>
        <v>0.035</v>
      </c>
      <c r="I27" s="19">
        <f t="shared" si="3"/>
        <v>1.965</v>
      </c>
    </row>
    <row r="28">
      <c r="A28" s="11">
        <v>46230.0</v>
      </c>
      <c r="B28" s="12" t="s">
        <v>20</v>
      </c>
      <c r="C28" s="27">
        <v>0.0</v>
      </c>
      <c r="D28" s="19">
        <v>0.0</v>
      </c>
      <c r="E28" s="19">
        <v>0.0</v>
      </c>
      <c r="F28" s="15">
        <v>0.0</v>
      </c>
      <c r="G28" s="19">
        <f t="shared" si="4"/>
        <v>0</v>
      </c>
      <c r="H28" s="21">
        <f t="shared" si="2"/>
        <v>0</v>
      </c>
      <c r="I28" s="19">
        <f t="shared" si="3"/>
        <v>0</v>
      </c>
    </row>
    <row r="29">
      <c r="A29" s="11">
        <v>46231.0</v>
      </c>
      <c r="B29" s="12" t="s">
        <v>21</v>
      </c>
      <c r="C29" s="27">
        <v>0.0</v>
      </c>
      <c r="D29" s="19">
        <v>0.0</v>
      </c>
      <c r="E29" s="19">
        <v>0.0</v>
      </c>
      <c r="F29" s="15">
        <v>0.0</v>
      </c>
      <c r="G29" s="19">
        <f t="shared" si="4"/>
        <v>0</v>
      </c>
      <c r="H29" s="21">
        <f t="shared" si="2"/>
        <v>0</v>
      </c>
      <c r="I29" s="19">
        <f t="shared" si="3"/>
        <v>0</v>
      </c>
    </row>
    <row r="30">
      <c r="A30" s="11">
        <v>46232.0</v>
      </c>
      <c r="B30" s="12" t="s">
        <v>11</v>
      </c>
      <c r="C30" s="27">
        <v>2.0</v>
      </c>
      <c r="D30" s="19">
        <v>0.0</v>
      </c>
      <c r="E30" s="19">
        <v>2100.0</v>
      </c>
      <c r="F30" s="15">
        <v>0.0</v>
      </c>
      <c r="G30" s="19">
        <f t="shared" si="4"/>
        <v>2102</v>
      </c>
      <c r="H30" s="21">
        <f t="shared" si="2"/>
        <v>36.785</v>
      </c>
      <c r="I30" s="19">
        <f t="shared" si="3"/>
        <v>2065.215</v>
      </c>
    </row>
    <row r="31">
      <c r="A31" s="11">
        <v>46233.0</v>
      </c>
      <c r="B31" s="12" t="s">
        <v>16</v>
      </c>
      <c r="C31" s="14">
        <v>0.0</v>
      </c>
      <c r="D31" s="15">
        <v>0.0</v>
      </c>
      <c r="E31" s="15">
        <v>0.0</v>
      </c>
      <c r="F31" s="15">
        <v>0.0</v>
      </c>
      <c r="G31" s="19">
        <f t="shared" si="4"/>
        <v>0</v>
      </c>
      <c r="H31" s="21">
        <f t="shared" si="2"/>
        <v>0</v>
      </c>
      <c r="I31" s="19">
        <f t="shared" si="3"/>
        <v>0</v>
      </c>
    </row>
    <row r="32">
      <c r="A32" s="11">
        <v>46234.0</v>
      </c>
      <c r="B32" s="12" t="s">
        <v>17</v>
      </c>
      <c r="C32" s="14">
        <v>0.0</v>
      </c>
      <c r="D32" s="15">
        <v>0.0</v>
      </c>
      <c r="E32" s="15">
        <v>0.0</v>
      </c>
      <c r="F32" s="15">
        <v>0.0</v>
      </c>
      <c r="G32" s="19">
        <f t="shared" si="4"/>
        <v>0</v>
      </c>
      <c r="H32" s="21">
        <f t="shared" si="2"/>
        <v>0</v>
      </c>
      <c r="I32" s="19">
        <f t="shared" si="3"/>
        <v>0</v>
      </c>
    </row>
    <row r="33">
      <c r="A33" s="38" t="s">
        <v>13</v>
      </c>
      <c r="B33" s="10"/>
      <c r="C33" s="44">
        <f>SUM(C2:C32)</f>
        <v>13.5</v>
      </c>
      <c r="D33" s="48">
        <f>SUM(D1:D32)</f>
        <v>3100</v>
      </c>
      <c r="E33" s="48">
        <f>sum(E1:E32)</f>
        <v>5790</v>
      </c>
      <c r="F33" s="48">
        <f t="shared" ref="F33:I33" si="5">SUM(F1:F32)</f>
        <v>0</v>
      </c>
      <c r="G33" s="48">
        <f t="shared" si="5"/>
        <v>8903.5</v>
      </c>
      <c r="H33" s="48">
        <f t="shared" si="5"/>
        <v>155.81125</v>
      </c>
      <c r="I33" s="48">
        <f t="shared" si="5"/>
        <v>8747.68875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38"/>
    <col customWidth="1" min="9" max="9" width="14.13"/>
  </cols>
  <sheetData>
    <row r="1">
      <c r="A1" s="35" t="s">
        <v>30</v>
      </c>
      <c r="B1" s="37" t="s">
        <v>0</v>
      </c>
      <c r="C1" s="37" t="s">
        <v>32</v>
      </c>
      <c r="D1" s="37" t="s">
        <v>33</v>
      </c>
      <c r="E1" s="39" t="s">
        <v>34</v>
      </c>
      <c r="F1" s="37" t="s">
        <v>9</v>
      </c>
      <c r="G1" s="40" t="s">
        <v>36</v>
      </c>
      <c r="H1" s="40" t="s">
        <v>37</v>
      </c>
      <c r="I1" s="37" t="s">
        <v>38</v>
      </c>
    </row>
    <row r="2">
      <c r="A2" s="42"/>
      <c r="B2" s="43" t="s">
        <v>1</v>
      </c>
      <c r="C2" s="45">
        <v>2946.0</v>
      </c>
      <c r="D2" s="45">
        <v>206.0</v>
      </c>
      <c r="E2" s="46">
        <v>37.0</v>
      </c>
      <c r="F2" s="49">
        <f>C2-D2-E2</f>
        <v>2703</v>
      </c>
      <c r="G2" s="45">
        <v>14.0</v>
      </c>
      <c r="H2" s="45">
        <v>3.0</v>
      </c>
      <c r="I2" s="50">
        <f>F2-G2-H2</f>
        <v>2686</v>
      </c>
    </row>
    <row r="3">
      <c r="A3" s="51"/>
      <c r="B3" s="36"/>
      <c r="C3" s="36"/>
      <c r="D3" s="36"/>
      <c r="E3" s="53"/>
      <c r="F3" s="53"/>
      <c r="G3" s="36"/>
      <c r="H3" s="36"/>
      <c r="I3" s="36"/>
    </row>
    <row r="4">
      <c r="A4" s="51"/>
      <c r="B4" s="55" t="s">
        <v>13</v>
      </c>
      <c r="C4" s="56">
        <f>SUM(C2:C3)</f>
        <v>2946</v>
      </c>
      <c r="D4" s="57"/>
      <c r="E4" s="58"/>
      <c r="F4" s="59">
        <f>SUM(F2:F3)</f>
        <v>2703</v>
      </c>
      <c r="G4" s="57"/>
      <c r="H4" s="57"/>
      <c r="I4" s="56">
        <f>SUM(I2:I3)</f>
        <v>2686</v>
      </c>
    </row>
    <row r="6">
      <c r="A6" s="60" t="s">
        <v>4</v>
      </c>
      <c r="B6" s="61">
        <f>C4-B7-B8</f>
        <v>0</v>
      </c>
    </row>
    <row r="7">
      <c r="A7" s="60" t="s">
        <v>5</v>
      </c>
      <c r="B7" s="62">
        <v>2946.0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41" t="s">
        <v>30</v>
      </c>
      <c r="B1" s="47" t="s">
        <v>0</v>
      </c>
      <c r="C1" s="47" t="s">
        <v>42</v>
      </c>
      <c r="D1" s="47" t="s">
        <v>43</v>
      </c>
      <c r="E1" s="47" t="s">
        <v>9</v>
      </c>
      <c r="F1" s="47" t="s">
        <v>37</v>
      </c>
      <c r="G1" s="47" t="s">
        <v>36</v>
      </c>
      <c r="H1" s="37" t="s">
        <v>12</v>
      </c>
    </row>
    <row r="2">
      <c r="A2" s="31"/>
      <c r="B2" s="43" t="s">
        <v>1</v>
      </c>
      <c r="C2" s="52">
        <v>4400.0</v>
      </c>
      <c r="D2" s="52">
        <v>572.0</v>
      </c>
      <c r="E2" s="54">
        <f>C2-D2</f>
        <v>3828</v>
      </c>
      <c r="F2" s="52">
        <v>4.0</v>
      </c>
      <c r="G2" s="52">
        <v>18.0</v>
      </c>
      <c r="H2" s="52">
        <v>3805.0</v>
      </c>
    </row>
    <row r="3">
      <c r="A3" s="26"/>
      <c r="B3" s="9" t="s">
        <v>13</v>
      </c>
      <c r="C3" s="59">
        <f>SUM(C2)</f>
        <v>4400</v>
      </c>
      <c r="D3" s="17"/>
      <c r="E3" s="59">
        <f>SUM(E2)</f>
        <v>3828</v>
      </c>
      <c r="F3" s="17"/>
      <c r="G3" s="17"/>
      <c r="H3" s="59">
        <f>SUM(H2)</f>
        <v>3805</v>
      </c>
    </row>
    <row r="5">
      <c r="A5" s="60" t="s">
        <v>4</v>
      </c>
      <c r="B5" s="61">
        <f>C3-B6-B7</f>
        <v>4400</v>
      </c>
    </row>
    <row r="6">
      <c r="A6" s="60" t="s">
        <v>5</v>
      </c>
      <c r="B6" s="63">
        <v>0.0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4" max="4" width="14.38"/>
    <col customWidth="1" min="9" max="9" width="14.13"/>
  </cols>
  <sheetData>
    <row r="1">
      <c r="A1" s="41" t="s">
        <v>30</v>
      </c>
      <c r="B1" s="47" t="s">
        <v>0</v>
      </c>
      <c r="C1" s="47" t="s">
        <v>55</v>
      </c>
      <c r="D1" s="47" t="s">
        <v>33</v>
      </c>
      <c r="E1" s="47" t="s">
        <v>56</v>
      </c>
      <c r="F1" s="47" t="s">
        <v>9</v>
      </c>
      <c r="G1" s="47" t="s">
        <v>57</v>
      </c>
      <c r="H1" s="47" t="s">
        <v>58</v>
      </c>
      <c r="I1" s="47" t="s">
        <v>38</v>
      </c>
    </row>
    <row r="2">
      <c r="A2" s="68"/>
      <c r="B2" s="43" t="s">
        <v>1</v>
      </c>
      <c r="C2" s="69">
        <v>17555.0</v>
      </c>
      <c r="D2" s="69">
        <v>1802.0</v>
      </c>
      <c r="E2" s="70">
        <v>324.0</v>
      </c>
      <c r="F2" s="49">
        <f>C2-D2-E2</f>
        <v>15429</v>
      </c>
      <c r="G2" s="70">
        <v>13.0</v>
      </c>
      <c r="H2" s="70">
        <v>0.0</v>
      </c>
      <c r="I2" s="69">
        <f>F2-G2</f>
        <v>15416</v>
      </c>
    </row>
    <row r="3">
      <c r="A3" s="68"/>
      <c r="B3" s="71" t="s">
        <v>13</v>
      </c>
      <c r="C3" s="44">
        <f>sum(C2)</f>
        <v>17555</v>
      </c>
      <c r="D3" s="72"/>
      <c r="E3" s="17"/>
      <c r="F3" s="44">
        <f>sum(F2)</f>
        <v>15429</v>
      </c>
      <c r="G3" s="17"/>
      <c r="H3" s="17"/>
      <c r="I3" s="44">
        <f>sum(I2)</f>
        <v>15416</v>
      </c>
    </row>
    <row r="5">
      <c r="A5" s="60" t="s">
        <v>4</v>
      </c>
      <c r="B5" s="63">
        <f>C3-B6</f>
        <v>3080</v>
      </c>
    </row>
    <row r="6">
      <c r="A6" s="60" t="s">
        <v>5</v>
      </c>
      <c r="B6" s="63">
        <v>14475.0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73"/>
      <c r="B1" s="37" t="s">
        <v>0</v>
      </c>
      <c r="C1" s="37" t="s">
        <v>63</v>
      </c>
      <c r="D1" s="37" t="s">
        <v>33</v>
      </c>
      <c r="E1" s="37" t="s">
        <v>38</v>
      </c>
    </row>
    <row r="2">
      <c r="A2" s="51"/>
      <c r="B2" s="43" t="s">
        <v>1</v>
      </c>
      <c r="C2" s="45">
        <v>10029.0</v>
      </c>
      <c r="D2" s="76">
        <f>C2*5%</f>
        <v>501.45</v>
      </c>
      <c r="E2" s="76">
        <f>C2-D2</f>
        <v>9527.55</v>
      </c>
    </row>
    <row r="3">
      <c r="A3" s="51"/>
      <c r="B3" s="43"/>
      <c r="C3" s="45"/>
      <c r="D3" s="76"/>
      <c r="E3" s="76"/>
    </row>
    <row r="4">
      <c r="A4" s="77"/>
      <c r="B4" s="78" t="s">
        <v>13</v>
      </c>
      <c r="C4" s="79">
        <f>SUM(C2)</f>
        <v>10029</v>
      </c>
      <c r="D4" s="57"/>
      <c r="E4" s="79">
        <f>SUM(E2)</f>
        <v>9527.55</v>
      </c>
      <c r="F4" s="80"/>
      <c r="G4" s="80"/>
      <c r="H4" s="80"/>
      <c r="I4" s="80"/>
      <c r="J4" s="80"/>
      <c r="K4" s="81"/>
      <c r="L4" s="80"/>
      <c r="M4" s="81"/>
      <c r="N4" s="81"/>
    </row>
    <row r="5">
      <c r="A5" s="82"/>
      <c r="B5" s="83"/>
      <c r="C5" s="84"/>
      <c r="D5" s="82"/>
      <c r="E5" s="85"/>
    </row>
    <row r="6">
      <c r="A6" s="60" t="s">
        <v>4</v>
      </c>
      <c r="B6" s="61">
        <f>C4-B7-B8</f>
        <v>5235</v>
      </c>
      <c r="D6" s="82"/>
      <c r="E6" s="85"/>
    </row>
    <row r="7">
      <c r="A7" s="60" t="s">
        <v>5</v>
      </c>
      <c r="B7" s="63">
        <v>4794.0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47" t="s">
        <v>59</v>
      </c>
      <c r="B1" s="47" t="s">
        <v>60</v>
      </c>
      <c r="C1" s="47" t="s">
        <v>61</v>
      </c>
    </row>
    <row r="2">
      <c r="A2" s="74" t="s">
        <v>62</v>
      </c>
      <c r="B2" s="74" t="s">
        <v>64</v>
      </c>
      <c r="C2" s="75">
        <v>118000.0</v>
      </c>
    </row>
  </sheetData>
  <drawing r:id="rId1"/>
</worksheet>
</file>