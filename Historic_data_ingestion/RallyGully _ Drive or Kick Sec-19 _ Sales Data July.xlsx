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Academy" sheetId="4" r:id="rId8"/>
  </sheets>
  <definedNames/>
  <calcPr/>
</workbook>
</file>

<file path=xl/sharedStrings.xml><?xml version="1.0" encoding="utf-8"?>
<sst xmlns="http://schemas.openxmlformats.org/spreadsheetml/2006/main" count="95" uniqueCount="66">
  <si>
    <t>1 - 31 July</t>
  </si>
  <si>
    <t>Date</t>
  </si>
  <si>
    <t>Link</t>
  </si>
  <si>
    <t>Month</t>
  </si>
  <si>
    <t>Coaching</t>
  </si>
  <si>
    <t>Sports Type</t>
  </si>
  <si>
    <t>Type</t>
  </si>
  <si>
    <t>Day</t>
  </si>
  <si>
    <t>Amount Collected</t>
  </si>
  <si>
    <t>Particulars</t>
  </si>
  <si>
    <t>Offline booking hours</t>
  </si>
  <si>
    <t>July</t>
  </si>
  <si>
    <t>Amount</t>
  </si>
  <si>
    <t>Booking Revenue</t>
  </si>
  <si>
    <t>Basketball Coaching</t>
  </si>
  <si>
    <t>Community Revenue</t>
  </si>
  <si>
    <t xml:space="preserve">Paddle Rental </t>
  </si>
  <si>
    <t>Basketball</t>
  </si>
  <si>
    <t>F&amp;B</t>
  </si>
  <si>
    <t>Total Revenue</t>
  </si>
  <si>
    <t>Pickleball</t>
  </si>
  <si>
    <t>3 days in week</t>
  </si>
  <si>
    <t>Payment Gateway</t>
  </si>
  <si>
    <t>Pay &amp; Play</t>
  </si>
  <si>
    <t>Net Revenue</t>
  </si>
  <si>
    <t>Wednesday</t>
  </si>
  <si>
    <t>Paid to District</t>
  </si>
  <si>
    <t>Commissions (₹)</t>
  </si>
  <si>
    <t>GST on Commission</t>
  </si>
  <si>
    <t>TCS</t>
  </si>
  <si>
    <t>TDS</t>
  </si>
  <si>
    <t>Final Amount (₹)</t>
  </si>
  <si>
    <t xml:space="preserve">Online </t>
  </si>
  <si>
    <t>District</t>
  </si>
  <si>
    <t>Thursday</t>
  </si>
  <si>
    <t>Total</t>
  </si>
  <si>
    <t>Hudle</t>
  </si>
  <si>
    <t>Playo</t>
  </si>
  <si>
    <t>Friday</t>
  </si>
  <si>
    <t>Khelomore</t>
  </si>
  <si>
    <t>Zplys</t>
  </si>
  <si>
    <t>Offline</t>
  </si>
  <si>
    <t>Saturday</t>
  </si>
  <si>
    <t>Bookings</t>
  </si>
  <si>
    <t>Sunday</t>
  </si>
  <si>
    <t>Memberships</t>
  </si>
  <si>
    <t>Monday</t>
  </si>
  <si>
    <t>Community</t>
  </si>
  <si>
    <t>Pickup games</t>
  </si>
  <si>
    <t>Tuesday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</si>
  <si>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</si>
  <si>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</si>
  <si>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</si>
  <si>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</si>
  <si>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</si>
  <si>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</si>
  <si>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</si>
  <si>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</si>
  <si>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</si>
  <si>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</si>
  <si>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</si>
  <si>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</si>
  <si>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Net Revenue post GST</t>
  </si>
  <si>
    <t>Drive &amp; Kick Share (70%)</t>
  </si>
  <si>
    <t>Drive &amp; Kick Share (Final share after incorporting 18k already received by Drive Kick)</t>
  </si>
  <si>
    <t>RallyGully's Share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</si>
</sst>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[&gt;9999999][$₹]##\,##\,##\,##0;[&gt;99999][$₹]##\,##\,##0;[$₹]##,##0"/>
    <numFmt numFmtId="166" formatCode="d mmm"/>
    <numFmt numFmtId="167" formatCode="[$₹]#,##0.0"/>
    <numFmt numFmtId="168" formatCode="[&gt;9999999][$₹]##\,##\,##\,##0.00;[&gt;99999][$₹]##\,##\,##0.00;[$₹]##,##0.00"/>
    <numFmt numFmtId="169" formatCode="[$₹]#,##0.00"/>
    <numFmt numFmtId="170" formatCode="d mmm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2" fontId="2" numFmtId="0" xfId="0" applyAlignment="1" applyBorder="1" applyFill="1" applyFont="1">
      <alignment horizontal="center" vertical="bottom"/>
    </xf>
    <xf borderId="3" fillId="0" fontId="3" numFmtId="0" xfId="0" applyBorder="1" applyFont="1"/>
    <xf borderId="2" fillId="2" fontId="2" numFmtId="164" xfId="0" applyAlignment="1" applyBorder="1" applyFill="1" applyFont="1" applyNumberForma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2" fontId="2" numFmtId="3" xfId="0" applyAlignment="1" applyBorder="1" applyFill="1" applyFont="1" applyNumberFormat="1">
      <alignment horizontal="center" vertical="bottom"/>
    </xf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2" fillId="2" fontId="4" numFmtId="0" xfId="0" applyAlignment="1" applyBorder="1" applyFill="1" applyFont="1">
      <alignment vertical="bottom"/>
    </xf>
    <xf borderId="2" fillId="2" fontId="2" numFmtId="165" xfId="0" applyAlignment="1" applyBorder="1" applyFill="1" applyFont="1" applyNumberFormat="1">
      <alignment horizontal="center" vertical="bottom"/>
    </xf>
    <xf borderId="2" fillId="0" fontId="4" numFmtId="166" xfId="0" applyAlignment="1" applyBorder="1" applyFont="1" applyNumberFormat="1">
      <alignment vertical="bottom"/>
    </xf>
    <xf borderId="2" fillId="2" fontId="2" numFmtId="167" xfId="0" applyAlignment="1" applyBorder="1" applyFill="1" applyFont="1" applyNumberFormat="1">
      <alignment vertical="bottom"/>
    </xf>
    <xf borderId="2" fillId="0" fontId="2" numFmtId="168" xfId="0" applyAlignment="1" applyBorder="1" applyFont="1" applyNumberFormat="1">
      <alignment horizontal="right" vertical="bottom"/>
    </xf>
    <xf borderId="2" fillId="2" fontId="2" numFmtId="0" xfId="0" applyAlignment="1" applyBorder="1" applyFill="1" applyFont="1">
      <alignment vertical="bottom"/>
    </xf>
    <xf borderId="2" fillId="2" fontId="5" numFmtId="169" xfId="0" applyAlignment="1" applyBorder="1" applyFill="1" applyFont="1" applyNumberFormat="1">
      <alignment horizontal="center" readingOrder="0" vertical="bottom"/>
    </xf>
    <xf borderId="2" fillId="3" fontId="4" numFmtId="170" xfId="0" applyAlignment="1" applyBorder="1" applyFill="1" applyFont="1" applyNumberFormat="1">
      <alignment horizontal="right" vertical="bottom"/>
    </xf>
    <xf borderId="2" fillId="2" fontId="2" numFmtId="169" xfId="0" applyAlignment="1" applyBorder="1" applyFill="1" applyFont="1" applyNumberFormat="1">
      <alignment horizontal="center" vertical="bottom"/>
    </xf>
    <xf borderId="2" fillId="3" fontId="4" numFmtId="164" xfId="0" applyAlignment="1" applyBorder="1" applyFill="1" applyFont="1" applyNumberFormat="1">
      <alignment vertical="bottom"/>
    </xf>
    <xf borderId="2" fillId="3" fontId="4" numFmtId="3" xfId="0" applyAlignment="1" applyBorder="1" applyFill="1" applyFont="1" applyNumberFormat="1">
      <alignment horizontal="right" vertical="bottom"/>
    </xf>
    <xf borderId="2" fillId="2" fontId="6" numFmtId="169" xfId="0" applyAlignment="1" applyBorder="1" applyFill="1" applyFont="1" applyNumberFormat="1">
      <alignment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169" xfId="0" applyAlignment="1" applyBorder="1" applyFont="1" applyNumberFormat="1">
      <alignment readingOrder="0" vertical="bottom"/>
    </xf>
    <xf borderId="2" fillId="0" fontId="4" numFmtId="169" xfId="0" applyAlignment="1" applyBorder="1" applyFont="1" applyNumberFormat="1">
      <alignment horizontal="right" readingOrder="0" vertical="bottom"/>
    </xf>
    <xf borderId="2" fillId="0" fontId="4" numFmtId="168" xfId="0" applyAlignment="1" applyBorder="1" applyFont="1" applyNumberFormat="1">
      <alignment horizontal="right" readingOrder="0" vertical="bottom"/>
    </xf>
    <xf borderId="2" fillId="0" fontId="2" numFmtId="165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168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vertical="bottom"/>
    </xf>
    <xf borderId="2" fillId="2" fontId="2" numFmtId="169" xfId="0" applyAlignment="1" applyBorder="1" applyFill="1" applyFont="1" applyNumberFormat="1">
      <alignment vertical="bottom"/>
    </xf>
    <xf borderId="2" fillId="0" fontId="4" numFmtId="165" xfId="0" applyAlignment="1" applyBorder="1" applyFont="1" applyNumberFormat="1">
      <alignment readingOrder="0" vertical="bottom"/>
    </xf>
    <xf borderId="2" fillId="2" fontId="2" numFmtId="169" xfId="0" applyAlignment="1" applyBorder="1" applyFill="1" applyFont="1" applyNumberFormat="1">
      <alignment horizontal="right" vertical="bottom"/>
    </xf>
    <xf borderId="2" fillId="0" fontId="4" numFmtId="0" xfId="0" applyAlignment="1" applyBorder="1" applyFont="1">
      <alignment vertical="bottom"/>
    </xf>
    <xf borderId="2" fillId="0" fontId="4" numFmtId="3" xfId="0" applyAlignment="1" applyBorder="1" applyFont="1" applyNumberFormat="1">
      <alignment horizontal="right" vertical="bottom"/>
    </xf>
    <xf borderId="2" fillId="2" fontId="4" numFmtId="169" xfId="0" applyAlignment="1" applyBorder="1" applyFill="1" applyFont="1" applyNumberFormat="1">
      <alignment vertical="bottom"/>
    </xf>
    <xf borderId="0" fillId="0" fontId="2" numFmtId="0" xfId="0" applyAlignment="1" applyFont="1">
      <alignment vertical="bottom"/>
    </xf>
    <xf borderId="2" fillId="2" fontId="4" numFmtId="168" xfId="0" applyAlignment="1" applyBorder="1" applyFill="1" applyFont="1" applyNumberFormat="1">
      <alignment vertical="bottom"/>
    </xf>
    <xf borderId="2" fillId="0" fontId="2" numFmtId="0" xfId="0" applyAlignment="1" applyBorder="1" applyFont="1">
      <alignment vertical="bottom"/>
    </xf>
    <xf borderId="2" fillId="2" fontId="2" numFmtId="168" xfId="0" applyAlignment="1" applyBorder="1" applyFill="1" applyFont="1" applyNumberFormat="1">
      <alignment horizontal="right" vertical="bottom"/>
    </xf>
    <xf borderId="2" fillId="0" fontId="4" numFmtId="4" xfId="0" applyAlignment="1" applyBorder="1" applyFont="1" applyNumberFormat="1">
      <alignment horizontal="right" vertical="bottom"/>
    </xf>
    <xf borderId="2" fillId="0" fontId="4" numFmtId="169" xfId="0" applyAlignment="1" applyBorder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readingOrder="0" vertical="bottom"/>
    </xf>
    <xf borderId="2" fillId="0" fontId="2" numFmtId="165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readingOrder="0"/>
    </xf>
    <xf borderId="2" fillId="2" fontId="2" numFmtId="165" xfId="0" applyAlignment="1" applyBorder="1" applyFill="1" applyFont="1" applyNumberFormat="1">
      <alignment horizontal="right" vertical="bottom"/>
    </xf>
    <xf borderId="2" fillId="0" fontId="4" numFmtId="0" xfId="0" applyAlignment="1" applyBorder="1" applyFont="1">
      <alignment shrinkToFit="0" vertical="bottom" wrapText="1"/>
    </xf>
    <xf borderId="0" fillId="0" fontId="4" numFmtId="167" xfId="0" applyAlignment="1" applyFont="1" applyNumberFormat="1">
      <alignment horizontal="right" vertical="bottom"/>
    </xf>
    <xf borderId="2" fillId="0" fontId="2" numFmtId="169" xfId="0" applyAlignment="1" applyBorder="1" applyFont="1" applyNumberFormat="1">
      <alignment vertical="bottom"/>
    </xf>
    <xf borderId="2" fillId="0" fontId="2" numFmtId="0" xfId="0" applyAlignment="1" applyBorder="1" applyFont="1">
      <alignment readingOrder="0" vertical="bottom"/>
    </xf>
    <xf borderId="2" fillId="0" fontId="4" numFmtId="164" xfId="0" applyAlignment="1" applyBorder="1" applyFont="1" applyNumberFormat="1">
      <alignment horizontal="right" shrinkToFit="0" vertical="bottom" wrapText="1"/>
    </xf>
    <xf borderId="2" fillId="3" fontId="4" numFmtId="164" xfId="0" applyAlignment="1" applyBorder="1" applyFill="1" applyFont="1" applyNumberFormat="1">
      <alignment horizontal="right" vertical="bottom"/>
    </xf>
    <xf borderId="2" fillId="2" fontId="2" numFmtId="164" xfId="0" applyAlignment="1" applyBorder="1" applyFill="1" applyFont="1" applyNumberFormat="1">
      <alignment vertical="bottom"/>
    </xf>
    <xf borderId="2" fillId="2" fontId="4" numFmtId="164" xfId="0" applyAlignment="1" applyBorder="1" applyFill="1" applyFont="1" applyNumberFormat="1">
      <alignment vertical="bottom"/>
    </xf>
    <xf borderId="2" fillId="2" fontId="4" numFmtId="4" xfId="0" applyAlignment="1" applyBorder="1" applyFill="1" applyFont="1" applyNumberFormat="1">
      <alignment vertical="bottom"/>
    </xf>
    <xf borderId="2" fillId="2" fontId="2" numFmtId="164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  <col customWidth="1" min="4" max="4" width="133.75"/>
  </cols>
  <sheetData>
    <row r="1">
      <c r="A1" s="1"/>
    </row>
    <row r="2">
      <c r="B2" s="2" t="s">
        <v>0</v>
      </c>
      <c r="C2" s="4"/>
    </row>
    <row r="3">
      <c r="B3" s="6" t="s">
        <v>9</v>
      </c>
      <c r="C3" s="6" t="s">
        <v>12</v>
      </c>
      <c r="E3" s="9"/>
    </row>
    <row r="4">
      <c r="B4" s="12"/>
      <c r="C4" s="13" t="s">
        <v>20</v>
      </c>
      <c r="E4" s="9"/>
    </row>
    <row r="5">
      <c r="B5" s="10" t="s">
        <v>23</v>
      </c>
      <c r="C5" s="28">
        <f>sum(C6,C12)</f>
        <v>41860</v>
      </c>
      <c r="E5" s="9"/>
    </row>
    <row r="6">
      <c r="B6" s="10" t="s">
        <v>32</v>
      </c>
      <c r="C6" s="28">
        <f>sum(C7:C11)</f>
        <v>31980</v>
      </c>
      <c r="E6" s="9"/>
    </row>
    <row r="7" outlineLevel="1">
      <c r="B7" s="11" t="s">
        <v>33</v>
      </c>
      <c r="C7" s="31">
        <f>District!C3</f>
        <v>31980</v>
      </c>
      <c r="E7" s="9"/>
    </row>
    <row r="8" outlineLevel="1">
      <c r="B8" s="11" t="s">
        <v>36</v>
      </c>
      <c r="C8" s="33">
        <v>0.0</v>
      </c>
      <c r="E8" s="9"/>
    </row>
    <row r="9" outlineLevel="1">
      <c r="B9" s="11" t="s">
        <v>37</v>
      </c>
      <c r="C9" s="33">
        <v>0.0</v>
      </c>
      <c r="E9" s="9"/>
    </row>
    <row r="10" outlineLevel="1">
      <c r="B10" s="35" t="s">
        <v>39</v>
      </c>
      <c r="C10" s="33">
        <v>0.0</v>
      </c>
      <c r="E10" s="38"/>
    </row>
    <row r="11" outlineLevel="1">
      <c r="B11" s="11" t="s">
        <v>40</v>
      </c>
      <c r="C11" s="33">
        <v>0.0</v>
      </c>
      <c r="E11" s="38"/>
    </row>
    <row r="12">
      <c r="B12" s="40" t="s">
        <v>41</v>
      </c>
      <c r="C12" s="28">
        <f>sum(C13:C14)</f>
        <v>9880</v>
      </c>
    </row>
    <row r="13" outlineLevel="1">
      <c r="B13" s="11" t="s">
        <v>43</v>
      </c>
      <c r="C13" s="31">
        <f>'Offline &amp; RG Community'!D33</f>
        <v>9880</v>
      </c>
    </row>
    <row r="14" outlineLevel="1">
      <c r="B14" s="43" t="s">
        <v>45</v>
      </c>
      <c r="C14" s="33">
        <v>0.0</v>
      </c>
      <c r="E14" s="9"/>
    </row>
    <row r="15">
      <c r="B15" s="40" t="s">
        <v>47</v>
      </c>
      <c r="C15" s="28">
        <f>sum(C16:C17)</f>
        <v>5800</v>
      </c>
      <c r="E15" s="9"/>
    </row>
    <row r="16" outlineLevel="1">
      <c r="B16" s="35" t="s">
        <v>48</v>
      </c>
      <c r="C16" s="31">
        <f>'Offline &amp; RG Community'!E33</f>
        <v>5800</v>
      </c>
      <c r="E16" s="9"/>
    </row>
    <row r="17" outlineLevel="1">
      <c r="B17" s="35" t="s">
        <v>50</v>
      </c>
      <c r="C17" s="33">
        <v>0.0</v>
      </c>
    </row>
    <row r="18">
      <c r="B18" s="40" t="s">
        <v>51</v>
      </c>
      <c r="C18" s="28">
        <f>Academy!E2</f>
        <v>18000</v>
      </c>
      <c r="E18" s="9"/>
    </row>
    <row r="19">
      <c r="B19" s="10" t="s">
        <v>52</v>
      </c>
      <c r="C19" s="28">
        <f>sum(C20,C21)</f>
        <v>0</v>
      </c>
    </row>
    <row r="20" outlineLevel="1">
      <c r="B20" s="11" t="s">
        <v>53</v>
      </c>
      <c r="C20" s="45">
        <v>0.0</v>
      </c>
    </row>
    <row r="21" outlineLevel="1">
      <c r="B21" s="35" t="s">
        <v>54</v>
      </c>
      <c r="C21" s="46">
        <v>0.0</v>
      </c>
    </row>
    <row r="22">
      <c r="B22" s="10" t="s">
        <v>55</v>
      </c>
      <c r="C22" s="28">
        <f>sum(C23:C25)</f>
        <v>2100</v>
      </c>
    </row>
    <row r="23" outlineLevel="1">
      <c r="B23" s="11" t="s">
        <v>56</v>
      </c>
      <c r="C23" s="45">
        <f>'Offline &amp; RG Community'!F33</f>
        <v>2100</v>
      </c>
    </row>
    <row r="24" outlineLevel="1">
      <c r="B24" s="11" t="s">
        <v>57</v>
      </c>
      <c r="C24" s="33">
        <v>0.0</v>
      </c>
    </row>
    <row r="25" outlineLevel="1">
      <c r="B25" s="11" t="s">
        <v>18</v>
      </c>
      <c r="C25" s="46">
        <v>0.0</v>
      </c>
    </row>
    <row r="26">
      <c r="B26" s="10" t="s">
        <v>58</v>
      </c>
      <c r="C26" s="47">
        <v>0.0</v>
      </c>
      <c r="D26" s="48" t="s">
        <v>59</v>
      </c>
    </row>
    <row r="27">
      <c r="B27" s="17" t="s">
        <v>60</v>
      </c>
      <c r="C27" s="49">
        <f>sum(C26+C22+C19+C18+C15+C12+C6)</f>
        <v>67760</v>
      </c>
    </row>
    <row r="28">
      <c r="B28" s="50" t="s">
        <v>61</v>
      </c>
      <c r="C28" s="52">
        <f>'Offline &amp; RG Community'!J33+District!F3+Academy!E2</f>
        <v>65178.85</v>
      </c>
    </row>
    <row r="29">
      <c r="B29" s="53" t="s">
        <v>62</v>
      </c>
      <c r="C29" s="28">
        <f>C27/1.18-(C27-C28)</f>
        <v>54842.57881</v>
      </c>
    </row>
    <row r="30">
      <c r="B30" s="11" t="s">
        <v>63</v>
      </c>
      <c r="C30" s="54">
        <f>C29*70%</f>
        <v>38389.80517</v>
      </c>
    </row>
    <row r="31">
      <c r="B31" s="50" t="s">
        <v>64</v>
      </c>
      <c r="C31" s="54">
        <f>C30-C18</f>
        <v>20389.80517</v>
      </c>
    </row>
    <row r="32">
      <c r="B32" s="11" t="s">
        <v>65</v>
      </c>
      <c r="C32" s="54">
        <f>C29*30%</f>
        <v>16452.77364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15.13"/>
    <col customWidth="1" min="5" max="5" width="17.63"/>
    <col customWidth="1" min="7" max="9" width="15.25"/>
  </cols>
  <sheetData>
    <row r="1">
      <c r="A1" s="5" t="s">
        <v>1</v>
      </c>
      <c r="B1" s="5" t="s">
        <v>7</v>
      </c>
      <c r="C1" s="7" t="s">
        <v>10</v>
      </c>
      <c r="D1" s="5" t="s">
        <v>13</v>
      </c>
      <c r="E1" s="5" t="s">
        <v>15</v>
      </c>
      <c r="F1" s="5" t="s">
        <v>16</v>
      </c>
      <c r="G1" s="5" t="s">
        <v>18</v>
      </c>
      <c r="H1" s="5" t="s">
        <v>19</v>
      </c>
      <c r="I1" s="15" t="s">
        <v>22</v>
      </c>
      <c r="J1" s="17" t="s">
        <v>24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19">
        <v>46204.0</v>
      </c>
      <c r="B2" s="21" t="s">
        <v>25</v>
      </c>
      <c r="C2" s="22">
        <v>0.0</v>
      </c>
      <c r="D2" s="24">
        <v>0.0</v>
      </c>
      <c r="E2" s="24">
        <v>0.0</v>
      </c>
      <c r="F2" s="24">
        <v>0.0</v>
      </c>
      <c r="G2" s="24">
        <v>0.0</v>
      </c>
      <c r="H2" s="24">
        <f t="shared" ref="H2:H32" si="1">sum(D2:G2)</f>
        <v>0</v>
      </c>
      <c r="I2" s="29">
        <f t="shared" ref="I2:I32" si="2">H2*1.75%</f>
        <v>0</v>
      </c>
      <c r="J2" s="24">
        <f t="shared" ref="J2:J32" si="3">H2-I2</f>
        <v>0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19">
        <v>46205.0</v>
      </c>
      <c r="B3" s="21" t="s">
        <v>34</v>
      </c>
      <c r="C3" s="22">
        <v>1.0</v>
      </c>
      <c r="D3" s="24">
        <v>720.0</v>
      </c>
      <c r="E3" s="24">
        <v>1400.0</v>
      </c>
      <c r="F3" s="24">
        <v>250.0</v>
      </c>
      <c r="G3" s="24">
        <v>0.0</v>
      </c>
      <c r="H3" s="24">
        <f t="shared" si="1"/>
        <v>2370</v>
      </c>
      <c r="I3" s="29">
        <f t="shared" si="2"/>
        <v>41.475</v>
      </c>
      <c r="J3" s="24">
        <f t="shared" si="3"/>
        <v>2328.525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19">
        <v>46206.0</v>
      </c>
      <c r="B4" s="21" t="s">
        <v>38</v>
      </c>
      <c r="C4" s="36">
        <v>0.0</v>
      </c>
      <c r="D4" s="24">
        <v>0.0</v>
      </c>
      <c r="E4" s="24">
        <v>1600.0</v>
      </c>
      <c r="F4" s="24">
        <v>200.0</v>
      </c>
      <c r="G4" s="24">
        <v>0.0</v>
      </c>
      <c r="H4" s="24">
        <f t="shared" si="1"/>
        <v>1800</v>
      </c>
      <c r="I4" s="29">
        <f t="shared" si="2"/>
        <v>31.5</v>
      </c>
      <c r="J4" s="24">
        <f t="shared" si="3"/>
        <v>1768.5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19">
        <v>46207.0</v>
      </c>
      <c r="B5" s="21" t="s">
        <v>42</v>
      </c>
      <c r="C5" s="42">
        <v>2.0</v>
      </c>
      <c r="D5" s="24">
        <v>1280.0</v>
      </c>
      <c r="E5" s="24">
        <v>1800.0</v>
      </c>
      <c r="F5" s="24">
        <v>450.0</v>
      </c>
      <c r="G5" s="24">
        <v>0.0</v>
      </c>
      <c r="H5" s="24">
        <f t="shared" si="1"/>
        <v>3530</v>
      </c>
      <c r="I5" s="29">
        <f t="shared" si="2"/>
        <v>61.775</v>
      </c>
      <c r="J5" s="24">
        <f t="shared" si="3"/>
        <v>3468.225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9">
        <v>46208.0</v>
      </c>
      <c r="B6" s="21" t="s">
        <v>44</v>
      </c>
      <c r="C6" s="36">
        <v>1.0</v>
      </c>
      <c r="D6" s="24">
        <v>720.0</v>
      </c>
      <c r="E6" s="24">
        <v>0.0</v>
      </c>
      <c r="F6" s="24">
        <v>50.0</v>
      </c>
      <c r="G6" s="24">
        <v>0.0</v>
      </c>
      <c r="H6" s="24">
        <f t="shared" si="1"/>
        <v>770</v>
      </c>
      <c r="I6" s="29">
        <f t="shared" si="2"/>
        <v>13.475</v>
      </c>
      <c r="J6" s="24">
        <f t="shared" si="3"/>
        <v>756.525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9">
        <v>46209.0</v>
      </c>
      <c r="B7" s="21" t="s">
        <v>46</v>
      </c>
      <c r="C7" s="36">
        <v>3.0</v>
      </c>
      <c r="D7" s="24">
        <v>1920.0</v>
      </c>
      <c r="E7" s="24">
        <v>0.0</v>
      </c>
      <c r="F7" s="44">
        <v>0.0</v>
      </c>
      <c r="G7" s="24">
        <v>0.0</v>
      </c>
      <c r="H7" s="24">
        <f t="shared" si="1"/>
        <v>1920</v>
      </c>
      <c r="I7" s="29">
        <f t="shared" si="2"/>
        <v>33.6</v>
      </c>
      <c r="J7" s="24">
        <f t="shared" si="3"/>
        <v>1886.4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19">
        <v>46210.0</v>
      </c>
      <c r="B8" s="21" t="s">
        <v>49</v>
      </c>
      <c r="C8" s="42">
        <v>0.0</v>
      </c>
      <c r="D8" s="24">
        <v>0.0</v>
      </c>
      <c r="E8" s="24">
        <v>0.0</v>
      </c>
      <c r="F8" s="24">
        <v>0.0</v>
      </c>
      <c r="G8" s="24">
        <v>0.0</v>
      </c>
      <c r="H8" s="24">
        <f t="shared" si="1"/>
        <v>0</v>
      </c>
      <c r="I8" s="29">
        <f t="shared" si="2"/>
        <v>0</v>
      </c>
      <c r="J8" s="24">
        <f t="shared" si="3"/>
        <v>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9">
        <v>46211.0</v>
      </c>
      <c r="B9" s="21" t="s">
        <v>25</v>
      </c>
      <c r="C9" s="36">
        <v>0.0</v>
      </c>
      <c r="D9" s="24">
        <v>0.0</v>
      </c>
      <c r="E9" s="24">
        <v>0.0</v>
      </c>
      <c r="F9" s="44">
        <v>0.0</v>
      </c>
      <c r="G9" s="24">
        <v>0.0</v>
      </c>
      <c r="H9" s="24">
        <f t="shared" si="1"/>
        <v>0</v>
      </c>
      <c r="I9" s="29">
        <f t="shared" si="2"/>
        <v>0</v>
      </c>
      <c r="J9" s="24">
        <f t="shared" si="3"/>
        <v>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9">
        <v>46212.0</v>
      </c>
      <c r="B10" s="21" t="s">
        <v>34</v>
      </c>
      <c r="C10" s="42">
        <v>0.0</v>
      </c>
      <c r="D10" s="24">
        <v>0.0</v>
      </c>
      <c r="E10" s="24">
        <v>400.0</v>
      </c>
      <c r="F10" s="24">
        <v>0.0</v>
      </c>
      <c r="G10" s="24">
        <v>0.0</v>
      </c>
      <c r="H10" s="24">
        <f t="shared" si="1"/>
        <v>400</v>
      </c>
      <c r="I10" s="29">
        <f t="shared" si="2"/>
        <v>7</v>
      </c>
      <c r="J10" s="24">
        <f t="shared" si="3"/>
        <v>393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19">
        <v>46213.0</v>
      </c>
      <c r="B11" s="21" t="s">
        <v>38</v>
      </c>
      <c r="C11" s="42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f t="shared" si="1"/>
        <v>0</v>
      </c>
      <c r="I11" s="29">
        <f t="shared" si="2"/>
        <v>0</v>
      </c>
      <c r="J11" s="24">
        <f t="shared" si="3"/>
        <v>0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9">
        <v>46214.0</v>
      </c>
      <c r="B12" s="21" t="s">
        <v>42</v>
      </c>
      <c r="C12" s="42">
        <v>1.0</v>
      </c>
      <c r="D12" s="24">
        <v>640.0</v>
      </c>
      <c r="E12" s="24">
        <v>0.0</v>
      </c>
      <c r="F12" s="24">
        <v>200.0</v>
      </c>
      <c r="G12" s="24">
        <v>0.0</v>
      </c>
      <c r="H12" s="24">
        <f t="shared" si="1"/>
        <v>840</v>
      </c>
      <c r="I12" s="29">
        <f t="shared" si="2"/>
        <v>14.7</v>
      </c>
      <c r="J12" s="24">
        <f t="shared" si="3"/>
        <v>825.3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9">
        <v>46215.0</v>
      </c>
      <c r="B13" s="21" t="s">
        <v>44</v>
      </c>
      <c r="C13" s="36">
        <v>1.0</v>
      </c>
      <c r="D13" s="24">
        <v>640.0</v>
      </c>
      <c r="E13" s="24">
        <v>0.0</v>
      </c>
      <c r="F13" s="24">
        <v>150.0</v>
      </c>
      <c r="G13" s="24">
        <v>0.0</v>
      </c>
      <c r="H13" s="24">
        <f t="shared" si="1"/>
        <v>790</v>
      </c>
      <c r="I13" s="29">
        <f t="shared" si="2"/>
        <v>13.825</v>
      </c>
      <c r="J13" s="24">
        <f t="shared" si="3"/>
        <v>776.175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9">
        <v>46216.0</v>
      </c>
      <c r="B14" s="21" t="s">
        <v>46</v>
      </c>
      <c r="C14" s="42">
        <v>1.0</v>
      </c>
      <c r="D14" s="24">
        <v>640.0</v>
      </c>
      <c r="E14" s="24">
        <v>0.0</v>
      </c>
      <c r="F14" s="24">
        <v>200.0</v>
      </c>
      <c r="G14" s="24">
        <v>0.0</v>
      </c>
      <c r="H14" s="24">
        <f t="shared" si="1"/>
        <v>840</v>
      </c>
      <c r="I14" s="29">
        <f t="shared" si="2"/>
        <v>14.7</v>
      </c>
      <c r="J14" s="24">
        <f t="shared" si="3"/>
        <v>825.3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9">
        <v>46217.0</v>
      </c>
      <c r="B15" s="21" t="s">
        <v>49</v>
      </c>
      <c r="C15" s="42">
        <v>0.0</v>
      </c>
      <c r="D15" s="24">
        <v>0.0</v>
      </c>
      <c r="E15" s="24">
        <v>0.0</v>
      </c>
      <c r="F15" s="24">
        <v>0.0</v>
      </c>
      <c r="G15" s="24">
        <v>0.0</v>
      </c>
      <c r="H15" s="24">
        <f t="shared" si="1"/>
        <v>0</v>
      </c>
      <c r="I15" s="29">
        <f t="shared" si="2"/>
        <v>0</v>
      </c>
      <c r="J15" s="24">
        <f t="shared" si="3"/>
        <v>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19">
        <v>46218.0</v>
      </c>
      <c r="B16" s="21" t="s">
        <v>25</v>
      </c>
      <c r="C16" s="36">
        <v>0.0</v>
      </c>
      <c r="D16" s="24">
        <v>0.0</v>
      </c>
      <c r="E16" s="24">
        <v>0.0</v>
      </c>
      <c r="F16" s="24">
        <v>0.0</v>
      </c>
      <c r="G16" s="24">
        <v>0.0</v>
      </c>
      <c r="H16" s="24">
        <f t="shared" si="1"/>
        <v>0</v>
      </c>
      <c r="I16" s="29">
        <f t="shared" si="2"/>
        <v>0</v>
      </c>
      <c r="J16" s="24">
        <f t="shared" si="3"/>
        <v>0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19">
        <v>46219.0</v>
      </c>
      <c r="B17" s="21" t="s">
        <v>34</v>
      </c>
      <c r="C17" s="36">
        <v>0.0</v>
      </c>
      <c r="D17" s="51">
        <v>0.0</v>
      </c>
      <c r="E17" s="24">
        <v>0.0</v>
      </c>
      <c r="F17" s="24">
        <v>50.0</v>
      </c>
      <c r="G17" s="24">
        <v>0.0</v>
      </c>
      <c r="H17" s="24">
        <f t="shared" si="1"/>
        <v>50</v>
      </c>
      <c r="I17" s="29">
        <f t="shared" si="2"/>
        <v>0.875</v>
      </c>
      <c r="J17" s="24">
        <f t="shared" si="3"/>
        <v>49.125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19">
        <v>46220.0</v>
      </c>
      <c r="B18" s="21" t="s">
        <v>38</v>
      </c>
      <c r="C18" s="42">
        <v>0.0</v>
      </c>
      <c r="D18" s="24">
        <v>0.0</v>
      </c>
      <c r="E18" s="24">
        <v>0.0</v>
      </c>
      <c r="F18" s="24">
        <v>250.0</v>
      </c>
      <c r="G18" s="24">
        <v>0.0</v>
      </c>
      <c r="H18" s="24">
        <f t="shared" si="1"/>
        <v>250</v>
      </c>
      <c r="I18" s="29">
        <f t="shared" si="2"/>
        <v>4.375</v>
      </c>
      <c r="J18" s="24">
        <f t="shared" si="3"/>
        <v>245.625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19">
        <v>46221.0</v>
      </c>
      <c r="B19" s="21" t="s">
        <v>42</v>
      </c>
      <c r="C19" s="36">
        <v>0.0</v>
      </c>
      <c r="D19" s="24">
        <v>0.0</v>
      </c>
      <c r="E19" s="24">
        <v>0.0</v>
      </c>
      <c r="F19" s="24">
        <v>100.0</v>
      </c>
      <c r="G19" s="24">
        <v>0.0</v>
      </c>
      <c r="H19" s="24">
        <f t="shared" si="1"/>
        <v>100</v>
      </c>
      <c r="I19" s="29">
        <f t="shared" si="2"/>
        <v>1.75</v>
      </c>
      <c r="J19" s="24">
        <f t="shared" si="3"/>
        <v>98.25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19">
        <v>46222.0</v>
      </c>
      <c r="B20" s="21" t="s">
        <v>44</v>
      </c>
      <c r="C20" s="42">
        <v>0.0</v>
      </c>
      <c r="D20" s="24">
        <v>0.0</v>
      </c>
      <c r="E20" s="24">
        <v>0.0</v>
      </c>
      <c r="F20" s="24">
        <v>0.0</v>
      </c>
      <c r="G20" s="24">
        <v>0.0</v>
      </c>
      <c r="H20" s="24">
        <f t="shared" si="1"/>
        <v>0</v>
      </c>
      <c r="I20" s="29">
        <f t="shared" si="2"/>
        <v>0</v>
      </c>
      <c r="J20" s="24">
        <f t="shared" si="3"/>
        <v>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19">
        <v>46223.0</v>
      </c>
      <c r="B21" s="21" t="s">
        <v>46</v>
      </c>
      <c r="C21" s="36">
        <v>0.0</v>
      </c>
      <c r="D21" s="24">
        <v>0.0</v>
      </c>
      <c r="E21" s="24">
        <v>0.0</v>
      </c>
      <c r="F21" s="24">
        <v>0.0</v>
      </c>
      <c r="G21" s="24">
        <v>0.0</v>
      </c>
      <c r="H21" s="24">
        <f t="shared" si="1"/>
        <v>0</v>
      </c>
      <c r="I21" s="29">
        <f t="shared" si="2"/>
        <v>0</v>
      </c>
      <c r="J21" s="24">
        <f t="shared" si="3"/>
        <v>0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19">
        <v>46224.0</v>
      </c>
      <c r="B22" s="21" t="s">
        <v>49</v>
      </c>
      <c r="C22" s="42">
        <v>0.0</v>
      </c>
      <c r="D22" s="24">
        <v>0.0</v>
      </c>
      <c r="E22" s="24">
        <v>0.0</v>
      </c>
      <c r="F22" s="24">
        <v>0.0</v>
      </c>
      <c r="G22" s="24">
        <v>0.0</v>
      </c>
      <c r="H22" s="24">
        <f t="shared" si="1"/>
        <v>0</v>
      </c>
      <c r="I22" s="29">
        <f t="shared" si="2"/>
        <v>0</v>
      </c>
      <c r="J22" s="24">
        <f t="shared" si="3"/>
        <v>0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19">
        <v>46225.0</v>
      </c>
      <c r="B23" s="21" t="s">
        <v>25</v>
      </c>
      <c r="C23" s="42">
        <v>0.0</v>
      </c>
      <c r="D23" s="24">
        <v>0.0</v>
      </c>
      <c r="E23" s="24">
        <v>0.0</v>
      </c>
      <c r="F23" s="24">
        <v>0.0</v>
      </c>
      <c r="G23" s="24">
        <v>0.0</v>
      </c>
      <c r="H23" s="24">
        <f t="shared" si="1"/>
        <v>0</v>
      </c>
      <c r="I23" s="29">
        <f t="shared" si="2"/>
        <v>0</v>
      </c>
      <c r="J23" s="24">
        <f t="shared" si="3"/>
        <v>0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19">
        <v>46226.0</v>
      </c>
      <c r="B24" s="21" t="s">
        <v>34</v>
      </c>
      <c r="C24" s="42">
        <v>0.0</v>
      </c>
      <c r="D24" s="24">
        <v>0.0</v>
      </c>
      <c r="E24" s="24">
        <v>0.0</v>
      </c>
      <c r="F24" s="24">
        <v>0.0</v>
      </c>
      <c r="G24" s="24">
        <v>0.0</v>
      </c>
      <c r="H24" s="24">
        <f t="shared" si="1"/>
        <v>0</v>
      </c>
      <c r="I24" s="29">
        <f t="shared" si="2"/>
        <v>0</v>
      </c>
      <c r="J24" s="24">
        <f t="shared" si="3"/>
        <v>0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19">
        <v>46227.0</v>
      </c>
      <c r="B25" s="21" t="s">
        <v>38</v>
      </c>
      <c r="C25" s="42">
        <v>0.0</v>
      </c>
      <c r="D25" s="24">
        <v>0.0</v>
      </c>
      <c r="E25" s="24">
        <v>0.0</v>
      </c>
      <c r="F25" s="24">
        <v>0.0</v>
      </c>
      <c r="G25" s="24">
        <v>0.0</v>
      </c>
      <c r="H25" s="24">
        <f t="shared" si="1"/>
        <v>0</v>
      </c>
      <c r="I25" s="29">
        <f t="shared" si="2"/>
        <v>0</v>
      </c>
      <c r="J25" s="24">
        <f t="shared" si="3"/>
        <v>0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19">
        <v>46228.0</v>
      </c>
      <c r="B26" s="21" t="s">
        <v>42</v>
      </c>
      <c r="C26" s="42">
        <v>3.5</v>
      </c>
      <c r="D26" s="24">
        <v>2240.0</v>
      </c>
      <c r="E26" s="24">
        <v>0.0</v>
      </c>
      <c r="F26" s="24">
        <v>0.0</v>
      </c>
      <c r="G26" s="24">
        <v>0.0</v>
      </c>
      <c r="H26" s="24">
        <f t="shared" si="1"/>
        <v>2240</v>
      </c>
      <c r="I26" s="29">
        <f t="shared" si="2"/>
        <v>39.2</v>
      </c>
      <c r="J26" s="24">
        <f t="shared" si="3"/>
        <v>2200.8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19">
        <v>46229.0</v>
      </c>
      <c r="B27" s="21" t="s">
        <v>44</v>
      </c>
      <c r="C27" s="42">
        <v>0.0</v>
      </c>
      <c r="D27" s="24">
        <v>0.0</v>
      </c>
      <c r="E27" s="24">
        <v>600.0</v>
      </c>
      <c r="F27" s="24">
        <v>50.0</v>
      </c>
      <c r="G27" s="24">
        <v>0.0</v>
      </c>
      <c r="H27" s="24">
        <f t="shared" si="1"/>
        <v>650</v>
      </c>
      <c r="I27" s="29">
        <f t="shared" si="2"/>
        <v>11.375</v>
      </c>
      <c r="J27" s="24">
        <f t="shared" si="3"/>
        <v>638.625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19">
        <v>46230.0</v>
      </c>
      <c r="B28" s="21" t="s">
        <v>46</v>
      </c>
      <c r="C28" s="42">
        <v>1.0</v>
      </c>
      <c r="D28" s="24">
        <v>360.0</v>
      </c>
      <c r="E28" s="24">
        <v>0.0</v>
      </c>
      <c r="F28" s="24">
        <v>0.0</v>
      </c>
      <c r="G28" s="24">
        <v>0.0</v>
      </c>
      <c r="H28" s="24">
        <f t="shared" si="1"/>
        <v>360</v>
      </c>
      <c r="I28" s="29">
        <f t="shared" si="2"/>
        <v>6.3</v>
      </c>
      <c r="J28" s="24">
        <f t="shared" si="3"/>
        <v>353.7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19">
        <v>46231.0</v>
      </c>
      <c r="B29" s="21" t="s">
        <v>49</v>
      </c>
      <c r="C29" s="42">
        <v>0.0</v>
      </c>
      <c r="D29" s="24">
        <v>0.0</v>
      </c>
      <c r="E29" s="24">
        <v>0.0</v>
      </c>
      <c r="F29" s="24">
        <v>0.0</v>
      </c>
      <c r="G29" s="24">
        <v>0.0</v>
      </c>
      <c r="H29" s="24">
        <f t="shared" si="1"/>
        <v>0</v>
      </c>
      <c r="I29" s="29">
        <f t="shared" si="2"/>
        <v>0</v>
      </c>
      <c r="J29" s="24">
        <f t="shared" si="3"/>
        <v>0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19">
        <v>46232.0</v>
      </c>
      <c r="B30" s="21" t="s">
        <v>25</v>
      </c>
      <c r="C30" s="36">
        <v>1.0</v>
      </c>
      <c r="D30" s="24">
        <v>720.0</v>
      </c>
      <c r="E30" s="24">
        <v>0.0</v>
      </c>
      <c r="F30" s="24">
        <v>150.0</v>
      </c>
      <c r="G30" s="24">
        <v>0.0</v>
      </c>
      <c r="H30" s="24">
        <f t="shared" si="1"/>
        <v>870</v>
      </c>
      <c r="I30" s="29">
        <f t="shared" si="2"/>
        <v>15.225</v>
      </c>
      <c r="J30" s="24">
        <f t="shared" si="3"/>
        <v>854.775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19">
        <v>46233.0</v>
      </c>
      <c r="B31" s="21" t="s">
        <v>34</v>
      </c>
      <c r="C31" s="22">
        <v>0.0</v>
      </c>
      <c r="D31" s="55">
        <v>0.0</v>
      </c>
      <c r="E31" s="55">
        <v>0.0</v>
      </c>
      <c r="F31" s="55">
        <v>0.0</v>
      </c>
      <c r="G31" s="55">
        <v>0.0</v>
      </c>
      <c r="H31" s="24">
        <f t="shared" si="1"/>
        <v>0</v>
      </c>
      <c r="I31" s="29">
        <f t="shared" si="2"/>
        <v>0</v>
      </c>
      <c r="J31" s="24">
        <f t="shared" si="3"/>
        <v>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19">
        <v>46234.0</v>
      </c>
      <c r="B32" s="21" t="s">
        <v>38</v>
      </c>
      <c r="C32" s="22">
        <v>0.0</v>
      </c>
      <c r="D32" s="55">
        <v>0.0</v>
      </c>
      <c r="E32" s="55">
        <v>0.0</v>
      </c>
      <c r="F32" s="55">
        <v>0.0</v>
      </c>
      <c r="G32" s="55">
        <v>0.0</v>
      </c>
      <c r="H32" s="24">
        <f t="shared" si="1"/>
        <v>0</v>
      </c>
      <c r="I32" s="29">
        <f t="shared" si="2"/>
        <v>0</v>
      </c>
      <c r="J32" s="24">
        <f t="shared" si="3"/>
        <v>0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56" t="s">
        <v>35</v>
      </c>
      <c r="B33" s="57"/>
      <c r="C33" s="58"/>
      <c r="D33" s="59">
        <f t="shared" ref="D33:J33" si="4">SUM(D1:D32)</f>
        <v>9880</v>
      </c>
      <c r="E33" s="59">
        <f t="shared" si="4"/>
        <v>5800</v>
      </c>
      <c r="F33" s="59">
        <f t="shared" si="4"/>
        <v>2100</v>
      </c>
      <c r="G33" s="59">
        <f t="shared" si="4"/>
        <v>0</v>
      </c>
      <c r="H33" s="59">
        <f t="shared" si="4"/>
        <v>17780</v>
      </c>
      <c r="I33" s="59">
        <f t="shared" si="4"/>
        <v>311.15</v>
      </c>
      <c r="J33" s="59">
        <f t="shared" si="4"/>
        <v>17468.85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18" t="s">
        <v>2</v>
      </c>
      <c r="B1" s="20" t="s">
        <v>1</v>
      </c>
      <c r="C1" s="20" t="s">
        <v>26</v>
      </c>
      <c r="D1" s="20" t="s">
        <v>27</v>
      </c>
      <c r="E1" s="23" t="s">
        <v>28</v>
      </c>
      <c r="F1" s="20" t="s">
        <v>24</v>
      </c>
      <c r="G1" s="20" t="s">
        <v>29</v>
      </c>
      <c r="H1" s="20" t="s">
        <v>30</v>
      </c>
      <c r="I1" s="20" t="s">
        <v>31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4"/>
      <c r="B2" s="25" t="s">
        <v>0</v>
      </c>
      <c r="C2" s="26">
        <v>31980.0</v>
      </c>
      <c r="D2" s="26">
        <v>2238.0</v>
      </c>
      <c r="E2" s="27">
        <v>32.0</v>
      </c>
      <c r="F2" s="30">
        <f>C2-D2-E2</f>
        <v>29710</v>
      </c>
      <c r="G2" s="26">
        <v>160.0</v>
      </c>
      <c r="H2" s="26">
        <v>32.0</v>
      </c>
      <c r="I2" s="26">
        <f>F2-G2-H2</f>
        <v>29518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32" t="s">
        <v>35</v>
      </c>
      <c r="B3" s="32"/>
      <c r="C3" s="34">
        <f>SUM(C2)</f>
        <v>31980</v>
      </c>
      <c r="D3" s="37"/>
      <c r="E3" s="39"/>
      <c r="F3" s="41">
        <f>SUM(F2)</f>
        <v>29710</v>
      </c>
      <c r="G3" s="37"/>
      <c r="H3" s="37"/>
      <c r="I3" s="34">
        <f>SUM(I2)</f>
        <v>29518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7.38"/>
    <col customWidth="1" min="5" max="5" width="15.25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8</v>
      </c>
    </row>
    <row r="2">
      <c r="A2" s="8" t="s">
        <v>11</v>
      </c>
      <c r="B2" s="10" t="s">
        <v>14</v>
      </c>
      <c r="C2" s="11" t="s">
        <v>17</v>
      </c>
      <c r="D2" s="14" t="s">
        <v>21</v>
      </c>
      <c r="E2" s="16">
        <v>18000.0</v>
      </c>
    </row>
  </sheetData>
  <drawing r:id="rId1"/>
</worksheet>
</file>