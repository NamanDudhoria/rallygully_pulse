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District" sheetId="3" r:id="rId7"/>
    <sheet state="visible" name="Other Income" sheetId="4" r:id="rId8"/>
  </sheets>
  <definedNames/>
  <calcPr/>
</workbook>
</file>

<file path=xl/sharedStrings.xml><?xml version="1.0" encoding="utf-8"?>
<sst xmlns="http://schemas.openxmlformats.org/spreadsheetml/2006/main" count="125" uniqueCount="68">
  <si>
    <t>Month</t>
  </si>
  <si>
    <t>Link</t>
  </si>
  <si>
    <t>Date</t>
  </si>
  <si>
    <t>1 - 30 June</t>
  </si>
  <si>
    <t>Coaching</t>
  </si>
  <si>
    <t>Sports Type</t>
  </si>
  <si>
    <t>Type</t>
  </si>
  <si>
    <t>Day</t>
  </si>
  <si>
    <t>Amount Collected</t>
  </si>
  <si>
    <t>Particulars</t>
  </si>
  <si>
    <t>Offline booking hours</t>
  </si>
  <si>
    <t>June</t>
  </si>
  <si>
    <t>Discount</t>
  </si>
  <si>
    <t>Amount</t>
  </si>
  <si>
    <t>Basketball Coaching</t>
  </si>
  <si>
    <t>Booking Revenue</t>
  </si>
  <si>
    <t>Community Revenue</t>
  </si>
  <si>
    <t>Basketball</t>
  </si>
  <si>
    <t xml:space="preserve">Paddle Rental </t>
  </si>
  <si>
    <t>F&amp;B</t>
  </si>
  <si>
    <t>3 days in week</t>
  </si>
  <si>
    <t>Total Revenue</t>
  </si>
  <si>
    <t>Pickleball</t>
  </si>
  <si>
    <t>Payment Gateway</t>
  </si>
  <si>
    <t>Pay &amp; Play</t>
  </si>
  <si>
    <t>Net Revenue</t>
  </si>
  <si>
    <t>Monday</t>
  </si>
  <si>
    <t>20 and 10%</t>
  </si>
  <si>
    <t>Paid to District</t>
  </si>
  <si>
    <t>Commissions (₹)</t>
  </si>
  <si>
    <t>GST on Commission</t>
  </si>
  <si>
    <t>TCS</t>
  </si>
  <si>
    <t>TDS</t>
  </si>
  <si>
    <t>Final Amount (₹)</t>
  </si>
  <si>
    <t xml:space="preserve">Online </t>
  </si>
  <si>
    <t>District</t>
  </si>
  <si>
    <t>Tuesday</t>
  </si>
  <si>
    <t>Hudle</t>
  </si>
  <si>
    <t>Playo</t>
  </si>
  <si>
    <t>Khelomore</t>
  </si>
  <si>
    <t>Wednesday</t>
  </si>
  <si>
    <t>Zplys</t>
  </si>
  <si>
    <t>Offline</t>
  </si>
  <si>
    <t>Thursday</t>
  </si>
  <si>
    <t>Bookings</t>
  </si>
  <si>
    <t>Friday</t>
  </si>
  <si>
    <t>Memberships</t>
  </si>
  <si>
    <t>Saturday</t>
  </si>
  <si>
    <t>Community</t>
  </si>
  <si>
    <t>Total</t>
  </si>
  <si>
    <t>Sunday</t>
  </si>
  <si>
    <t>Pickup games</t>
  </si>
  <si>
    <t>Social Events/Tournaments</t>
  </si>
  <si>
    <t>Academy</t>
  </si>
  <si>
    <t>Events &amp; Partnership</t>
  </si>
  <si>
    <t>Corporate events</t>
  </si>
  <si>
    <t>All B2B partnerships</t>
  </si>
  <si>
    <t>Commerce</t>
  </si>
  <si>
    <t>Product rental</t>
  </si>
  <si>
    <t>Product sales</t>
  </si>
  <si>
    <t>Other Income</t>
  </si>
  <si>
    <t>(Note for CA Team: Please note that RallyGully hasn't received the 18000 rental for basketball rental service provided) - GST payment would have to be made by Drive &amp; Kick Team</t>
  </si>
  <si>
    <t>Total Gross Revenue</t>
  </si>
  <si>
    <t>Total Net Revenue (Post Commissions)</t>
  </si>
  <si>
    <t>Total Revenue post GST</t>
  </si>
  <si>
    <t>Drive &amp; Kick Share (70%)</t>
  </si>
  <si>
    <t>Drive &amp; Kick Share (Final share after incorporting 18k already received by Drive Kick)</t>
  </si>
  <si>
    <t>RallyGully's Share (30%)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</si>
</sst>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₹]#,##0"/>
    <numFmt numFmtId="165" formatCode="d mmm"/>
    <numFmt numFmtId="166" formatCode="[&gt;9999999][$₹]##\,##\,##\,##0;[&gt;99999][$₹]##\,##\,##0;[$₹]##,##0"/>
    <numFmt numFmtId="167" formatCode="[$₹]#,##0.0"/>
    <numFmt numFmtId="168" formatCode="[&gt;9999999][$₹]##\,##\,##\,##0.00;[&gt;99999][$₹]##\,##\,##0.00;[$₹]##,##0.00"/>
    <numFmt numFmtId="169" formatCode="d mmmm"/>
    <numFmt numFmtId="170" formatCode="[$₹]#,##0.00"/>
  </numFmts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b/>
      <sz val="11.0"/>
      <color theme="1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vertical="bottom"/>
    </xf>
    <xf borderId="2" fillId="2" fontId="2" numFmtId="0" xfId="0" applyAlignment="1" applyBorder="1" applyFill="1" applyFont="1">
      <alignment horizontal="center" readingOrder="0" vertical="bottom"/>
    </xf>
    <xf borderId="1" fillId="2" fontId="2" numFmtId="164" xfId="0" applyAlignment="1" applyBorder="1" applyFill="1" applyFont="1" applyNumberFormat="1">
      <alignment horizontal="center" vertical="bottom"/>
    </xf>
    <xf borderId="3" fillId="0" fontId="3" numFmtId="0" xfId="0" applyBorder="1" applyFont="1"/>
    <xf borderId="1" fillId="0" fontId="2" numFmtId="0" xfId="0" applyAlignment="1" applyBorder="1" applyFont="1">
      <alignment horizontal="center" vertical="bottom"/>
    </xf>
    <xf borderId="1" fillId="2" fontId="2" numFmtId="3" xfId="0" applyAlignment="1" applyBorder="1" applyFill="1" applyFont="1" applyNumberFormat="1">
      <alignment horizontal="center" vertical="bottom"/>
    </xf>
    <xf borderId="1" fillId="0" fontId="4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1" fillId="0" fontId="4" numFmtId="0" xfId="0" applyAlignment="1" applyBorder="1" applyFont="1">
      <alignment vertical="bottom"/>
    </xf>
    <xf borderId="1" fillId="2" fontId="4" numFmtId="0" xfId="0" applyAlignment="1" applyBorder="1" applyFill="1" applyFont="1">
      <alignment vertical="bottom"/>
    </xf>
    <xf borderId="1" fillId="0" fontId="4" numFmtId="165" xfId="0" applyAlignment="1" applyBorder="1" applyFont="1" applyNumberFormat="1">
      <alignment vertical="bottom"/>
    </xf>
    <xf borderId="1" fillId="2" fontId="2" numFmtId="166" xfId="0" applyAlignment="1" applyBorder="1" applyFill="1" applyFont="1" applyNumberFormat="1">
      <alignment horizontal="center" vertical="bottom"/>
    </xf>
    <xf borderId="1" fillId="2" fontId="2" numFmtId="167" xfId="0" applyAlignment="1" applyBorder="1" applyFill="1" applyFont="1" applyNumberFormat="1">
      <alignment vertical="bottom"/>
    </xf>
    <xf borderId="1" fillId="0" fontId="2" numFmtId="168" xfId="0" applyAlignment="1" applyBorder="1" applyFont="1" applyNumberFormat="1">
      <alignment horizontal="right" vertical="bottom"/>
    </xf>
    <xf borderId="1" fillId="2" fontId="2" numFmtId="0" xfId="0" applyAlignment="1" applyBorder="1" applyFill="1" applyFont="1">
      <alignment vertical="bottom"/>
    </xf>
    <xf borderId="1" fillId="3" fontId="4" numFmtId="169" xfId="0" applyAlignment="1" applyBorder="1" applyFill="1" applyFont="1" applyNumberFormat="1">
      <alignment horizontal="right" vertical="bottom"/>
    </xf>
    <xf borderId="1" fillId="3" fontId="4" numFmtId="164" xfId="0" applyAlignment="1" applyBorder="1" applyFill="1" applyFont="1" applyNumberFormat="1">
      <alignment vertical="bottom"/>
    </xf>
    <xf borderId="1" fillId="3" fontId="4" numFmtId="3" xfId="0" applyAlignment="1" applyBorder="1" applyFill="1" applyFont="1" applyNumberFormat="1">
      <alignment horizontal="right" vertical="bottom"/>
    </xf>
    <xf borderId="1" fillId="2" fontId="5" numFmtId="170" xfId="0" applyAlignment="1" applyBorder="1" applyFill="1" applyFont="1" applyNumberFormat="1">
      <alignment horizontal="center" readingOrder="0" vertical="bottom"/>
    </xf>
    <xf borderId="1" fillId="0" fontId="4" numFmtId="164" xfId="0" applyAlignment="1" applyBorder="1" applyFont="1" applyNumberFormat="1">
      <alignment horizontal="right" vertical="bottom"/>
    </xf>
    <xf borderId="1" fillId="2" fontId="2" numFmtId="170" xfId="0" applyAlignment="1" applyBorder="1" applyFill="1" applyFont="1" applyNumberFormat="1">
      <alignment horizontal="center" vertical="bottom"/>
    </xf>
    <xf borderId="0" fillId="2" fontId="6" numFmtId="170" xfId="0" applyAlignment="1" applyFill="1" applyFont="1" applyNumberFormat="1">
      <alignment vertical="bottom"/>
    </xf>
    <xf borderId="1" fillId="0" fontId="2" numFmtId="166" xfId="0" applyAlignment="1" applyBorder="1" applyFont="1" applyNumberFormat="1">
      <alignment horizontal="right" vertical="bottom"/>
    </xf>
    <xf borderId="0" fillId="2" fontId="2" numFmtId="170" xfId="0" applyAlignment="1" applyFill="1" applyFont="1" applyNumberFormat="1">
      <alignment horizontal="center" vertical="bottom"/>
    </xf>
    <xf borderId="0" fillId="0" fontId="4" numFmtId="165" xfId="0" applyAlignment="1" applyFont="1" applyNumberFormat="1">
      <alignment vertical="bottom"/>
    </xf>
    <xf borderId="1" fillId="0" fontId="4" numFmtId="164" xfId="0" applyAlignment="1" applyBorder="1" applyFont="1" applyNumberFormat="1">
      <alignment horizontal="right" vertical="bottom"/>
    </xf>
    <xf borderId="1" fillId="0" fontId="4" numFmtId="170" xfId="0" applyAlignment="1" applyBorder="1" applyFont="1" applyNumberFormat="1">
      <alignment readingOrder="0" vertical="bottom"/>
    </xf>
    <xf borderId="1" fillId="0" fontId="4" numFmtId="170" xfId="0" applyAlignment="1" applyBorder="1" applyFont="1" applyNumberFormat="1">
      <alignment horizontal="right" readingOrder="0" vertical="bottom"/>
    </xf>
    <xf borderId="1" fillId="0" fontId="4" numFmtId="168" xfId="0" applyAlignment="1" applyBorder="1" applyFont="1" applyNumberFormat="1">
      <alignment horizontal="right" readingOrder="0" vertical="bottom"/>
    </xf>
    <xf borderId="1" fillId="0" fontId="4" numFmtId="166" xfId="0" applyAlignment="1" applyBorder="1" applyFont="1" applyNumberFormat="1">
      <alignment vertical="bottom"/>
    </xf>
    <xf borderId="1" fillId="0" fontId="4" numFmtId="166" xfId="0" applyAlignment="1" applyBorder="1" applyFont="1" applyNumberFormat="1">
      <alignment readingOrder="0" vertical="bottom"/>
    </xf>
    <xf borderId="1" fillId="0" fontId="4" numFmtId="168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4" numFmtId="3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vertical="bottom"/>
    </xf>
    <xf borderId="1" fillId="0" fontId="4" numFmtId="4" xfId="0" applyAlignment="1" applyBorder="1" applyFont="1" applyNumberFormat="1">
      <alignment horizontal="right" vertical="bottom"/>
    </xf>
    <xf borderId="0" fillId="0" fontId="4" numFmtId="170" xfId="0" applyAlignment="1" applyFont="1" applyNumberFormat="1">
      <alignment vertical="bottom"/>
    </xf>
    <xf borderId="1" fillId="0" fontId="4" numFmtId="170" xfId="0" applyAlignment="1" applyBorder="1" applyFont="1" applyNumberFormat="1">
      <alignment vertical="bottom"/>
    </xf>
    <xf borderId="1" fillId="0" fontId="4" numFmtId="168" xfId="0" applyAlignment="1" applyBorder="1" applyFont="1" applyNumberFormat="1">
      <alignment readingOrder="0" vertical="bottom"/>
    </xf>
    <xf borderId="0" fillId="0" fontId="4" numFmtId="164" xfId="0" applyAlignment="1" applyFont="1" applyNumberFormat="1">
      <alignment horizontal="right" vertical="bottom"/>
    </xf>
    <xf borderId="1" fillId="2" fontId="2" numFmtId="170" xfId="0" applyAlignment="1" applyBorder="1" applyFill="1" applyFont="1" applyNumberFormat="1">
      <alignment vertical="bottom"/>
    </xf>
    <xf borderId="1" fillId="2" fontId="2" numFmtId="170" xfId="0" applyAlignment="1" applyBorder="1" applyFill="1" applyFont="1" applyNumberFormat="1">
      <alignment horizontal="right" vertical="bottom"/>
    </xf>
    <xf borderId="1" fillId="2" fontId="4" numFmtId="170" xfId="0" applyAlignment="1" applyBorder="1" applyFill="1" applyFont="1" applyNumberFormat="1">
      <alignment vertical="bottom"/>
    </xf>
    <xf borderId="1" fillId="2" fontId="4" numFmtId="168" xfId="0" applyAlignment="1" applyBorder="1" applyFill="1" applyFont="1" applyNumberFormat="1">
      <alignment vertical="bottom"/>
    </xf>
    <xf borderId="1" fillId="2" fontId="2" numFmtId="168" xfId="0" applyAlignment="1" applyBorder="1" applyFill="1" applyFont="1" applyNumberFormat="1">
      <alignment horizontal="right" vertical="bottom"/>
    </xf>
    <xf borderId="1" fillId="0" fontId="4" numFmtId="166" xfId="0" applyAlignment="1" applyBorder="1" applyFont="1" applyNumberFormat="1">
      <alignment horizontal="right" vertical="bottom"/>
    </xf>
    <xf borderId="1" fillId="0" fontId="4" numFmtId="166" xfId="0" applyAlignment="1" applyBorder="1" applyFont="1" applyNumberFormat="1">
      <alignment horizontal="right" readingOrder="0" vertical="bottom"/>
    </xf>
    <xf borderId="1" fillId="0" fontId="4" numFmtId="164" xfId="0" applyAlignment="1" applyBorder="1" applyFont="1" applyNumberFormat="1">
      <alignment horizontal="right" readingOrder="0" vertical="bottom"/>
    </xf>
    <xf borderId="0" fillId="0" fontId="4" numFmtId="167" xfId="0" applyAlignment="1" applyFont="1" applyNumberFormat="1">
      <alignment horizontal="right" vertical="bottom"/>
    </xf>
    <xf borderId="0" fillId="0" fontId="7" numFmtId="0" xfId="0" applyAlignment="1" applyFont="1">
      <alignment readingOrder="0"/>
    </xf>
    <xf borderId="1" fillId="2" fontId="2" numFmtId="166" xfId="0" applyAlignment="1" applyBorder="1" applyFill="1" applyFont="1" applyNumberFormat="1">
      <alignment horizontal="right" vertical="bottom"/>
    </xf>
    <xf borderId="1" fillId="0" fontId="4" numFmtId="0" xfId="0" applyAlignment="1" applyBorder="1" applyFont="1">
      <alignment shrinkToFit="0" vertical="bottom" wrapText="1"/>
    </xf>
    <xf borderId="1" fillId="0" fontId="4" numFmtId="4" xfId="0" applyAlignment="1" applyBorder="1" applyFont="1" applyNumberFormat="1">
      <alignment horizontal="right" readingOrder="0" vertical="bottom"/>
    </xf>
    <xf borderId="1" fillId="0" fontId="2" numFmtId="170" xfId="0" applyAlignment="1" applyBorder="1" applyFont="1" applyNumberFormat="1">
      <alignment vertical="bottom"/>
    </xf>
    <xf borderId="1" fillId="0" fontId="4" numFmtId="164" xfId="0" applyAlignment="1" applyBorder="1" applyFont="1" applyNumberFormat="1">
      <alignment horizontal="right" shrinkToFit="0" vertical="bottom" wrapText="1"/>
    </xf>
    <xf borderId="1" fillId="3" fontId="4" numFmtId="4" xfId="0" applyAlignment="1" applyBorder="1" applyFill="1" applyFont="1" applyNumberFormat="1">
      <alignment horizontal="right" vertical="bottom"/>
    </xf>
    <xf borderId="1" fillId="3" fontId="4" numFmtId="164" xfId="0" applyAlignment="1" applyBorder="1" applyFill="1" applyFont="1" applyNumberFormat="1">
      <alignment horizontal="right" vertical="bottom"/>
    </xf>
    <xf borderId="1" fillId="2" fontId="2" numFmtId="0" xfId="0" applyAlignment="1" applyBorder="1" applyFill="1" applyFont="1">
      <alignment horizontal="right" vertical="bottom"/>
    </xf>
    <xf borderId="1" fillId="2" fontId="4" numFmtId="3" xfId="0" applyAlignment="1" applyBorder="1" applyFill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9Gkk9R_-n86yEtOKMIHPfVB4rh5fkdiW9mdI9HfhTdY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  <col customWidth="1" min="4" max="4" width="133.75"/>
  </cols>
  <sheetData>
    <row r="1">
      <c r="A1" s="1"/>
    </row>
    <row r="2">
      <c r="B2" s="3" t="s">
        <v>3</v>
      </c>
      <c r="C2" s="5"/>
    </row>
    <row r="3">
      <c r="B3" s="6" t="s">
        <v>9</v>
      </c>
      <c r="C3" s="6" t="s">
        <v>13</v>
      </c>
      <c r="E3" s="10"/>
    </row>
    <row r="4">
      <c r="B4" s="12"/>
      <c r="C4" s="14" t="s">
        <v>22</v>
      </c>
      <c r="E4" s="10"/>
    </row>
    <row r="5">
      <c r="B5" s="9" t="s">
        <v>24</v>
      </c>
      <c r="C5" s="25">
        <f>sum(C6,C12)</f>
        <v>83272</v>
      </c>
      <c r="E5" s="10"/>
    </row>
    <row r="6">
      <c r="B6" s="9" t="s">
        <v>34</v>
      </c>
      <c r="C6" s="25">
        <f>sum(C7:C11)</f>
        <v>61998</v>
      </c>
      <c r="E6" s="10"/>
    </row>
    <row r="7" outlineLevel="1">
      <c r="B7" s="11" t="s">
        <v>35</v>
      </c>
      <c r="C7" s="32">
        <f>District!C4</f>
        <v>61998</v>
      </c>
      <c r="E7" s="10"/>
    </row>
    <row r="8" outlineLevel="1">
      <c r="B8" s="11" t="s">
        <v>37</v>
      </c>
      <c r="C8" s="33">
        <v>0.0</v>
      </c>
      <c r="E8" s="10"/>
    </row>
    <row r="9" outlineLevel="1">
      <c r="B9" s="11" t="s">
        <v>38</v>
      </c>
      <c r="C9" s="33">
        <v>0.0</v>
      </c>
      <c r="E9" s="10"/>
    </row>
    <row r="10" outlineLevel="1">
      <c r="B10" s="35" t="s">
        <v>39</v>
      </c>
      <c r="C10" s="33">
        <v>0.0</v>
      </c>
      <c r="E10" s="36"/>
    </row>
    <row r="11" outlineLevel="1">
      <c r="B11" s="11" t="s">
        <v>41</v>
      </c>
      <c r="C11" s="33">
        <v>0.0</v>
      </c>
      <c r="E11" s="36"/>
    </row>
    <row r="12">
      <c r="B12" s="38" t="s">
        <v>42</v>
      </c>
      <c r="C12" s="25">
        <f>sum(C13:C14)</f>
        <v>21274</v>
      </c>
    </row>
    <row r="13" outlineLevel="1">
      <c r="B13" s="11" t="s">
        <v>44</v>
      </c>
      <c r="C13" s="32">
        <f>'Offline &amp; RG Community'!E32</f>
        <v>21274</v>
      </c>
    </row>
    <row r="14" outlineLevel="1">
      <c r="B14" s="41" t="s">
        <v>46</v>
      </c>
      <c r="C14" s="33">
        <v>0.0</v>
      </c>
      <c r="E14" s="10"/>
    </row>
    <row r="15">
      <c r="B15" s="38" t="s">
        <v>48</v>
      </c>
      <c r="C15" s="25">
        <f>sum(C16:C17)</f>
        <v>6120</v>
      </c>
      <c r="E15" s="10"/>
    </row>
    <row r="16" outlineLevel="1">
      <c r="B16" s="35" t="s">
        <v>51</v>
      </c>
      <c r="C16" s="32">
        <f>'Offline &amp; RG Community'!F32</f>
        <v>6120</v>
      </c>
      <c r="E16" s="10"/>
    </row>
    <row r="17" outlineLevel="1">
      <c r="B17" s="35" t="s">
        <v>52</v>
      </c>
      <c r="C17" s="33">
        <v>0.0</v>
      </c>
    </row>
    <row r="18">
      <c r="B18" s="38" t="s">
        <v>53</v>
      </c>
      <c r="C18" s="25">
        <v>0.0</v>
      </c>
      <c r="E18" s="10"/>
    </row>
    <row r="19">
      <c r="B19" s="9" t="s">
        <v>54</v>
      </c>
      <c r="C19" s="25">
        <f>sum(C20,C21)</f>
        <v>0</v>
      </c>
    </row>
    <row r="20" outlineLevel="1">
      <c r="B20" s="11" t="s">
        <v>55</v>
      </c>
      <c r="C20" s="49">
        <v>0.0</v>
      </c>
    </row>
    <row r="21" outlineLevel="1">
      <c r="B21" s="35" t="s">
        <v>56</v>
      </c>
      <c r="C21" s="50">
        <v>0.0</v>
      </c>
    </row>
    <row r="22">
      <c r="B22" s="9" t="s">
        <v>57</v>
      </c>
      <c r="C22" s="25">
        <f>sum(C23:C25)</f>
        <v>3425</v>
      </c>
    </row>
    <row r="23" outlineLevel="1">
      <c r="B23" s="11" t="s">
        <v>58</v>
      </c>
      <c r="C23" s="49">
        <f>'Offline &amp; RG Community'!G32</f>
        <v>3425</v>
      </c>
    </row>
    <row r="24" outlineLevel="1">
      <c r="B24" s="11" t="s">
        <v>59</v>
      </c>
      <c r="C24" s="33">
        <v>0.0</v>
      </c>
    </row>
    <row r="25" outlineLevel="1">
      <c r="B25" s="11" t="s">
        <v>19</v>
      </c>
      <c r="C25" s="50">
        <v>0.0</v>
      </c>
    </row>
    <row r="26">
      <c r="B26" s="9" t="s">
        <v>60</v>
      </c>
      <c r="C26" s="25">
        <f>'Other Income'!E2</f>
        <v>18000</v>
      </c>
      <c r="D26" s="53" t="s">
        <v>61</v>
      </c>
    </row>
    <row r="27">
      <c r="B27" s="17" t="s">
        <v>62</v>
      </c>
      <c r="C27" s="54">
        <f>sum(C26+C22+C19+C18+C15+C12+C6)</f>
        <v>110817</v>
      </c>
    </row>
    <row r="28">
      <c r="B28" s="55" t="s">
        <v>63</v>
      </c>
      <c r="C28" s="57">
        <f>'Offline &amp; RG Community'!K32+District!F4+'Other Income'!E2</f>
        <v>105741.6675</v>
      </c>
    </row>
    <row r="29">
      <c r="B29" s="9" t="s">
        <v>64</v>
      </c>
      <c r="C29" s="25">
        <f>C28/1.18</f>
        <v>89611.58263</v>
      </c>
    </row>
    <row r="30">
      <c r="B30" s="11" t="s">
        <v>65</v>
      </c>
      <c r="C30" s="58">
        <f>C29*70%</f>
        <v>62728.10784</v>
      </c>
    </row>
    <row r="31">
      <c r="B31" s="55" t="s">
        <v>66</v>
      </c>
      <c r="C31" s="58">
        <f>C30-C26</f>
        <v>44728.10784</v>
      </c>
    </row>
    <row r="32">
      <c r="B32" s="11" t="s">
        <v>67</v>
      </c>
      <c r="C32" s="58">
        <f>C29*30%</f>
        <v>26883.47479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3" max="3" width="18.25"/>
    <col customWidth="1" min="4" max="4" width="9.88"/>
    <col customWidth="1" min="5" max="5" width="15.13"/>
    <col customWidth="1" min="6" max="6" width="17.63"/>
    <col customWidth="1" min="8" max="10" width="15.25"/>
  </cols>
  <sheetData>
    <row r="1">
      <c r="A1" s="4" t="s">
        <v>2</v>
      </c>
      <c r="B1" s="4" t="s">
        <v>7</v>
      </c>
      <c r="C1" s="7" t="s">
        <v>10</v>
      </c>
      <c r="D1" s="7" t="s">
        <v>12</v>
      </c>
      <c r="E1" s="4" t="s">
        <v>15</v>
      </c>
      <c r="F1" s="4" t="s">
        <v>16</v>
      </c>
      <c r="G1" s="4" t="s">
        <v>18</v>
      </c>
      <c r="H1" s="4" t="s">
        <v>19</v>
      </c>
      <c r="I1" s="4" t="s">
        <v>21</v>
      </c>
      <c r="J1" s="15" t="s">
        <v>23</v>
      </c>
      <c r="K1" s="17" t="s">
        <v>25</v>
      </c>
    </row>
    <row r="2">
      <c r="A2" s="18">
        <v>46174.0</v>
      </c>
      <c r="B2" s="19" t="s">
        <v>26</v>
      </c>
      <c r="C2" s="20">
        <v>0.0</v>
      </c>
      <c r="D2" s="22" t="s">
        <v>27</v>
      </c>
      <c r="E2" s="22">
        <v>0.0</v>
      </c>
      <c r="F2" s="22">
        <v>0.0</v>
      </c>
      <c r="G2" s="22">
        <v>0.0</v>
      </c>
      <c r="H2" s="22">
        <v>0.0</v>
      </c>
      <c r="I2" s="22">
        <f t="shared" ref="I2:I15" si="1">sum(E2:H2)</f>
        <v>0</v>
      </c>
      <c r="J2" s="28">
        <f t="shared" ref="J2:J31" si="2">I2*1.75%</f>
        <v>0</v>
      </c>
      <c r="K2" s="22">
        <f t="shared" ref="K2:K31" si="3">I2-J2</f>
        <v>0</v>
      </c>
    </row>
    <row r="3">
      <c r="A3" s="18">
        <v>46175.0</v>
      </c>
      <c r="B3" s="19" t="s">
        <v>36</v>
      </c>
      <c r="C3" s="20">
        <v>0.0</v>
      </c>
      <c r="D3" s="22" t="s">
        <v>27</v>
      </c>
      <c r="E3" s="22">
        <v>0.0</v>
      </c>
      <c r="F3" s="22">
        <v>0.0</v>
      </c>
      <c r="G3" s="22">
        <v>0.0</v>
      </c>
      <c r="H3" s="22">
        <v>0.0</v>
      </c>
      <c r="I3" s="22">
        <f t="shared" si="1"/>
        <v>0</v>
      </c>
      <c r="J3" s="28">
        <f t="shared" si="2"/>
        <v>0</v>
      </c>
      <c r="K3" s="22">
        <f t="shared" si="3"/>
        <v>0</v>
      </c>
    </row>
    <row r="4">
      <c r="A4" s="18">
        <v>46176.0</v>
      </c>
      <c r="B4" s="19" t="s">
        <v>40</v>
      </c>
      <c r="C4" s="37">
        <v>2.0</v>
      </c>
      <c r="D4" s="22" t="s">
        <v>27</v>
      </c>
      <c r="E4" s="22">
        <v>1280.0</v>
      </c>
      <c r="F4" s="22">
        <v>0.0</v>
      </c>
      <c r="G4" s="22">
        <v>50.0</v>
      </c>
      <c r="H4" s="22">
        <v>0.0</v>
      </c>
      <c r="I4" s="22">
        <f t="shared" si="1"/>
        <v>1330</v>
      </c>
      <c r="J4" s="28">
        <f t="shared" si="2"/>
        <v>23.275</v>
      </c>
      <c r="K4" s="22">
        <f t="shared" si="3"/>
        <v>1306.725</v>
      </c>
    </row>
    <row r="5">
      <c r="A5" s="18">
        <v>46177.0</v>
      </c>
      <c r="B5" s="19" t="s">
        <v>43</v>
      </c>
      <c r="C5" s="39">
        <v>0.5</v>
      </c>
      <c r="D5" s="22" t="s">
        <v>27</v>
      </c>
      <c r="E5" s="22">
        <v>360.0</v>
      </c>
      <c r="F5" s="22">
        <v>0.0</v>
      </c>
      <c r="G5" s="22">
        <v>100.0</v>
      </c>
      <c r="H5" s="22">
        <v>0.0</v>
      </c>
      <c r="I5" s="22">
        <f t="shared" si="1"/>
        <v>460</v>
      </c>
      <c r="J5" s="28">
        <f t="shared" si="2"/>
        <v>8.05</v>
      </c>
      <c r="K5" s="22">
        <f t="shared" si="3"/>
        <v>451.95</v>
      </c>
    </row>
    <row r="6">
      <c r="A6" s="18">
        <v>46178.0</v>
      </c>
      <c r="B6" s="19" t="s">
        <v>45</v>
      </c>
      <c r="C6" s="37">
        <v>0.0</v>
      </c>
      <c r="D6" s="22" t="s">
        <v>27</v>
      </c>
      <c r="E6" s="22">
        <v>0.0</v>
      </c>
      <c r="F6" s="22">
        <v>0.0</v>
      </c>
      <c r="G6" s="22">
        <v>0.0</v>
      </c>
      <c r="H6" s="22">
        <v>0.0</v>
      </c>
      <c r="I6" s="22">
        <f t="shared" si="1"/>
        <v>0</v>
      </c>
      <c r="J6" s="28">
        <f t="shared" si="2"/>
        <v>0</v>
      </c>
      <c r="K6" s="22">
        <f t="shared" si="3"/>
        <v>0</v>
      </c>
    </row>
    <row r="7">
      <c r="A7" s="18">
        <v>46179.0</v>
      </c>
      <c r="B7" s="19" t="s">
        <v>47</v>
      </c>
      <c r="C7" s="37">
        <v>0.0</v>
      </c>
      <c r="D7" s="22" t="s">
        <v>27</v>
      </c>
      <c r="E7" s="22">
        <v>0.0</v>
      </c>
      <c r="F7" s="22">
        <v>2800.0</v>
      </c>
      <c r="G7" s="43">
        <v>300.0</v>
      </c>
      <c r="H7" s="22">
        <v>0.0</v>
      </c>
      <c r="I7" s="22">
        <f t="shared" si="1"/>
        <v>3100</v>
      </c>
      <c r="J7" s="28">
        <f t="shared" si="2"/>
        <v>54.25</v>
      </c>
      <c r="K7" s="22">
        <f t="shared" si="3"/>
        <v>3045.75</v>
      </c>
    </row>
    <row r="8">
      <c r="A8" s="18">
        <v>46180.0</v>
      </c>
      <c r="B8" s="19" t="s">
        <v>50</v>
      </c>
      <c r="C8" s="37">
        <v>0.0</v>
      </c>
      <c r="D8" s="22" t="s">
        <v>27</v>
      </c>
      <c r="E8" s="22">
        <v>0.0</v>
      </c>
      <c r="F8" s="22">
        <v>0.0</v>
      </c>
      <c r="G8" s="22">
        <v>250.0</v>
      </c>
      <c r="H8" s="22">
        <v>0.0</v>
      </c>
      <c r="I8" s="22">
        <f t="shared" si="1"/>
        <v>250</v>
      </c>
      <c r="J8" s="28">
        <f t="shared" si="2"/>
        <v>4.375</v>
      </c>
      <c r="K8" s="22">
        <f t="shared" si="3"/>
        <v>245.625</v>
      </c>
    </row>
    <row r="9">
      <c r="A9" s="18">
        <v>46181.0</v>
      </c>
      <c r="B9" s="19" t="s">
        <v>26</v>
      </c>
      <c r="C9" s="39">
        <v>2.5</v>
      </c>
      <c r="D9" s="22" t="s">
        <v>27</v>
      </c>
      <c r="E9" s="22">
        <v>1720.0</v>
      </c>
      <c r="F9" s="22">
        <v>0.0</v>
      </c>
      <c r="G9" s="43">
        <v>675.0</v>
      </c>
      <c r="H9" s="22">
        <v>0.0</v>
      </c>
      <c r="I9" s="22">
        <f t="shared" si="1"/>
        <v>2395</v>
      </c>
      <c r="J9" s="28">
        <f t="shared" si="2"/>
        <v>41.9125</v>
      </c>
      <c r="K9" s="22">
        <f t="shared" si="3"/>
        <v>2353.0875</v>
      </c>
    </row>
    <row r="10">
      <c r="A10" s="18">
        <v>46182.0</v>
      </c>
      <c r="B10" s="19" t="s">
        <v>36</v>
      </c>
      <c r="C10" s="37">
        <v>0.0</v>
      </c>
      <c r="D10" s="22" t="s">
        <v>27</v>
      </c>
      <c r="E10" s="22">
        <v>0.0</v>
      </c>
      <c r="F10" s="22">
        <v>0.0</v>
      </c>
      <c r="G10" s="22">
        <v>0.0</v>
      </c>
      <c r="H10" s="22">
        <v>0.0</v>
      </c>
      <c r="I10" s="22">
        <f t="shared" si="1"/>
        <v>0</v>
      </c>
      <c r="J10" s="28">
        <f t="shared" si="2"/>
        <v>0</v>
      </c>
      <c r="K10" s="22">
        <f t="shared" si="3"/>
        <v>0</v>
      </c>
    </row>
    <row r="11">
      <c r="A11" s="18">
        <v>46183.0</v>
      </c>
      <c r="B11" s="19" t="s">
        <v>40</v>
      </c>
      <c r="C11" s="37">
        <v>0.0</v>
      </c>
      <c r="D11" s="22" t="s">
        <v>27</v>
      </c>
      <c r="E11" s="22">
        <v>0.0</v>
      </c>
      <c r="F11" s="22">
        <v>600.0</v>
      </c>
      <c r="G11" s="22">
        <v>50.0</v>
      </c>
      <c r="H11" s="22">
        <v>0.0</v>
      </c>
      <c r="I11" s="22">
        <f t="shared" si="1"/>
        <v>650</v>
      </c>
      <c r="J11" s="28">
        <f t="shared" si="2"/>
        <v>11.375</v>
      </c>
      <c r="K11" s="22">
        <f t="shared" si="3"/>
        <v>638.625</v>
      </c>
    </row>
    <row r="12">
      <c r="A12" s="18">
        <v>46184.0</v>
      </c>
      <c r="B12" s="19" t="s">
        <v>43</v>
      </c>
      <c r="C12" s="39">
        <v>0.0</v>
      </c>
      <c r="D12" s="22" t="s">
        <v>27</v>
      </c>
      <c r="E12" s="22">
        <v>0.0</v>
      </c>
      <c r="F12" s="22">
        <v>0.0</v>
      </c>
      <c r="G12" s="22">
        <v>0.0</v>
      </c>
      <c r="H12" s="22">
        <v>0.0</v>
      </c>
      <c r="I12" s="22">
        <f t="shared" si="1"/>
        <v>0</v>
      </c>
      <c r="J12" s="28">
        <f t="shared" si="2"/>
        <v>0</v>
      </c>
      <c r="K12" s="22">
        <f t="shared" si="3"/>
        <v>0</v>
      </c>
    </row>
    <row r="13">
      <c r="A13" s="18">
        <v>46185.0</v>
      </c>
      <c r="B13" s="19" t="s">
        <v>45</v>
      </c>
      <c r="C13" s="39">
        <v>0.0</v>
      </c>
      <c r="D13" s="22" t="s">
        <v>27</v>
      </c>
      <c r="E13" s="22">
        <v>0.0</v>
      </c>
      <c r="F13" s="22">
        <v>0.0</v>
      </c>
      <c r="G13" s="22">
        <v>0.0</v>
      </c>
      <c r="H13" s="22">
        <v>0.0</v>
      </c>
      <c r="I13" s="22">
        <f t="shared" si="1"/>
        <v>0</v>
      </c>
      <c r="J13" s="28">
        <f t="shared" si="2"/>
        <v>0</v>
      </c>
      <c r="K13" s="22">
        <f t="shared" si="3"/>
        <v>0</v>
      </c>
    </row>
    <row r="14">
      <c r="A14" s="18">
        <v>46186.0</v>
      </c>
      <c r="B14" s="19" t="s">
        <v>47</v>
      </c>
      <c r="C14" s="39">
        <v>0.5</v>
      </c>
      <c r="D14" s="22" t="s">
        <v>27</v>
      </c>
      <c r="E14" s="22">
        <v>360.0</v>
      </c>
      <c r="F14" s="22">
        <v>0.0</v>
      </c>
      <c r="G14" s="22">
        <v>0.0</v>
      </c>
      <c r="H14" s="22">
        <v>0.0</v>
      </c>
      <c r="I14" s="22">
        <f t="shared" si="1"/>
        <v>360</v>
      </c>
      <c r="J14" s="28">
        <f t="shared" si="2"/>
        <v>6.3</v>
      </c>
      <c r="K14" s="22">
        <f t="shared" si="3"/>
        <v>353.7</v>
      </c>
    </row>
    <row r="15">
      <c r="A15" s="18">
        <v>46187.0</v>
      </c>
      <c r="B15" s="19" t="s">
        <v>50</v>
      </c>
      <c r="C15" s="39">
        <v>3.5</v>
      </c>
      <c r="D15" s="22" t="s">
        <v>27</v>
      </c>
      <c r="E15" s="51">
        <f>360+2320</f>
        <v>2680</v>
      </c>
      <c r="F15" s="22">
        <v>0.0</v>
      </c>
      <c r="G15" s="22">
        <v>250.0</v>
      </c>
      <c r="H15" s="22">
        <v>0.0</v>
      </c>
      <c r="I15" s="22">
        <f t="shared" si="1"/>
        <v>2930</v>
      </c>
      <c r="J15" s="28">
        <f t="shared" si="2"/>
        <v>51.275</v>
      </c>
      <c r="K15" s="22">
        <f t="shared" si="3"/>
        <v>2878.725</v>
      </c>
    </row>
    <row r="16">
      <c r="A16" s="18">
        <v>46188.0</v>
      </c>
      <c r="B16" s="19" t="s">
        <v>26</v>
      </c>
      <c r="C16" s="39">
        <v>0.0</v>
      </c>
      <c r="D16" s="22" t="s">
        <v>27</v>
      </c>
      <c r="E16" s="22">
        <v>0.0</v>
      </c>
      <c r="F16" s="22">
        <v>0.0</v>
      </c>
      <c r="G16" s="22">
        <v>0.0</v>
      </c>
      <c r="H16" s="22">
        <v>0.0</v>
      </c>
      <c r="I16" s="22">
        <f>SUM(E16:H16)</f>
        <v>0</v>
      </c>
      <c r="J16" s="28">
        <f t="shared" si="2"/>
        <v>0</v>
      </c>
      <c r="K16" s="22">
        <f t="shared" si="3"/>
        <v>0</v>
      </c>
    </row>
    <row r="17">
      <c r="A17" s="18">
        <v>46189.0</v>
      </c>
      <c r="B17" s="19" t="s">
        <v>36</v>
      </c>
      <c r="C17" s="39">
        <v>0.0</v>
      </c>
      <c r="D17" s="22" t="s">
        <v>27</v>
      </c>
      <c r="E17" s="52">
        <v>0.0</v>
      </c>
      <c r="F17" s="22">
        <v>0.0</v>
      </c>
      <c r="G17" s="22">
        <v>0.0</v>
      </c>
      <c r="H17" s="22">
        <v>0.0</v>
      </c>
      <c r="I17" s="22">
        <f>SUM(F17:H17)</f>
        <v>0</v>
      </c>
      <c r="J17" s="28">
        <f t="shared" si="2"/>
        <v>0</v>
      </c>
      <c r="K17" s="22">
        <f t="shared" si="3"/>
        <v>0</v>
      </c>
    </row>
    <row r="18">
      <c r="A18" s="18">
        <v>46190.0</v>
      </c>
      <c r="B18" s="19" t="s">
        <v>40</v>
      </c>
      <c r="C18" s="39">
        <v>0.0</v>
      </c>
      <c r="D18" s="22" t="s">
        <v>27</v>
      </c>
      <c r="E18" s="22">
        <v>0.0</v>
      </c>
      <c r="F18" s="22">
        <v>0.0</v>
      </c>
      <c r="G18" s="22">
        <v>150.0</v>
      </c>
      <c r="H18" s="22">
        <v>0.0</v>
      </c>
      <c r="I18" s="22">
        <f t="shared" ref="I18:I21" si="4">SUM(E18:H18)</f>
        <v>150</v>
      </c>
      <c r="J18" s="28">
        <f t="shared" si="2"/>
        <v>2.625</v>
      </c>
      <c r="K18" s="22">
        <f t="shared" si="3"/>
        <v>147.375</v>
      </c>
    </row>
    <row r="19">
      <c r="A19" s="18">
        <v>46191.0</v>
      </c>
      <c r="B19" s="19" t="s">
        <v>43</v>
      </c>
      <c r="C19" s="39">
        <v>0.0</v>
      </c>
      <c r="D19" s="22" t="s">
        <v>27</v>
      </c>
      <c r="E19" s="22">
        <v>0.0</v>
      </c>
      <c r="F19" s="22">
        <v>0.0</v>
      </c>
      <c r="G19" s="22">
        <v>200.0</v>
      </c>
      <c r="H19" s="22">
        <v>0.0</v>
      </c>
      <c r="I19" s="22">
        <f t="shared" si="4"/>
        <v>200</v>
      </c>
      <c r="J19" s="28">
        <f t="shared" si="2"/>
        <v>3.5</v>
      </c>
      <c r="K19" s="22">
        <f t="shared" si="3"/>
        <v>196.5</v>
      </c>
    </row>
    <row r="20">
      <c r="A20" s="18">
        <v>46192.0</v>
      </c>
      <c r="B20" s="19" t="s">
        <v>45</v>
      </c>
      <c r="C20" s="39">
        <v>5.0</v>
      </c>
      <c r="D20" s="22" t="s">
        <v>27</v>
      </c>
      <c r="E20" s="22">
        <v>3280.0</v>
      </c>
      <c r="F20" s="22">
        <v>0.0</v>
      </c>
      <c r="G20" s="22">
        <v>0.0</v>
      </c>
      <c r="H20" s="22">
        <v>0.0</v>
      </c>
      <c r="I20" s="22">
        <f t="shared" si="4"/>
        <v>3280</v>
      </c>
      <c r="J20" s="28">
        <f t="shared" si="2"/>
        <v>57.4</v>
      </c>
      <c r="K20" s="22">
        <f t="shared" si="3"/>
        <v>3222.6</v>
      </c>
    </row>
    <row r="21">
      <c r="A21" s="18">
        <v>46193.0</v>
      </c>
      <c r="B21" s="19" t="s">
        <v>47</v>
      </c>
      <c r="C21" s="56">
        <v>4.0</v>
      </c>
      <c r="D21" s="22" t="s">
        <v>27</v>
      </c>
      <c r="E21" s="22">
        <f>474+1920</f>
        <v>2394</v>
      </c>
      <c r="F21" s="22">
        <v>0.0</v>
      </c>
      <c r="G21" s="22">
        <v>150.0</v>
      </c>
      <c r="H21" s="22">
        <v>0.0</v>
      </c>
      <c r="I21" s="22">
        <f t="shared" si="4"/>
        <v>2544</v>
      </c>
      <c r="J21" s="28">
        <f t="shared" si="2"/>
        <v>44.52</v>
      </c>
      <c r="K21" s="22">
        <f t="shared" si="3"/>
        <v>2499.48</v>
      </c>
    </row>
    <row r="22">
      <c r="A22" s="18">
        <v>46194.0</v>
      </c>
      <c r="B22" s="19" t="s">
        <v>50</v>
      </c>
      <c r="C22" s="39">
        <v>0.0</v>
      </c>
      <c r="D22" s="22" t="s">
        <v>27</v>
      </c>
      <c r="E22" s="22">
        <v>0.0</v>
      </c>
      <c r="F22" s="22">
        <v>0.0</v>
      </c>
      <c r="G22" s="22">
        <v>0.0</v>
      </c>
      <c r="H22" s="22">
        <v>0.0</v>
      </c>
      <c r="I22" s="22">
        <f>sum(E22:H22)</f>
        <v>0</v>
      </c>
      <c r="J22" s="28">
        <f t="shared" si="2"/>
        <v>0</v>
      </c>
      <c r="K22" s="22">
        <f t="shared" si="3"/>
        <v>0</v>
      </c>
    </row>
    <row r="23">
      <c r="A23" s="18">
        <v>46195.0</v>
      </c>
      <c r="B23" s="19" t="s">
        <v>26</v>
      </c>
      <c r="C23" s="39">
        <v>5.0</v>
      </c>
      <c r="D23" s="22" t="s">
        <v>27</v>
      </c>
      <c r="E23" s="22">
        <v>3360.0</v>
      </c>
      <c r="F23" s="22">
        <v>0.0</v>
      </c>
      <c r="G23" s="22">
        <v>0.0</v>
      </c>
      <c r="H23" s="22">
        <v>0.0</v>
      </c>
      <c r="I23" s="22">
        <f t="shared" ref="I23:I31" si="5">SUM(E23:H23)</f>
        <v>3360</v>
      </c>
      <c r="J23" s="28">
        <f t="shared" si="2"/>
        <v>58.8</v>
      </c>
      <c r="K23" s="22">
        <f t="shared" si="3"/>
        <v>3301.2</v>
      </c>
    </row>
    <row r="24">
      <c r="A24" s="18">
        <v>46196.0</v>
      </c>
      <c r="B24" s="19" t="s">
        <v>36</v>
      </c>
      <c r="C24" s="39">
        <v>2.0</v>
      </c>
      <c r="D24" s="22" t="s">
        <v>27</v>
      </c>
      <c r="E24" s="22">
        <v>1280.0</v>
      </c>
      <c r="F24" s="22">
        <v>1600.0</v>
      </c>
      <c r="G24" s="22">
        <v>100.0</v>
      </c>
      <c r="H24" s="22">
        <v>0.0</v>
      </c>
      <c r="I24" s="22">
        <f t="shared" si="5"/>
        <v>2980</v>
      </c>
      <c r="J24" s="28">
        <f t="shared" si="2"/>
        <v>52.15</v>
      </c>
      <c r="K24" s="22">
        <f t="shared" si="3"/>
        <v>2927.85</v>
      </c>
    </row>
    <row r="25">
      <c r="A25" s="18">
        <v>46197.0</v>
      </c>
      <c r="B25" s="19" t="s">
        <v>40</v>
      </c>
      <c r="C25" s="39">
        <v>2.0</v>
      </c>
      <c r="D25" s="22" t="s">
        <v>27</v>
      </c>
      <c r="E25" s="22">
        <v>1280.0</v>
      </c>
      <c r="F25" s="22">
        <v>0.0</v>
      </c>
      <c r="G25" s="22">
        <v>50.0</v>
      </c>
      <c r="H25" s="22">
        <v>0.0</v>
      </c>
      <c r="I25" s="22">
        <f t="shared" si="5"/>
        <v>1330</v>
      </c>
      <c r="J25" s="28">
        <f t="shared" si="2"/>
        <v>23.275</v>
      </c>
      <c r="K25" s="22">
        <f t="shared" si="3"/>
        <v>1306.725</v>
      </c>
    </row>
    <row r="26">
      <c r="A26" s="18">
        <v>46198.0</v>
      </c>
      <c r="B26" s="19" t="s">
        <v>43</v>
      </c>
      <c r="C26" s="39">
        <v>5.0</v>
      </c>
      <c r="D26" s="22" t="s">
        <v>27</v>
      </c>
      <c r="E26" s="22">
        <v>3280.0</v>
      </c>
      <c r="F26" s="22">
        <v>0.0</v>
      </c>
      <c r="G26" s="22">
        <v>0.0</v>
      </c>
      <c r="H26" s="22">
        <v>0.0</v>
      </c>
      <c r="I26" s="22">
        <f t="shared" si="5"/>
        <v>3280</v>
      </c>
      <c r="J26" s="28">
        <f t="shared" si="2"/>
        <v>57.4</v>
      </c>
      <c r="K26" s="22">
        <f t="shared" si="3"/>
        <v>3222.6</v>
      </c>
    </row>
    <row r="27">
      <c r="A27" s="18">
        <v>46199.0</v>
      </c>
      <c r="B27" s="19" t="s">
        <v>45</v>
      </c>
      <c r="C27" s="39">
        <v>0.0</v>
      </c>
      <c r="D27" s="22" t="s">
        <v>27</v>
      </c>
      <c r="E27" s="22">
        <v>0.0</v>
      </c>
      <c r="F27" s="22">
        <v>0.0</v>
      </c>
      <c r="G27" s="22">
        <v>0.0</v>
      </c>
      <c r="H27" s="22">
        <v>0.0</v>
      </c>
      <c r="I27" s="22">
        <f t="shared" si="5"/>
        <v>0</v>
      </c>
      <c r="J27" s="28">
        <f t="shared" si="2"/>
        <v>0</v>
      </c>
      <c r="K27" s="22">
        <f t="shared" si="3"/>
        <v>0</v>
      </c>
    </row>
    <row r="28">
      <c r="A28" s="18">
        <v>46200.0</v>
      </c>
      <c r="B28" s="19" t="s">
        <v>47</v>
      </c>
      <c r="C28" s="39">
        <v>0.0</v>
      </c>
      <c r="D28" s="22" t="s">
        <v>27</v>
      </c>
      <c r="E28" s="22">
        <v>0.0</v>
      </c>
      <c r="F28" s="22">
        <v>480.0</v>
      </c>
      <c r="G28" s="22">
        <v>200.0</v>
      </c>
      <c r="H28" s="22">
        <v>0.0</v>
      </c>
      <c r="I28" s="22">
        <f t="shared" si="5"/>
        <v>680</v>
      </c>
      <c r="J28" s="28">
        <f t="shared" si="2"/>
        <v>11.9</v>
      </c>
      <c r="K28" s="22">
        <f t="shared" si="3"/>
        <v>668.1</v>
      </c>
    </row>
    <row r="29">
      <c r="A29" s="18">
        <v>46201.0</v>
      </c>
      <c r="B29" s="19" t="s">
        <v>50</v>
      </c>
      <c r="C29" s="39">
        <v>0.0</v>
      </c>
      <c r="D29" s="22" t="s">
        <v>27</v>
      </c>
      <c r="E29" s="22">
        <v>0.0</v>
      </c>
      <c r="F29" s="22">
        <v>0.0</v>
      </c>
      <c r="G29" s="22">
        <v>700.0</v>
      </c>
      <c r="H29" s="22">
        <v>0.0</v>
      </c>
      <c r="I29" s="22">
        <f t="shared" si="5"/>
        <v>700</v>
      </c>
      <c r="J29" s="28">
        <f t="shared" si="2"/>
        <v>12.25</v>
      </c>
      <c r="K29" s="22">
        <f t="shared" si="3"/>
        <v>687.75</v>
      </c>
    </row>
    <row r="30">
      <c r="A30" s="18">
        <v>46202.0</v>
      </c>
      <c r="B30" s="19" t="s">
        <v>26</v>
      </c>
      <c r="C30" s="39">
        <v>0.0</v>
      </c>
      <c r="D30" s="22" t="s">
        <v>27</v>
      </c>
      <c r="E30" s="22">
        <v>0.0</v>
      </c>
      <c r="F30" s="22">
        <v>640.0</v>
      </c>
      <c r="G30" s="22">
        <v>200.0</v>
      </c>
      <c r="H30" s="22">
        <v>0.0</v>
      </c>
      <c r="I30" s="22">
        <f t="shared" si="5"/>
        <v>840</v>
      </c>
      <c r="J30" s="28">
        <f t="shared" si="2"/>
        <v>14.7</v>
      </c>
      <c r="K30" s="22">
        <f t="shared" si="3"/>
        <v>825.3</v>
      </c>
    </row>
    <row r="31">
      <c r="A31" s="18">
        <v>46203.0</v>
      </c>
      <c r="B31" s="19" t="s">
        <v>36</v>
      </c>
      <c r="C31" s="59">
        <v>0.0</v>
      </c>
      <c r="D31" s="22" t="s">
        <v>27</v>
      </c>
      <c r="E31" s="60">
        <v>0.0</v>
      </c>
      <c r="F31" s="60">
        <v>0.0</v>
      </c>
      <c r="G31" s="60">
        <v>0.0</v>
      </c>
      <c r="H31" s="60">
        <v>0.0</v>
      </c>
      <c r="I31" s="22">
        <f t="shared" si="5"/>
        <v>0</v>
      </c>
      <c r="J31" s="28">
        <f t="shared" si="2"/>
        <v>0</v>
      </c>
      <c r="K31" s="22">
        <f t="shared" si="3"/>
        <v>0</v>
      </c>
    </row>
    <row r="32">
      <c r="A32" s="61" t="s">
        <v>49</v>
      </c>
      <c r="B32" s="12"/>
      <c r="C32" s="62"/>
      <c r="D32" s="46"/>
      <c r="E32" s="45">
        <f t="shared" ref="E32:K32" si="6">SUM(E1:E31)</f>
        <v>21274</v>
      </c>
      <c r="F32" s="45">
        <f t="shared" si="6"/>
        <v>6120</v>
      </c>
      <c r="G32" s="45">
        <f t="shared" si="6"/>
        <v>3425</v>
      </c>
      <c r="H32" s="45">
        <f t="shared" si="6"/>
        <v>0</v>
      </c>
      <c r="I32" s="45">
        <f t="shared" si="6"/>
        <v>30819</v>
      </c>
      <c r="J32" s="45">
        <f t="shared" si="6"/>
        <v>539.3325</v>
      </c>
      <c r="K32" s="45">
        <f t="shared" si="6"/>
        <v>30279.6675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75"/>
    <col customWidth="1" min="4" max="4" width="14.38"/>
    <col customWidth="1" min="5" max="5" width="16.0"/>
    <col customWidth="1" min="6" max="6" width="11.13"/>
    <col customWidth="1" min="7" max="8" width="6.88"/>
    <col customWidth="1" min="9" max="9" width="14.13"/>
  </cols>
  <sheetData>
    <row r="1">
      <c r="A1" s="21" t="s">
        <v>1</v>
      </c>
      <c r="B1" s="23" t="s">
        <v>2</v>
      </c>
      <c r="C1" s="23" t="s">
        <v>28</v>
      </c>
      <c r="D1" s="23" t="s">
        <v>29</v>
      </c>
      <c r="E1" s="24" t="s">
        <v>30</v>
      </c>
      <c r="F1" s="23" t="s">
        <v>25</v>
      </c>
      <c r="G1" s="26" t="s">
        <v>31</v>
      </c>
      <c r="H1" s="26" t="s">
        <v>32</v>
      </c>
      <c r="I1" s="23" t="s">
        <v>33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>
      <c r="A2" s="27"/>
      <c r="B2" s="29" t="s">
        <v>3</v>
      </c>
      <c r="C2" s="30">
        <v>61998.0</v>
      </c>
      <c r="D2" s="30">
        <v>3844.0</v>
      </c>
      <c r="E2" s="31">
        <v>692.0</v>
      </c>
      <c r="F2" s="34">
        <f>C2-D2-E2</f>
        <v>57462</v>
      </c>
      <c r="G2" s="30">
        <v>310.0</v>
      </c>
      <c r="H2" s="30">
        <v>62.0</v>
      </c>
      <c r="I2" s="30">
        <f>F2-G2-H2</f>
        <v>57090</v>
      </c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40"/>
      <c r="B3" s="41"/>
      <c r="C3" s="29"/>
      <c r="D3" s="29"/>
      <c r="E3" s="42"/>
      <c r="F3" s="34"/>
      <c r="G3" s="29"/>
      <c r="H3" s="29"/>
      <c r="I3" s="41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40"/>
      <c r="B4" s="44" t="s">
        <v>49</v>
      </c>
      <c r="C4" s="45">
        <f>SUM(C2:C3)</f>
        <v>61998</v>
      </c>
      <c r="D4" s="46"/>
      <c r="E4" s="47"/>
      <c r="F4" s="48">
        <f>SUM(F2:F3)</f>
        <v>57462</v>
      </c>
      <c r="G4" s="46"/>
      <c r="H4" s="46"/>
      <c r="I4" s="45">
        <f>SUM(I2:I3)</f>
        <v>57090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17.38"/>
    <col customWidth="1" min="5" max="5" width="15.25"/>
  </cols>
  <sheetData>
    <row r="1">
      <c r="A1" s="2" t="s">
        <v>0</v>
      </c>
      <c r="B1" s="2" t="s">
        <v>4</v>
      </c>
      <c r="C1" s="2" t="s">
        <v>5</v>
      </c>
      <c r="D1" s="2" t="s">
        <v>6</v>
      </c>
      <c r="E1" s="2" t="s">
        <v>8</v>
      </c>
    </row>
    <row r="2">
      <c r="A2" s="8" t="s">
        <v>11</v>
      </c>
      <c r="B2" s="9" t="s">
        <v>14</v>
      </c>
      <c r="C2" s="11" t="s">
        <v>17</v>
      </c>
      <c r="D2" s="13" t="s">
        <v>20</v>
      </c>
      <c r="E2" s="16">
        <v>18000.0</v>
      </c>
    </row>
  </sheetData>
  <drawing r:id="rId1"/>
</worksheet>
</file>