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istrict" sheetId="2" r:id="rId6"/>
    <sheet state="visible" name="Offline Bookings" sheetId="3" r:id="rId7"/>
    <sheet state="visible" name="Memberships" sheetId="4" r:id="rId8"/>
    <sheet state="visible" name="Social EventsTournament" sheetId="5" r:id="rId9"/>
    <sheet state="visible" name="Academy" sheetId="6" r:id="rId10"/>
    <sheet state="visible" name="B2B" sheetId="7" r:id="rId11"/>
    <sheet state="visible" name="F&amp;B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Ref, Add ons cost
</t>
      </text>
    </comment>
    <comment authorId="0" ref="H2">
      <text>
        <t xml:space="preserve">Coach cost 8000
</t>
      </text>
    </comment>
  </commentList>
</comments>
</file>

<file path=xl/sharedStrings.xml><?xml version="1.0" encoding="utf-8"?>
<sst xmlns="http://schemas.openxmlformats.org/spreadsheetml/2006/main" count="235" uniqueCount="146">
  <si>
    <t>Link</t>
  </si>
  <si>
    <t>Date</t>
  </si>
  <si>
    <t>1 - 30 Sept</t>
  </si>
  <si>
    <t>Day</t>
  </si>
  <si>
    <t>Offline booking hours</t>
  </si>
  <si>
    <t>Pickleball</t>
  </si>
  <si>
    <t>Padel</t>
  </si>
  <si>
    <t>Turf</t>
  </si>
  <si>
    <t xml:space="preserve">Pickleball Rental </t>
  </si>
  <si>
    <t>Padel Rental</t>
  </si>
  <si>
    <t>Community Partnership  (Turf)</t>
  </si>
  <si>
    <t>Amount</t>
  </si>
  <si>
    <t>Community (Pickleball)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</si>
  <si>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</si>
  <si>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Total Revenue</t>
  </si>
  <si>
    <t>Particulars</t>
  </si>
  <si>
    <t>Paid to District</t>
  </si>
  <si>
    <t>Total</t>
  </si>
  <si>
    <t>Commissions (₹)</t>
  </si>
  <si>
    <t>GST on Commission</t>
  </si>
  <si>
    <t>Net Revenue</t>
  </si>
  <si>
    <t>Payment Mode</t>
  </si>
  <si>
    <t>TCS</t>
  </si>
  <si>
    <t>TDS</t>
  </si>
  <si>
    <t>Final Amount (₹)</t>
  </si>
  <si>
    <t>Notes</t>
  </si>
  <si>
    <t>Payment Gateway</t>
  </si>
  <si>
    <t>Pay &amp; Play</t>
  </si>
  <si>
    <t>Member Name</t>
  </si>
  <si>
    <t>Sports Type</t>
  </si>
  <si>
    <t>Membership Type</t>
  </si>
  <si>
    <t>Amount Collected</t>
  </si>
  <si>
    <t>Tuesday</t>
  </si>
  <si>
    <t>Nikhil</t>
  </si>
  <si>
    <t>Football</t>
  </si>
  <si>
    <t>Monthly</t>
  </si>
  <si>
    <t>Razorpay (after deduction)</t>
  </si>
  <si>
    <t>Wednesday</t>
  </si>
  <si>
    <t>All the Razorpay payment post deductions</t>
  </si>
  <si>
    <t>Punit</t>
  </si>
  <si>
    <t>Thursday</t>
  </si>
  <si>
    <t>Cash Collection</t>
  </si>
  <si>
    <t>Friday</t>
  </si>
  <si>
    <t>Amount received from cash in hand, Neft and other payment methods</t>
  </si>
  <si>
    <t>Saturday</t>
  </si>
  <si>
    <t xml:space="preserve">Online </t>
  </si>
  <si>
    <t>Sunday</t>
  </si>
  <si>
    <t>Monday</t>
  </si>
  <si>
    <t>Total Offline Collection</t>
  </si>
  <si>
    <t>Payments from offline bookings, Community, events, Memberships, Academy and Corporate events</t>
  </si>
  <si>
    <t>District</t>
  </si>
  <si>
    <t>Total District Collection</t>
  </si>
  <si>
    <t>Hudle</t>
  </si>
  <si>
    <t>Grand Total</t>
  </si>
  <si>
    <t>Playo</t>
  </si>
  <si>
    <t>Khelomore</t>
  </si>
  <si>
    <t>Zplys</t>
  </si>
  <si>
    <t>Offline</t>
  </si>
  <si>
    <t>Bookings</t>
  </si>
  <si>
    <t>Memberships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</si>
  <si>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</si>
  <si>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Community</t>
  </si>
  <si>
    <t>Sport</t>
  </si>
  <si>
    <t>Type</t>
  </si>
  <si>
    <t>Amt</t>
  </si>
  <si>
    <t>Pickup games</t>
  </si>
  <si>
    <t>Commissions</t>
  </si>
  <si>
    <t>Event Expenses</t>
  </si>
  <si>
    <t xml:space="preserve">TDS </t>
  </si>
  <si>
    <t>Final Amt</t>
  </si>
  <si>
    <t>19 Sept</t>
  </si>
  <si>
    <t>Social Events/Tournaments</t>
  </si>
  <si>
    <t>Mixer</t>
  </si>
  <si>
    <t>Community Partnerships</t>
  </si>
  <si>
    <t>Academy</t>
  </si>
  <si>
    <t>26 Sept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</si>
  <si>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</si>
  <si>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</si>
  <si>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</si>
  <si>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</si>
  <si>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</si>
  <si>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</si>
  <si>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</si>
  <si>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</si>
  <si>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</si>
  <si>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</si>
  <si>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</si>
  <si>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</si>
  <si>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</si>
  <si>
    <t>SD Vidya School's Share (60%)</t>
  </si>
  <si>
    <t>RG &amp; DPC's Share (40%)</t>
  </si>
  <si>
    <t>Sno.</t>
  </si>
  <si>
    <t>Expenses</t>
  </si>
  <si>
    <t>Organisation</t>
  </si>
  <si>
    <t>Venue Manager + Housekeeping + Coach Salary</t>
  </si>
  <si>
    <t>Sept</t>
  </si>
  <si>
    <t>BFFS</t>
  </si>
  <si>
    <t>VM Travel conveyance</t>
  </si>
  <si>
    <t>Diesel consumption charges</t>
  </si>
  <si>
    <t>Ops Managers Reimbursements</t>
  </si>
  <si>
    <t>Marketing Expense</t>
  </si>
  <si>
    <t xml:space="preserve">Electricity Bill </t>
  </si>
  <si>
    <t>Total Expenses</t>
  </si>
  <si>
    <t>TFS</t>
  </si>
  <si>
    <t>Final Profit Share</t>
  </si>
  <si>
    <t>RG's Share</t>
  </si>
  <si>
    <t>DPC's Share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</si>
  <si>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</si>
  <si>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Name</t>
  </si>
  <si>
    <t>Deliverables</t>
  </si>
  <si>
    <t>Event Cost</t>
  </si>
  <si>
    <t>Paid to brand (75%)</t>
  </si>
  <si>
    <t>4 and 13 Sept</t>
  </si>
  <si>
    <t>Our Margin (25%)</t>
  </si>
  <si>
    <t>Barclays</t>
  </si>
  <si>
    <t>Team Event</t>
  </si>
  <si>
    <t>4 Hours of turf</t>
  </si>
  <si>
    <t>6 Sept</t>
  </si>
  <si>
    <t>Dron Football tournament</t>
  </si>
  <si>
    <t>Tournament</t>
  </si>
  <si>
    <t>2 Hours of turf</t>
  </si>
  <si>
    <t>Many Dates</t>
  </si>
  <si>
    <t>Mediatek</t>
  </si>
  <si>
    <t>Corporate Tournament</t>
  </si>
  <si>
    <t>4.5 Hours of turf</t>
  </si>
  <si>
    <t>Thu and Sundays</t>
  </si>
  <si>
    <t>Kick with Diva</t>
  </si>
  <si>
    <t>Weekly Sessions</t>
  </si>
  <si>
    <t>12 Hours of Turf</t>
  </si>
  <si>
    <t>Shadow FC</t>
  </si>
  <si>
    <t>3 Hours of turf</t>
  </si>
  <si>
    <t xml:space="preserve">PW </t>
  </si>
  <si>
    <t>6 Hours of turf and add ons (Ref, Coolers, Table and chairs)</t>
  </si>
  <si>
    <t>Sept Rising</t>
  </si>
  <si>
    <t>Charity Event</t>
  </si>
  <si>
    <t>-</t>
  </si>
  <si>
    <t>Open ground</t>
  </si>
  <si>
    <t>12,20,27 Sept</t>
  </si>
  <si>
    <t>Goal Club</t>
  </si>
  <si>
    <t>1.5 Hours turf each day</t>
  </si>
  <si>
    <t>30 Sept</t>
  </si>
  <si>
    <t>Wasco</t>
  </si>
  <si>
    <t>Product Shoot</t>
  </si>
  <si>
    <t>4 Hours of court</t>
  </si>
  <si>
    <t>Skergo</t>
  </si>
  <si>
    <t>Whole 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</si>
</sst>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0"/>
    <numFmt numFmtId="165" formatCode="[$₹]#,##0"/>
    <numFmt numFmtId="166" formatCode="[$₹]#,##0.0"/>
    <numFmt numFmtId="167" formatCode="d mmm"/>
    <numFmt numFmtId="168" formatCode="[&gt;9999999][$₹]##\,##\,##\,##0.00;[&gt;99999][$₹]##\,##\,##0.00;[$₹]##,##0.00"/>
    <numFmt numFmtId="169" formatCode="d mmmm"/>
    <numFmt numFmtId="170" formatCode="[&gt;9999999][$₹]##\,##\,##\,##0;[&gt;99999][$₹]##\,##\,##0;[$₹]##,##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u/>
      <color rgb="FF0000FF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u/>
      <color rgb="FF0000FF"/>
    </font>
    <font>
      <b/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165" xfId="0" applyAlignment="1" applyBorder="1" applyFill="1" applyFont="1" applyNumberFormat="1">
      <alignment horizontal="center" readingOrder="0" vertical="bottom"/>
    </xf>
    <xf borderId="1" fillId="2" fontId="2" numFmtId="1" xfId="0" applyAlignment="1" applyBorder="1" applyFill="1" applyFont="1" applyNumberFormat="1">
      <alignment horizontal="center" vertical="bottom"/>
    </xf>
    <xf borderId="1" fillId="2" fontId="1" numFmtId="165" xfId="0" applyBorder="1" applyFill="1" applyFont="1" applyNumberFormat="1"/>
    <xf borderId="0" fillId="0" fontId="1" numFmtId="166" xfId="0" applyFont="1" applyNumberFormat="1"/>
    <xf borderId="1" fillId="0" fontId="1" numFmtId="165" xfId="0" applyBorder="1" applyFont="1" applyNumberFormat="1"/>
    <xf borderId="1" fillId="0" fontId="2" numFmtId="165" xfId="0" applyAlignment="1" applyBorder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4" numFmtId="165" xfId="0" applyAlignment="1" applyBorder="1" applyFill="1" applyFont="1" applyNumberFormat="1">
      <alignment horizontal="center" readingOrder="0"/>
    </xf>
    <xf borderId="1" fillId="2" fontId="5" numFmtId="164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horizontal="center" readingOrder="0"/>
    </xf>
    <xf borderId="1" fillId="2" fontId="4" numFmtId="164" xfId="0" applyAlignment="1" applyBorder="1" applyFill="1" applyFont="1" applyNumberFormat="1">
      <alignment horizontal="center" readingOrder="0"/>
    </xf>
    <xf borderId="1" fillId="0" fontId="6" numFmtId="167" xfId="0" applyAlignment="1" applyBorder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1" fillId="0" fontId="6" numFmtId="164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0" fontId="6" numFmtId="164" xfId="0" applyAlignment="1" applyBorder="1" applyFont="1" applyNumberFormat="1">
      <alignment horizontal="right" readingOrder="0" vertical="bottom"/>
    </xf>
    <xf borderId="1" fillId="0" fontId="6" numFmtId="168" xfId="0" applyAlignment="1" applyBorder="1" applyFont="1" applyNumberFormat="1">
      <alignment horizontal="right" readingOrder="0" vertical="bottom"/>
    </xf>
    <xf borderId="1" fillId="3" fontId="6" numFmtId="169" xfId="0" applyAlignment="1" applyBorder="1" applyFill="1" applyFont="1" applyNumberFormat="1">
      <alignment horizontal="right" vertical="bottom"/>
    </xf>
    <xf borderId="1" fillId="3" fontId="6" numFmtId="165" xfId="0" applyAlignment="1" applyBorder="1" applyFill="1" applyFont="1" applyNumberFormat="1">
      <alignment vertical="bottom"/>
    </xf>
    <xf borderId="1" fillId="3" fontId="6" numFmtId="4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0" fontId="6" numFmtId="165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1" fillId="0" fontId="6" numFmtId="168" xfId="0" applyAlignment="1" applyBorder="1" applyFont="1" applyNumberFormat="1">
      <alignment horizontal="right" vertical="bottom"/>
    </xf>
    <xf borderId="1" fillId="3" fontId="6" numFmtId="165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6" numFmtId="0" xfId="0" applyAlignment="1" applyBorder="1" applyFill="1" applyFon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readingOrder="0"/>
    </xf>
    <xf borderId="1" fillId="0" fontId="6" numFmtId="4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2" fontId="2" numFmtId="0" xfId="0" applyAlignment="1" applyBorder="1" applyFill="1" applyFont="1">
      <alignment readingOrder="0"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3" fontId="6" numFmtId="165" xfId="0" applyAlignment="1" applyBorder="1" applyFill="1" applyFont="1" applyNumberFormat="1">
      <alignment horizontal="right" vertical="bottom"/>
    </xf>
    <xf borderId="1" fillId="2" fontId="2" numFmtId="165" xfId="0" applyAlignment="1" applyBorder="1" applyFill="1" applyFont="1" applyNumberFormat="1">
      <alignment vertical="bottom"/>
    </xf>
    <xf borderId="1" fillId="0" fontId="4" numFmtId="165" xfId="0" applyBorder="1" applyFont="1" applyNumberFormat="1"/>
    <xf borderId="1" fillId="0" fontId="6" numFmtId="165" xfId="0" applyAlignment="1" applyBorder="1" applyFont="1" applyNumberFormat="1">
      <alignment readingOrder="0" vertical="bottom"/>
    </xf>
    <xf borderId="1" fillId="0" fontId="6" numFmtId="165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readingOrder="0"/>
    </xf>
    <xf borderId="2" fillId="0" fontId="4" numFmtId="165" xfId="0" applyBorder="1" applyFont="1" applyNumberFormat="1"/>
    <xf borderId="3" fillId="4" fontId="4" numFmtId="0" xfId="0" applyAlignment="1" applyBorder="1" applyFill="1" applyFont="1">
      <alignment readingOrder="0"/>
    </xf>
    <xf borderId="1" fillId="4" fontId="4" numFmtId="165" xfId="0" applyBorder="1" applyFill="1" applyFont="1" applyNumberFormat="1"/>
    <xf borderId="1" fillId="2" fontId="8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1" xfId="0" applyAlignment="1" applyBorder="1" applyFill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165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3" fontId="6" numFmtId="0" xfId="0" applyAlignment="1" applyBorder="1" applyFill="1" applyFont="1">
      <alignment readingOrder="0" vertical="bottom"/>
    </xf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ill="1" applyFont="1">
      <alignment readingOrder="0"/>
    </xf>
    <xf borderId="1" fillId="0" fontId="6" numFmtId="1" xfId="0" applyAlignment="1" applyBorder="1" applyFont="1" applyNumberFormat="1">
      <alignment horizontal="right" readingOrder="0" vertical="bottom"/>
    </xf>
    <xf borderId="1" fillId="2" fontId="4" numFmtId="0" xfId="0" applyAlignment="1" applyBorder="1" applyFill="1" applyFont="1">
      <alignment horizontal="right" readingOrder="0"/>
    </xf>
    <xf borderId="1" fillId="2" fontId="4" numFmtId="0" xfId="0" applyBorder="1" applyFill="1" applyFont="1"/>
    <xf borderId="1" fillId="2" fontId="4" numFmtId="164" xfId="0" applyBorder="1" applyFill="1" applyFont="1" applyNumberFormat="1"/>
    <xf borderId="1" fillId="2" fontId="4" numFmtId="165" xfId="0" applyBorder="1" applyFill="1" applyFont="1" applyNumberFormat="1"/>
    <xf borderId="1" fillId="2" fontId="4" numFmtId="165" xfId="0" applyBorder="1" applyFill="1" applyFont="1" applyNumberFormat="1"/>
    <xf borderId="1" fillId="0" fontId="1" numFmtId="0" xfId="0" applyBorder="1" applyFont="1"/>
    <xf borderId="1" fillId="2" fontId="6" numFmtId="165" xfId="0" applyAlignment="1" applyBorder="1" applyFill="1" applyFont="1" applyNumberFormat="1">
      <alignment vertical="bottom"/>
    </xf>
    <xf borderId="1" fillId="2" fontId="6" numFmtId="1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2" fontId="2" numFmtId="165" xfId="0" applyAlignment="1" applyBorder="1" applyFill="1" applyFont="1" applyNumberFormat="1">
      <alignment horizontal="right" vertical="bottom"/>
    </xf>
    <xf borderId="1" fillId="0" fontId="6" numFmtId="165" xfId="0" applyAlignment="1" applyBorder="1" applyFont="1" applyNumberFormat="1">
      <alignment shrinkToFit="0" vertical="bottom" wrapText="1"/>
    </xf>
    <xf borderId="1" fillId="0" fontId="2" numFmtId="165" xfId="0" applyAlignment="1" applyBorder="1" applyFont="1" applyNumberFormat="1">
      <alignment shrinkToFit="0" vertical="bottom" wrapText="1"/>
    </xf>
    <xf borderId="1" fillId="2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6" numFmtId="168" xfId="0" applyAlignment="1" applyBorder="1" applyFont="1" applyNumberFormat="1">
      <alignment vertical="bottom"/>
    </xf>
    <xf borderId="1" fillId="0" fontId="6" numFmtId="170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1" fillId="0" fontId="6" numFmtId="170" xfId="0" applyAlignment="1" applyBorder="1" applyFont="1" applyNumberFormat="1">
      <alignment horizontal="right" readingOrder="0" vertical="bottom"/>
    </xf>
    <xf borderId="1" fillId="2" fontId="4" numFmtId="0" xfId="0" applyAlignment="1" applyBorder="1" applyFill="1" applyFont="1">
      <alignment readingOrder="0"/>
    </xf>
    <xf borderId="1" fillId="0" fontId="2" numFmtId="170" xfId="0" applyAlignment="1" applyBorder="1" applyFont="1" applyNumberFormat="1">
      <alignment horizontal="right" vertical="bottom"/>
    </xf>
    <xf borderId="1" fillId="0" fontId="6" numFmtId="170" xfId="0" applyAlignment="1" applyBorder="1" applyFont="1" applyNumberFormat="1">
      <alignment vertical="bottom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TQB1pZU1kGq2k_4UBVzWv8LoPbdl3zTqrL-rPDJGd0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TQB1pZU1kGq2k_4UBVzWv8LoPbdl3zTqrL-rPDJGd0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1" max="1" width="3.75"/>
    <col customWidth="1" min="2" max="2" width="43.0"/>
    <col min="4" max="6" width="12.63" outlineLevel="1"/>
    <col customWidth="1" min="8" max="8" width="23.75"/>
    <col customWidth="1" min="10" max="10" width="74.63"/>
  </cols>
  <sheetData>
    <row r="1">
      <c r="I1" s="1"/>
    </row>
    <row r="2">
      <c r="B2" s="2" t="s">
        <v>2</v>
      </c>
      <c r="C2" s="4"/>
      <c r="D2" s="2"/>
      <c r="E2" s="4"/>
      <c r="F2" s="4"/>
      <c r="G2" s="5"/>
      <c r="I2" s="1"/>
    </row>
    <row r="3">
      <c r="B3" s="6"/>
      <c r="C3" s="7" t="s">
        <v>11</v>
      </c>
      <c r="D3" s="7"/>
      <c r="E3" s="7"/>
      <c r="F3" s="7"/>
      <c r="G3" s="5"/>
      <c r="I3" s="1"/>
    </row>
    <row r="4">
      <c r="B4" s="9" t="s">
        <v>15</v>
      </c>
      <c r="C4" s="11" t="s">
        <v>17</v>
      </c>
      <c r="D4" s="2" t="s">
        <v>5</v>
      </c>
      <c r="E4" s="11" t="s">
        <v>7</v>
      </c>
      <c r="F4" s="11" t="s">
        <v>6</v>
      </c>
      <c r="G4" s="5"/>
      <c r="H4" s="13" t="s">
        <v>21</v>
      </c>
      <c r="I4" s="14" t="s">
        <v>11</v>
      </c>
      <c r="J4" s="13" t="s">
        <v>25</v>
      </c>
    </row>
    <row r="5">
      <c r="B5" s="18" t="s">
        <v>27</v>
      </c>
      <c r="C5" s="30">
        <f t="shared" ref="C5:F5" si="1">sum(C7,C13)</f>
        <v>336888</v>
      </c>
      <c r="D5" s="30">
        <f t="shared" si="1"/>
        <v>71777</v>
      </c>
      <c r="E5" s="30">
        <f t="shared" si="1"/>
        <v>168979</v>
      </c>
      <c r="F5" s="30">
        <f t="shared" si="1"/>
        <v>96132</v>
      </c>
      <c r="G5" s="5"/>
      <c r="H5" s="38" t="s">
        <v>36</v>
      </c>
      <c r="I5" s="40">
        <v>240769.0</v>
      </c>
      <c r="J5" s="42" t="s">
        <v>38</v>
      </c>
    </row>
    <row r="6" outlineLevel="1">
      <c r="B6" s="43"/>
      <c r="C6" s="30"/>
      <c r="D6" s="30"/>
      <c r="E6" s="30"/>
      <c r="F6" s="30"/>
      <c r="G6" s="5"/>
      <c r="H6" s="42" t="s">
        <v>41</v>
      </c>
      <c r="I6" s="6">
        <f>I7-I5</f>
        <v>242026</v>
      </c>
      <c r="J6" s="42" t="s">
        <v>43</v>
      </c>
    </row>
    <row r="7" outlineLevel="1">
      <c r="B7" s="43" t="s">
        <v>45</v>
      </c>
      <c r="C7" s="30">
        <f t="shared" ref="C7:F7" si="2">sum(C8:C12)</f>
        <v>152594</v>
      </c>
      <c r="D7" s="30">
        <f t="shared" si="2"/>
        <v>40494</v>
      </c>
      <c r="E7" s="30">
        <f t="shared" si="2"/>
        <v>81023</v>
      </c>
      <c r="F7" s="30">
        <f t="shared" si="2"/>
        <v>31077</v>
      </c>
      <c r="G7" s="5"/>
      <c r="H7" s="41" t="s">
        <v>48</v>
      </c>
      <c r="I7" s="50">
        <f>C13+C16+C20+C21+C24</f>
        <v>482795</v>
      </c>
      <c r="J7" s="42" t="s">
        <v>49</v>
      </c>
    </row>
    <row r="8" outlineLevel="2">
      <c r="B8" s="51" t="s">
        <v>50</v>
      </c>
      <c r="C8" s="6">
        <f>District!C2</f>
        <v>152594</v>
      </c>
      <c r="D8" s="52">
        <f>District!B5</f>
        <v>40494</v>
      </c>
      <c r="E8" s="6">
        <f>District!B6</f>
        <v>81023</v>
      </c>
      <c r="F8" s="6">
        <f>District!B7</f>
        <v>31077</v>
      </c>
      <c r="G8" s="5"/>
      <c r="H8" s="53" t="s">
        <v>51</v>
      </c>
      <c r="I8" s="54">
        <f>C8</f>
        <v>152594</v>
      </c>
    </row>
    <row r="9" outlineLevel="2">
      <c r="B9" s="51" t="s">
        <v>52</v>
      </c>
      <c r="C9" s="40">
        <v>0.0</v>
      </c>
      <c r="D9" s="52">
        <v>0.0</v>
      </c>
      <c r="E9" s="40">
        <v>0.0</v>
      </c>
      <c r="F9" s="40">
        <v>0.0</v>
      </c>
      <c r="G9" s="5"/>
      <c r="H9" s="55" t="s">
        <v>53</v>
      </c>
      <c r="I9" s="56">
        <f>I8+I7</f>
        <v>635389</v>
      </c>
    </row>
    <row r="10" outlineLevel="2">
      <c r="B10" s="51" t="s">
        <v>54</v>
      </c>
      <c r="C10" s="40">
        <v>0.0</v>
      </c>
      <c r="D10" s="52">
        <v>0.0</v>
      </c>
      <c r="E10" s="40">
        <v>0.0</v>
      </c>
      <c r="F10" s="40">
        <v>0.0</v>
      </c>
      <c r="G10" s="5"/>
      <c r="I10" s="1"/>
    </row>
    <row r="11" outlineLevel="2">
      <c r="B11" s="51" t="s">
        <v>55</v>
      </c>
      <c r="C11" s="40">
        <v>0.0</v>
      </c>
      <c r="D11" s="52">
        <v>0.0</v>
      </c>
      <c r="E11" s="40">
        <v>0.0</v>
      </c>
      <c r="F11" s="40">
        <v>0.0</v>
      </c>
      <c r="G11" s="5"/>
      <c r="I11" s="1"/>
    </row>
    <row r="12" outlineLevel="2">
      <c r="B12" s="51" t="s">
        <v>56</v>
      </c>
      <c r="C12" s="40">
        <v>0.0</v>
      </c>
      <c r="D12" s="52">
        <v>0.0</v>
      </c>
      <c r="E12" s="40">
        <v>0.0</v>
      </c>
      <c r="F12" s="40">
        <v>0.0</v>
      </c>
      <c r="G12" s="5"/>
      <c r="I12" s="1"/>
    </row>
    <row r="13" outlineLevel="1">
      <c r="B13" s="43" t="s">
        <v>57</v>
      </c>
      <c r="C13" s="30">
        <f t="shared" ref="C13:F13" si="3">sum(C14:C15)</f>
        <v>184294</v>
      </c>
      <c r="D13" s="30">
        <f t="shared" si="3"/>
        <v>31283</v>
      </c>
      <c r="E13" s="30">
        <f t="shared" si="3"/>
        <v>87956</v>
      </c>
      <c r="F13" s="30">
        <f t="shared" si="3"/>
        <v>65055</v>
      </c>
      <c r="G13" s="5"/>
      <c r="I13" s="1"/>
    </row>
    <row r="14" outlineLevel="2">
      <c r="B14" s="40" t="s">
        <v>58</v>
      </c>
      <c r="C14" s="6">
        <f>'Offline Bookings'!D32+'Offline Bookings'!E32+'Offline Bookings'!F32</f>
        <v>109494</v>
      </c>
      <c r="D14" s="26">
        <f>'Offline Bookings'!D32</f>
        <v>31283</v>
      </c>
      <c r="E14" s="6">
        <f>'Offline Bookings'!F32</f>
        <v>13156</v>
      </c>
      <c r="F14" s="6">
        <f>'Offline Bookings'!E32</f>
        <v>65055</v>
      </c>
      <c r="G14" s="5"/>
      <c r="I14" s="1"/>
    </row>
    <row r="15" outlineLevel="2">
      <c r="B15" s="40" t="s">
        <v>59</v>
      </c>
      <c r="C15" s="40">
        <f>Memberships!E4</f>
        <v>74800</v>
      </c>
      <c r="D15" s="52">
        <v>0.0</v>
      </c>
      <c r="E15" s="40">
        <f>Memberships!E4</f>
        <v>74800</v>
      </c>
      <c r="F15" s="40">
        <v>0.0</v>
      </c>
      <c r="G15" s="5"/>
      <c r="I15" s="1"/>
    </row>
    <row r="16">
      <c r="B16" s="43" t="s">
        <v>61</v>
      </c>
      <c r="C16" s="30">
        <f t="shared" ref="C16:F16" si="4">sum(C17:C19)</f>
        <v>40133</v>
      </c>
      <c r="D16" s="30">
        <f t="shared" si="4"/>
        <v>11922</v>
      </c>
      <c r="E16" s="30">
        <f t="shared" si="4"/>
        <v>28211</v>
      </c>
      <c r="F16" s="30">
        <f t="shared" si="4"/>
        <v>0</v>
      </c>
      <c r="G16" s="5"/>
      <c r="I16" s="1"/>
    </row>
    <row r="17" outlineLevel="1">
      <c r="B17" s="40" t="s">
        <v>65</v>
      </c>
      <c r="C17" s="40">
        <f>'Offline Bookings'!J32</f>
        <v>2700</v>
      </c>
      <c r="D17" s="52">
        <f>'Offline Bookings'!J32</f>
        <v>2700</v>
      </c>
      <c r="E17" s="40">
        <v>0.0</v>
      </c>
      <c r="F17" s="40">
        <v>0.0</v>
      </c>
      <c r="G17" s="5"/>
      <c r="I17" s="1"/>
    </row>
    <row r="18" outlineLevel="1">
      <c r="B18" s="40" t="s">
        <v>71</v>
      </c>
      <c r="C18" s="6">
        <f>'Social EventsTournament'!E4</f>
        <v>9222</v>
      </c>
      <c r="D18" s="40">
        <f>'Social EventsTournament'!E4</f>
        <v>9222</v>
      </c>
      <c r="E18" s="40">
        <v>0.0</v>
      </c>
      <c r="F18" s="40">
        <v>0.0</v>
      </c>
      <c r="G18" s="5"/>
      <c r="I18" s="1"/>
    </row>
    <row r="19">
      <c r="B19" s="40" t="s">
        <v>73</v>
      </c>
      <c r="C19" s="52">
        <f>'Offline Bookings'!I32</f>
        <v>28211</v>
      </c>
      <c r="D19" s="52">
        <v>0.0</v>
      </c>
      <c r="E19" s="52">
        <f>'Offline Bookings'!I32</f>
        <v>28211</v>
      </c>
      <c r="F19" s="63">
        <v>0.0</v>
      </c>
      <c r="G19" s="5"/>
      <c r="I19" s="1"/>
    </row>
    <row r="20">
      <c r="B20" s="43" t="s">
        <v>74</v>
      </c>
      <c r="C20" s="63">
        <f>Academy!F4</f>
        <v>87320</v>
      </c>
      <c r="D20" s="63">
        <v>0.0</v>
      </c>
      <c r="E20" s="63">
        <f>Academy!F2+Academy!F3</f>
        <v>87320</v>
      </c>
      <c r="F20" s="63">
        <v>0.0</v>
      </c>
      <c r="G20" s="5"/>
      <c r="I20" s="1"/>
    </row>
    <row r="21">
      <c r="B21" s="43" t="s">
        <v>76</v>
      </c>
      <c r="C21" s="30">
        <f t="shared" ref="C21:E21" si="5">sum(C22,C23)</f>
        <v>142005</v>
      </c>
      <c r="D21" s="30">
        <f t="shared" si="5"/>
        <v>0</v>
      </c>
      <c r="E21" s="30">
        <f t="shared" si="5"/>
        <v>142005</v>
      </c>
      <c r="F21" s="30">
        <f>sum(F22)</f>
        <v>0</v>
      </c>
      <c r="G21" s="5"/>
      <c r="I21" s="1"/>
    </row>
    <row r="22" outlineLevel="1">
      <c r="B22" s="40" t="s">
        <v>77</v>
      </c>
      <c r="C22" s="40">
        <f>B2B!G2+B2B!G3+B2B!G4+B2B!G5+B2B!G6+B2B!G7+B2B!G8+B2B!G9</f>
        <v>125890</v>
      </c>
      <c r="D22" s="52">
        <v>0.0</v>
      </c>
      <c r="E22" s="40">
        <f t="shared" ref="E22:E23" si="6">C22</f>
        <v>125890</v>
      </c>
      <c r="F22" s="40">
        <v>0.0</v>
      </c>
      <c r="G22" s="5"/>
      <c r="I22" s="1"/>
    </row>
    <row r="23" outlineLevel="1">
      <c r="B23" s="40" t="s">
        <v>78</v>
      </c>
      <c r="C23" s="40">
        <f>B2B!G11+B2B!G10</f>
        <v>16115</v>
      </c>
      <c r="D23" s="52">
        <v>0.0</v>
      </c>
      <c r="E23" s="40">
        <f t="shared" si="6"/>
        <v>16115</v>
      </c>
      <c r="F23" s="40">
        <v>0.0</v>
      </c>
      <c r="G23" s="5"/>
      <c r="I23" s="1"/>
    </row>
    <row r="24">
      <c r="B24" s="43" t="s">
        <v>79</v>
      </c>
      <c r="C24" s="30">
        <f t="shared" ref="C24:F24" si="7">sum(C25:C27)</f>
        <v>29043</v>
      </c>
      <c r="D24" s="30">
        <f t="shared" si="7"/>
        <v>10200</v>
      </c>
      <c r="E24" s="30">
        <f t="shared" si="7"/>
        <v>0</v>
      </c>
      <c r="F24" s="30">
        <f t="shared" si="7"/>
        <v>3350</v>
      </c>
      <c r="G24" s="5"/>
      <c r="I24" s="1"/>
    </row>
    <row r="25" outlineLevel="1">
      <c r="B25" s="40" t="s">
        <v>80</v>
      </c>
      <c r="C25" s="6">
        <f>'Offline Bookings'!G32+'Offline Bookings'!H32</f>
        <v>13550</v>
      </c>
      <c r="D25" s="52">
        <f>'Offline Bookings'!G32</f>
        <v>10200</v>
      </c>
      <c r="E25" s="40">
        <v>0.0</v>
      </c>
      <c r="F25" s="40">
        <f>'Offline Bookings'!H32</f>
        <v>3350</v>
      </c>
      <c r="G25" s="5"/>
      <c r="I25" s="1"/>
    </row>
    <row r="26" outlineLevel="1">
      <c r="B26" s="40" t="s">
        <v>81</v>
      </c>
      <c r="C26" s="40">
        <v>0.0</v>
      </c>
      <c r="D26" s="52">
        <v>0.0</v>
      </c>
      <c r="E26" s="40">
        <v>0.0</v>
      </c>
      <c r="F26" s="40">
        <v>0.0</v>
      </c>
      <c r="G26" s="5"/>
      <c r="I26" s="1"/>
    </row>
    <row r="27" outlineLevel="1">
      <c r="B27" s="40" t="s">
        <v>82</v>
      </c>
      <c r="C27" s="40">
        <f>'F&amp;B'!B32</f>
        <v>15493</v>
      </c>
      <c r="D27" s="52">
        <v>0.0</v>
      </c>
      <c r="E27" s="40">
        <v>0.0</v>
      </c>
      <c r="F27" s="40">
        <v>0.0</v>
      </c>
      <c r="G27" s="5"/>
      <c r="I27" s="1"/>
    </row>
    <row r="28">
      <c r="B28" s="76" t="s">
        <v>83</v>
      </c>
      <c r="C28" s="63">
        <v>0.0</v>
      </c>
      <c r="D28" s="63">
        <v>0.0</v>
      </c>
      <c r="E28" s="63">
        <v>0.0</v>
      </c>
      <c r="F28" s="63">
        <v>0.0</v>
      </c>
      <c r="G28" s="5"/>
      <c r="I28" s="1"/>
    </row>
    <row r="29">
      <c r="B29" s="46" t="s">
        <v>84</v>
      </c>
      <c r="C29" s="77">
        <f>C5+C16+C20+C21+C24+C28</f>
        <v>635389</v>
      </c>
      <c r="D29" s="77">
        <f t="shared" ref="D29:F29" si="8">D5+D16+D24+D20+D21+D28</f>
        <v>93899</v>
      </c>
      <c r="E29" s="77">
        <f t="shared" si="8"/>
        <v>426515</v>
      </c>
      <c r="F29" s="77">
        <f t="shared" si="8"/>
        <v>99482</v>
      </c>
      <c r="G29" s="5"/>
      <c r="I29" s="1"/>
    </row>
    <row r="30">
      <c r="B30" s="78" t="s">
        <v>85</v>
      </c>
      <c r="C30" s="30">
        <f>C29-(C29/1.18)</f>
        <v>96923.74576</v>
      </c>
      <c r="D30" s="63"/>
      <c r="E30" s="63"/>
      <c r="F30" s="63"/>
      <c r="G30" s="5"/>
      <c r="I30" s="1"/>
    </row>
    <row r="31">
      <c r="B31" s="79" t="s">
        <v>86</v>
      </c>
      <c r="C31" s="30">
        <f>C29-C30</f>
        <v>538465.2542</v>
      </c>
      <c r="D31" s="43"/>
      <c r="E31" s="63"/>
      <c r="F31" s="63"/>
      <c r="G31" s="5"/>
      <c r="I31" s="1"/>
    </row>
    <row r="32">
      <c r="B32" s="78" t="s">
        <v>87</v>
      </c>
      <c r="C32" s="30">
        <f>District!D2+District!E2+'Offline Bookings'!L32+Memberships!F4+'Social EventsTournament'!F4+'Social EventsTournament'!H4+Academy!G4+B2B!H12+B2B!I12+'F&amp;B'!C32+'F&amp;B'!E32</f>
        <v>57511.69</v>
      </c>
      <c r="D32" s="30"/>
      <c r="E32" s="30"/>
      <c r="F32" s="30"/>
      <c r="G32" s="5"/>
      <c r="I32" s="1"/>
    </row>
    <row r="33">
      <c r="B33" s="76" t="s">
        <v>88</v>
      </c>
      <c r="C33" s="30">
        <f>C29-C30-C32</f>
        <v>480953.5642</v>
      </c>
      <c r="D33" s="30"/>
      <c r="E33" s="30"/>
      <c r="F33" s="30"/>
      <c r="G33" s="5"/>
      <c r="I33" s="1"/>
    </row>
    <row r="34">
      <c r="B34" s="40" t="s">
        <v>89</v>
      </c>
      <c r="C34" s="6">
        <f>C33*60%</f>
        <v>288572.1385</v>
      </c>
      <c r="D34" s="40"/>
      <c r="E34" s="6"/>
      <c r="F34" s="6"/>
      <c r="I34" s="1"/>
    </row>
    <row r="35">
      <c r="B35" s="40" t="s">
        <v>90</v>
      </c>
      <c r="C35" s="6">
        <f>C33*40%</f>
        <v>192381.4257</v>
      </c>
      <c r="D35" s="6"/>
      <c r="E35" s="6"/>
      <c r="F35" s="6"/>
      <c r="I35" s="1"/>
    </row>
    <row r="36">
      <c r="B36" s="81" t="s">
        <v>92</v>
      </c>
      <c r="C36" s="82"/>
      <c r="D36" s="27"/>
      <c r="I36" s="1"/>
    </row>
    <row r="37">
      <c r="B37" s="62" t="s">
        <v>94</v>
      </c>
      <c r="C37" s="83"/>
      <c r="D37" s="84"/>
      <c r="I37" s="1"/>
    </row>
    <row r="38">
      <c r="B38" s="31" t="s">
        <v>97</v>
      </c>
      <c r="C38" s="83"/>
      <c r="D38" s="27"/>
      <c r="I38" s="1"/>
    </row>
    <row r="39">
      <c r="B39" s="62" t="s">
        <v>98</v>
      </c>
      <c r="C39" s="85">
        <v>0.0</v>
      </c>
      <c r="D39" s="27"/>
      <c r="I39" s="1"/>
    </row>
    <row r="40">
      <c r="B40" s="62" t="s">
        <v>99</v>
      </c>
      <c r="C40" s="83"/>
      <c r="D40" s="27"/>
      <c r="I40" s="1"/>
    </row>
    <row r="41">
      <c r="B41" s="62" t="s">
        <v>100</v>
      </c>
      <c r="C41" s="83"/>
      <c r="D41" s="27"/>
      <c r="I41" s="1"/>
    </row>
    <row r="42">
      <c r="B42" s="31" t="s">
        <v>101</v>
      </c>
      <c r="C42" s="52"/>
      <c r="D42" s="27"/>
      <c r="I42" s="1"/>
    </row>
    <row r="43">
      <c r="B43" s="81" t="s">
        <v>102</v>
      </c>
      <c r="C43" s="87">
        <f>sum(C37:C42)</f>
        <v>0</v>
      </c>
      <c r="D43" s="27"/>
      <c r="I43" s="1"/>
    </row>
    <row r="44">
      <c r="B44" s="81" t="s">
        <v>104</v>
      </c>
      <c r="C44" s="30"/>
      <c r="D44" s="27"/>
      <c r="I44" s="1"/>
    </row>
    <row r="45">
      <c r="B45" s="88" t="s">
        <v>105</v>
      </c>
      <c r="C45" s="83">
        <f>C44*40%</f>
        <v>0</v>
      </c>
      <c r="D45" s="27"/>
      <c r="I45" s="1"/>
    </row>
    <row r="46">
      <c r="B46" s="88" t="s">
        <v>106</v>
      </c>
      <c r="C46" s="83">
        <f>C44*60%</f>
        <v>0</v>
      </c>
      <c r="D46" s="27"/>
      <c r="I46" s="1"/>
    </row>
    <row r="47">
      <c r="I47" s="1"/>
    </row>
    <row r="48">
      <c r="I48" s="1"/>
    </row>
    <row r="49">
      <c r="I49" s="1"/>
    </row>
    <row r="50">
      <c r="I50" s="1"/>
    </row>
    <row r="51">
      <c r="I51" s="1"/>
    </row>
    <row r="52">
      <c r="I52" s="1"/>
    </row>
    <row r="53">
      <c r="I53" s="1"/>
    </row>
    <row r="54">
      <c r="I54" s="1"/>
    </row>
    <row r="55">
      <c r="I55" s="1"/>
    </row>
    <row r="56">
      <c r="I56" s="1"/>
    </row>
    <row r="57">
      <c r="I57" s="1"/>
    </row>
    <row r="58">
      <c r="I58" s="1"/>
    </row>
    <row r="59">
      <c r="I59" s="1"/>
    </row>
    <row r="60">
      <c r="I60" s="1"/>
    </row>
    <row r="61">
      <c r="I61" s="1"/>
    </row>
    <row r="62">
      <c r="I62" s="1"/>
    </row>
    <row r="63">
      <c r="I63" s="1"/>
    </row>
    <row r="64">
      <c r="I64" s="1"/>
    </row>
    <row r="65">
      <c r="I65" s="1"/>
    </row>
    <row r="66">
      <c r="I66" s="1"/>
    </row>
    <row r="67">
      <c r="I67" s="1"/>
    </row>
    <row r="68">
      <c r="I68" s="1"/>
    </row>
    <row r="69">
      <c r="I69" s="1"/>
    </row>
    <row r="70">
      <c r="I70" s="1"/>
    </row>
    <row r="71">
      <c r="I71" s="1"/>
    </row>
    <row r="72">
      <c r="I72" s="1"/>
    </row>
    <row r="73">
      <c r="I73" s="1"/>
    </row>
    <row r="74">
      <c r="I74" s="1"/>
    </row>
    <row r="75">
      <c r="I75" s="1"/>
    </row>
    <row r="76">
      <c r="I76" s="1"/>
    </row>
    <row r="77">
      <c r="I77" s="1"/>
    </row>
    <row r="78">
      <c r="I78" s="1"/>
    </row>
    <row r="79">
      <c r="I79" s="1"/>
    </row>
    <row r="80">
      <c r="I80" s="1"/>
    </row>
    <row r="81">
      <c r="I81" s="1"/>
    </row>
    <row r="82">
      <c r="I82" s="1"/>
    </row>
    <row r="83">
      <c r="I83" s="1"/>
    </row>
    <row r="84">
      <c r="I84" s="1"/>
    </row>
    <row r="85">
      <c r="I85" s="1"/>
    </row>
    <row r="86">
      <c r="I86" s="1"/>
    </row>
    <row r="87">
      <c r="I87" s="1"/>
    </row>
    <row r="88">
      <c r="I88" s="1"/>
    </row>
    <row r="89">
      <c r="I89" s="1"/>
    </row>
    <row r="90">
      <c r="I90" s="1"/>
    </row>
    <row r="91">
      <c r="I91" s="1"/>
    </row>
    <row r="92">
      <c r="I92" s="1"/>
    </row>
    <row r="93">
      <c r="I93" s="1"/>
    </row>
    <row r="94">
      <c r="I94" s="1"/>
    </row>
    <row r="95">
      <c r="I95" s="1"/>
    </row>
    <row r="96">
      <c r="I96" s="1"/>
    </row>
    <row r="97">
      <c r="I97" s="1"/>
    </row>
    <row r="98">
      <c r="I98" s="1"/>
    </row>
    <row r="99">
      <c r="I99" s="1"/>
    </row>
    <row r="100">
      <c r="I100" s="1"/>
    </row>
    <row r="101">
      <c r="I101" s="1"/>
    </row>
    <row r="102">
      <c r="I102" s="1"/>
    </row>
    <row r="103">
      <c r="I103" s="1"/>
    </row>
    <row r="104">
      <c r="I104" s="1"/>
    </row>
    <row r="105">
      <c r="I105" s="1"/>
    </row>
    <row r="106">
      <c r="I106" s="1"/>
    </row>
    <row r="107">
      <c r="I107" s="1"/>
    </row>
    <row r="108">
      <c r="I108" s="1"/>
    </row>
    <row r="109">
      <c r="I109" s="1"/>
    </row>
    <row r="110">
      <c r="I110" s="1"/>
    </row>
    <row r="111">
      <c r="I111" s="1"/>
    </row>
    <row r="112">
      <c r="I112" s="1"/>
    </row>
    <row r="113">
      <c r="I113" s="1"/>
    </row>
    <row r="114">
      <c r="I114" s="1"/>
    </row>
    <row r="115">
      <c r="I115" s="1"/>
    </row>
    <row r="116">
      <c r="I116" s="1"/>
    </row>
    <row r="117">
      <c r="I117" s="1"/>
    </row>
    <row r="118">
      <c r="I118" s="1"/>
    </row>
    <row r="119">
      <c r="I119" s="1"/>
    </row>
    <row r="120">
      <c r="I120" s="1"/>
    </row>
    <row r="121">
      <c r="I121" s="1"/>
    </row>
    <row r="122">
      <c r="I122" s="1"/>
    </row>
    <row r="123">
      <c r="I123" s="1"/>
    </row>
    <row r="124">
      <c r="I124" s="1"/>
    </row>
    <row r="125">
      <c r="I125" s="1"/>
    </row>
    <row r="126">
      <c r="I126" s="1"/>
    </row>
    <row r="127">
      <c r="I127" s="1"/>
    </row>
    <row r="128">
      <c r="I128" s="1"/>
    </row>
    <row r="129">
      <c r="I129" s="1"/>
    </row>
    <row r="130">
      <c r="I130" s="1"/>
    </row>
    <row r="131">
      <c r="I131" s="1"/>
    </row>
    <row r="132">
      <c r="I132" s="1"/>
    </row>
    <row r="133">
      <c r="I133" s="1"/>
    </row>
    <row r="134">
      <c r="I134" s="1"/>
    </row>
    <row r="135">
      <c r="I135" s="1"/>
    </row>
    <row r="136">
      <c r="I136" s="1"/>
    </row>
    <row r="137">
      <c r="I137" s="1"/>
    </row>
    <row r="138">
      <c r="I138" s="1"/>
    </row>
    <row r="139">
      <c r="I139" s="1"/>
    </row>
    <row r="140">
      <c r="I140" s="1"/>
    </row>
    <row r="141">
      <c r="I141" s="1"/>
    </row>
    <row r="142">
      <c r="I142" s="1"/>
    </row>
    <row r="143">
      <c r="I143" s="1"/>
    </row>
    <row r="144">
      <c r="I144" s="1"/>
    </row>
    <row r="145">
      <c r="I145" s="1"/>
    </row>
    <row r="146">
      <c r="I146" s="1"/>
    </row>
    <row r="147">
      <c r="I147" s="1"/>
    </row>
    <row r="148">
      <c r="I148" s="1"/>
    </row>
    <row r="149">
      <c r="I149" s="1"/>
    </row>
    <row r="150">
      <c r="I150" s="1"/>
    </row>
    <row r="151">
      <c r="I151" s="1"/>
    </row>
    <row r="152">
      <c r="I152" s="1"/>
    </row>
    <row r="153">
      <c r="I153" s="1"/>
    </row>
    <row r="154">
      <c r="I154" s="1"/>
    </row>
    <row r="155">
      <c r="I155" s="1"/>
    </row>
    <row r="156">
      <c r="I156" s="1"/>
    </row>
    <row r="157">
      <c r="I157" s="1"/>
    </row>
    <row r="158">
      <c r="I158" s="1"/>
    </row>
    <row r="159">
      <c r="I159" s="1"/>
    </row>
    <row r="160">
      <c r="I160" s="1"/>
    </row>
    <row r="161">
      <c r="I161" s="1"/>
    </row>
    <row r="162">
      <c r="I162" s="1"/>
    </row>
    <row r="163">
      <c r="I163" s="1"/>
    </row>
    <row r="164">
      <c r="I164" s="1"/>
    </row>
    <row r="165">
      <c r="I165" s="1"/>
    </row>
    <row r="166">
      <c r="I166" s="1"/>
    </row>
    <row r="167">
      <c r="I167" s="1"/>
    </row>
    <row r="168">
      <c r="I168" s="1"/>
    </row>
    <row r="169">
      <c r="I169" s="1"/>
    </row>
    <row r="170">
      <c r="I170" s="1"/>
    </row>
    <row r="171">
      <c r="I171" s="1"/>
    </row>
    <row r="172">
      <c r="I172" s="1"/>
    </row>
    <row r="173">
      <c r="I173" s="1"/>
    </row>
    <row r="174">
      <c r="I174" s="1"/>
    </row>
    <row r="175">
      <c r="I175" s="1"/>
    </row>
    <row r="176">
      <c r="I176" s="1"/>
    </row>
    <row r="177">
      <c r="I177" s="1"/>
    </row>
    <row r="178">
      <c r="I178" s="1"/>
    </row>
    <row r="179">
      <c r="I179" s="1"/>
    </row>
    <row r="180">
      <c r="I180" s="1"/>
    </row>
    <row r="181">
      <c r="I181" s="1"/>
    </row>
    <row r="182">
      <c r="I182" s="1"/>
    </row>
    <row r="183">
      <c r="I183" s="1"/>
    </row>
    <row r="184">
      <c r="I184" s="1"/>
    </row>
    <row r="185">
      <c r="I185" s="1"/>
    </row>
    <row r="186">
      <c r="I186" s="1"/>
    </row>
    <row r="187">
      <c r="I187" s="1"/>
    </row>
    <row r="188">
      <c r="I188" s="1"/>
    </row>
    <row r="189">
      <c r="I189" s="1"/>
    </row>
    <row r="190">
      <c r="I190" s="1"/>
    </row>
    <row r="191">
      <c r="I191" s="1"/>
    </row>
    <row r="192">
      <c r="I192" s="1"/>
    </row>
    <row r="193">
      <c r="I193" s="1"/>
    </row>
    <row r="194">
      <c r="I194" s="1"/>
    </row>
    <row r="195">
      <c r="I195" s="1"/>
    </row>
    <row r="196">
      <c r="I196" s="1"/>
    </row>
    <row r="197">
      <c r="I197" s="1"/>
    </row>
    <row r="198">
      <c r="I198" s="1"/>
    </row>
    <row r="199">
      <c r="I199" s="1"/>
    </row>
    <row r="200">
      <c r="I200" s="1"/>
    </row>
    <row r="201">
      <c r="I201" s="1"/>
    </row>
    <row r="202">
      <c r="I202" s="1"/>
    </row>
    <row r="203">
      <c r="I203" s="1"/>
    </row>
    <row r="204">
      <c r="I204" s="1"/>
    </row>
    <row r="205">
      <c r="I205" s="1"/>
    </row>
    <row r="206">
      <c r="I206" s="1"/>
    </row>
    <row r="207">
      <c r="I207" s="1"/>
    </row>
    <row r="208">
      <c r="I208" s="1"/>
    </row>
    <row r="209">
      <c r="I209" s="1"/>
    </row>
    <row r="210">
      <c r="I210" s="1"/>
    </row>
    <row r="211">
      <c r="I211" s="1"/>
    </row>
    <row r="212">
      <c r="I212" s="1"/>
    </row>
    <row r="213">
      <c r="I213" s="1"/>
    </row>
    <row r="214">
      <c r="I214" s="1"/>
    </row>
    <row r="215">
      <c r="I215" s="1"/>
    </row>
    <row r="216">
      <c r="I216" s="1"/>
    </row>
    <row r="217">
      <c r="I217" s="1"/>
    </row>
    <row r="218">
      <c r="I218" s="1"/>
    </row>
    <row r="219">
      <c r="I219" s="1"/>
    </row>
    <row r="220">
      <c r="I220" s="1"/>
    </row>
    <row r="221">
      <c r="I221" s="1"/>
    </row>
    <row r="222">
      <c r="I222" s="1"/>
    </row>
    <row r="223">
      <c r="I223" s="1"/>
    </row>
    <row r="224">
      <c r="I224" s="1"/>
    </row>
    <row r="225">
      <c r="I225" s="1"/>
    </row>
    <row r="226">
      <c r="I226" s="1"/>
    </row>
    <row r="227">
      <c r="I227" s="1"/>
    </row>
    <row r="228">
      <c r="I228" s="1"/>
    </row>
    <row r="229">
      <c r="I229" s="1"/>
    </row>
    <row r="230">
      <c r="I230" s="1"/>
    </row>
    <row r="231">
      <c r="I231" s="1"/>
    </row>
    <row r="232">
      <c r="I232" s="1"/>
    </row>
    <row r="233">
      <c r="I233" s="1"/>
    </row>
    <row r="234">
      <c r="I234" s="1"/>
    </row>
    <row r="235">
      <c r="I235" s="1"/>
    </row>
    <row r="236">
      <c r="I236" s="1"/>
    </row>
    <row r="237">
      <c r="I237" s="1"/>
    </row>
    <row r="238">
      <c r="I238" s="1"/>
    </row>
    <row r="239">
      <c r="I239" s="1"/>
    </row>
    <row r="240">
      <c r="I240" s="1"/>
    </row>
    <row r="241">
      <c r="I241" s="1"/>
    </row>
    <row r="242">
      <c r="I242" s="1"/>
    </row>
    <row r="243">
      <c r="I243" s="1"/>
    </row>
    <row r="244">
      <c r="I244" s="1"/>
    </row>
    <row r="245">
      <c r="I245" s="1"/>
    </row>
    <row r="246">
      <c r="I246" s="1"/>
    </row>
    <row r="247">
      <c r="I247" s="1"/>
    </row>
    <row r="248">
      <c r="I248" s="1"/>
    </row>
    <row r="249">
      <c r="I249" s="1"/>
    </row>
    <row r="250">
      <c r="I250" s="1"/>
    </row>
    <row r="251">
      <c r="I251" s="1"/>
    </row>
    <row r="252">
      <c r="I252" s="1"/>
    </row>
    <row r="253">
      <c r="I253" s="1"/>
    </row>
    <row r="254">
      <c r="I254" s="1"/>
    </row>
    <row r="255">
      <c r="I255" s="1"/>
    </row>
    <row r="256">
      <c r="I256" s="1"/>
    </row>
    <row r="257">
      <c r="I257" s="1"/>
    </row>
    <row r="258">
      <c r="I258" s="1"/>
    </row>
    <row r="259">
      <c r="I259" s="1"/>
    </row>
    <row r="260">
      <c r="I260" s="1"/>
    </row>
    <row r="261">
      <c r="I261" s="1"/>
    </row>
    <row r="262">
      <c r="I262" s="1"/>
    </row>
    <row r="263">
      <c r="I263" s="1"/>
    </row>
    <row r="264">
      <c r="I264" s="1"/>
    </row>
    <row r="265">
      <c r="I265" s="1"/>
    </row>
    <row r="266">
      <c r="I266" s="1"/>
    </row>
    <row r="267">
      <c r="I267" s="1"/>
    </row>
    <row r="268">
      <c r="I268" s="1"/>
    </row>
    <row r="269">
      <c r="I269" s="1"/>
    </row>
    <row r="270">
      <c r="I270" s="1"/>
    </row>
    <row r="271">
      <c r="I271" s="1"/>
    </row>
    <row r="272">
      <c r="I272" s="1"/>
    </row>
    <row r="273">
      <c r="I273" s="1"/>
    </row>
    <row r="274">
      <c r="I274" s="1"/>
    </row>
    <row r="275">
      <c r="I275" s="1"/>
    </row>
    <row r="276">
      <c r="I276" s="1"/>
    </row>
    <row r="277">
      <c r="I277" s="1"/>
    </row>
    <row r="278">
      <c r="I278" s="1"/>
    </row>
    <row r="279">
      <c r="I279" s="1"/>
    </row>
    <row r="280">
      <c r="I280" s="1"/>
    </row>
    <row r="281">
      <c r="I281" s="1"/>
    </row>
    <row r="282">
      <c r="I282" s="1"/>
    </row>
    <row r="283">
      <c r="I283" s="1"/>
    </row>
    <row r="284">
      <c r="I284" s="1"/>
    </row>
    <row r="285">
      <c r="I285" s="1"/>
    </row>
    <row r="286">
      <c r="I286" s="1"/>
    </row>
    <row r="287">
      <c r="I287" s="1"/>
    </row>
    <row r="288">
      <c r="I288" s="1"/>
    </row>
    <row r="289">
      <c r="I289" s="1"/>
    </row>
    <row r="290">
      <c r="I290" s="1"/>
    </row>
    <row r="291">
      <c r="I291" s="1"/>
    </row>
    <row r="292">
      <c r="I292" s="1"/>
    </row>
    <row r="293">
      <c r="I293" s="1"/>
    </row>
    <row r="294">
      <c r="I294" s="1"/>
    </row>
    <row r="295">
      <c r="I295" s="1"/>
    </row>
    <row r="296">
      <c r="I296" s="1"/>
    </row>
    <row r="297">
      <c r="I297" s="1"/>
    </row>
    <row r="298">
      <c r="I298" s="1"/>
    </row>
    <row r="299">
      <c r="I299" s="1"/>
    </row>
    <row r="300">
      <c r="I300" s="1"/>
    </row>
    <row r="301">
      <c r="I301" s="1"/>
    </row>
    <row r="302">
      <c r="I302" s="1"/>
    </row>
    <row r="303">
      <c r="I303" s="1"/>
    </row>
    <row r="304">
      <c r="I304" s="1"/>
    </row>
    <row r="305">
      <c r="I305" s="1"/>
    </row>
    <row r="306">
      <c r="I306" s="1"/>
    </row>
    <row r="307">
      <c r="I307" s="1"/>
    </row>
    <row r="308">
      <c r="I308" s="1"/>
    </row>
    <row r="309">
      <c r="I309" s="1"/>
    </row>
    <row r="310">
      <c r="I310" s="1"/>
    </row>
    <row r="311">
      <c r="I311" s="1"/>
    </row>
    <row r="312">
      <c r="I312" s="1"/>
    </row>
    <row r="313">
      <c r="I313" s="1"/>
    </row>
    <row r="314">
      <c r="I314" s="1"/>
    </row>
    <row r="315">
      <c r="I315" s="1"/>
    </row>
    <row r="316">
      <c r="I316" s="1"/>
    </row>
    <row r="317">
      <c r="I317" s="1"/>
    </row>
    <row r="318">
      <c r="I318" s="1"/>
    </row>
    <row r="319">
      <c r="I319" s="1"/>
    </row>
    <row r="320">
      <c r="I320" s="1"/>
    </row>
    <row r="321">
      <c r="I321" s="1"/>
    </row>
    <row r="322">
      <c r="I322" s="1"/>
    </row>
    <row r="323">
      <c r="I323" s="1"/>
    </row>
    <row r="324">
      <c r="I324" s="1"/>
    </row>
    <row r="325">
      <c r="I325" s="1"/>
    </row>
    <row r="326">
      <c r="I326" s="1"/>
    </row>
    <row r="327">
      <c r="I327" s="1"/>
    </row>
    <row r="328">
      <c r="I328" s="1"/>
    </row>
    <row r="329">
      <c r="I329" s="1"/>
    </row>
    <row r="330">
      <c r="I330" s="1"/>
    </row>
    <row r="331">
      <c r="I331" s="1"/>
    </row>
    <row r="332">
      <c r="I332" s="1"/>
    </row>
    <row r="333">
      <c r="I333" s="1"/>
    </row>
    <row r="334">
      <c r="I334" s="1"/>
    </row>
    <row r="335">
      <c r="I335" s="1"/>
    </row>
    <row r="336">
      <c r="I336" s="1"/>
    </row>
    <row r="337">
      <c r="I337" s="1"/>
    </row>
    <row r="338">
      <c r="I338" s="1"/>
    </row>
    <row r="339">
      <c r="I339" s="1"/>
    </row>
    <row r="340">
      <c r="I340" s="1"/>
    </row>
    <row r="341">
      <c r="I341" s="1"/>
    </row>
    <row r="342">
      <c r="I342" s="1"/>
    </row>
    <row r="343">
      <c r="I343" s="1"/>
    </row>
    <row r="344">
      <c r="I344" s="1"/>
    </row>
    <row r="345">
      <c r="I345" s="1"/>
    </row>
    <row r="346">
      <c r="I346" s="1"/>
    </row>
    <row r="347">
      <c r="I347" s="1"/>
    </row>
    <row r="348">
      <c r="I348" s="1"/>
    </row>
    <row r="349">
      <c r="I349" s="1"/>
    </row>
    <row r="350">
      <c r="I350" s="1"/>
    </row>
    <row r="351">
      <c r="I351" s="1"/>
    </row>
    <row r="352">
      <c r="I352" s="1"/>
    </row>
    <row r="353">
      <c r="I353" s="1"/>
    </row>
    <row r="354">
      <c r="I354" s="1"/>
    </row>
    <row r="355">
      <c r="I355" s="1"/>
    </row>
    <row r="356">
      <c r="I356" s="1"/>
    </row>
    <row r="357">
      <c r="I357" s="1"/>
    </row>
    <row r="358">
      <c r="I358" s="1"/>
    </row>
    <row r="359">
      <c r="I359" s="1"/>
    </row>
    <row r="360">
      <c r="I360" s="1"/>
    </row>
    <row r="361">
      <c r="I361" s="1"/>
    </row>
    <row r="362">
      <c r="I362" s="1"/>
    </row>
    <row r="363">
      <c r="I363" s="1"/>
    </row>
    <row r="364">
      <c r="I364" s="1"/>
    </row>
    <row r="365">
      <c r="I365" s="1"/>
    </row>
    <row r="366">
      <c r="I366" s="1"/>
    </row>
    <row r="367">
      <c r="I367" s="1"/>
    </row>
    <row r="368">
      <c r="I368" s="1"/>
    </row>
    <row r="369">
      <c r="I369" s="1"/>
    </row>
    <row r="370">
      <c r="I370" s="1"/>
    </row>
    <row r="371">
      <c r="I371" s="1"/>
    </row>
    <row r="372">
      <c r="I372" s="1"/>
    </row>
    <row r="373">
      <c r="I373" s="1"/>
    </row>
    <row r="374">
      <c r="I374" s="1"/>
    </row>
    <row r="375">
      <c r="I375" s="1"/>
    </row>
    <row r="376">
      <c r="I376" s="1"/>
    </row>
    <row r="377">
      <c r="I377" s="1"/>
    </row>
    <row r="378">
      <c r="I378" s="1"/>
    </row>
    <row r="379">
      <c r="I379" s="1"/>
    </row>
    <row r="380">
      <c r="I380" s="1"/>
    </row>
    <row r="381">
      <c r="I381" s="1"/>
    </row>
    <row r="382">
      <c r="I382" s="1"/>
    </row>
    <row r="383">
      <c r="I383" s="1"/>
    </row>
    <row r="384">
      <c r="I384" s="1"/>
    </row>
    <row r="385">
      <c r="I385" s="1"/>
    </row>
    <row r="386">
      <c r="I386" s="1"/>
    </row>
    <row r="387">
      <c r="I387" s="1"/>
    </row>
    <row r="388">
      <c r="I388" s="1"/>
    </row>
    <row r="389">
      <c r="I389" s="1"/>
    </row>
    <row r="390">
      <c r="I390" s="1"/>
    </row>
    <row r="391">
      <c r="I391" s="1"/>
    </row>
    <row r="392">
      <c r="I392" s="1"/>
    </row>
    <row r="393">
      <c r="I393" s="1"/>
    </row>
    <row r="394">
      <c r="I394" s="1"/>
    </row>
    <row r="395">
      <c r="I395" s="1"/>
    </row>
    <row r="396">
      <c r="I396" s="1"/>
    </row>
    <row r="397">
      <c r="I397" s="1"/>
    </row>
    <row r="398">
      <c r="I398" s="1"/>
    </row>
    <row r="399">
      <c r="I399" s="1"/>
    </row>
    <row r="400">
      <c r="I400" s="1"/>
    </row>
    <row r="401">
      <c r="I401" s="1"/>
    </row>
    <row r="402">
      <c r="I402" s="1"/>
    </row>
    <row r="403">
      <c r="I403" s="1"/>
    </row>
    <row r="404">
      <c r="I404" s="1"/>
    </row>
    <row r="405">
      <c r="I405" s="1"/>
    </row>
    <row r="406">
      <c r="I406" s="1"/>
    </row>
    <row r="407">
      <c r="I407" s="1"/>
    </row>
    <row r="408">
      <c r="I408" s="1"/>
    </row>
    <row r="409">
      <c r="I409" s="1"/>
    </row>
    <row r="410">
      <c r="I410" s="1"/>
    </row>
    <row r="411">
      <c r="I411" s="1"/>
    </row>
    <row r="412">
      <c r="I412" s="1"/>
    </row>
    <row r="413">
      <c r="I413" s="1"/>
    </row>
    <row r="414">
      <c r="I414" s="1"/>
    </row>
    <row r="415">
      <c r="I415" s="1"/>
    </row>
    <row r="416">
      <c r="I416" s="1"/>
    </row>
    <row r="417">
      <c r="I417" s="1"/>
    </row>
    <row r="418">
      <c r="I418" s="1"/>
    </row>
    <row r="419">
      <c r="I419" s="1"/>
    </row>
    <row r="420">
      <c r="I420" s="1"/>
    </row>
    <row r="421">
      <c r="I421" s="1"/>
    </row>
    <row r="422">
      <c r="I422" s="1"/>
    </row>
    <row r="423">
      <c r="I423" s="1"/>
    </row>
    <row r="424">
      <c r="I424" s="1"/>
    </row>
    <row r="425">
      <c r="I425" s="1"/>
    </row>
    <row r="426">
      <c r="I426" s="1"/>
    </row>
    <row r="427">
      <c r="I427" s="1"/>
    </row>
    <row r="428">
      <c r="I428" s="1"/>
    </row>
    <row r="429">
      <c r="I429" s="1"/>
    </row>
    <row r="430">
      <c r="I430" s="1"/>
    </row>
    <row r="431">
      <c r="I431" s="1"/>
    </row>
    <row r="432">
      <c r="I432" s="1"/>
    </row>
    <row r="433">
      <c r="I433" s="1"/>
    </row>
    <row r="434">
      <c r="I434" s="1"/>
    </row>
    <row r="435">
      <c r="I435" s="1"/>
    </row>
    <row r="436">
      <c r="I436" s="1"/>
    </row>
    <row r="437">
      <c r="I437" s="1"/>
    </row>
    <row r="438">
      <c r="I438" s="1"/>
    </row>
    <row r="439">
      <c r="I439" s="1"/>
    </row>
    <row r="440">
      <c r="I440" s="1"/>
    </row>
    <row r="441">
      <c r="I441" s="1"/>
    </row>
    <row r="442">
      <c r="I442" s="1"/>
    </row>
    <row r="443">
      <c r="I443" s="1"/>
    </row>
    <row r="444">
      <c r="I444" s="1"/>
    </row>
    <row r="445">
      <c r="I445" s="1"/>
    </row>
    <row r="446">
      <c r="I446" s="1"/>
    </row>
    <row r="447">
      <c r="I447" s="1"/>
    </row>
    <row r="448">
      <c r="I448" s="1"/>
    </row>
    <row r="449">
      <c r="I449" s="1"/>
    </row>
    <row r="450">
      <c r="I450" s="1"/>
    </row>
    <row r="451">
      <c r="I451" s="1"/>
    </row>
    <row r="452">
      <c r="I452" s="1"/>
    </row>
    <row r="453">
      <c r="I453" s="1"/>
    </row>
    <row r="454">
      <c r="I454" s="1"/>
    </row>
    <row r="455">
      <c r="I455" s="1"/>
    </row>
    <row r="456">
      <c r="I456" s="1"/>
    </row>
    <row r="457">
      <c r="I457" s="1"/>
    </row>
    <row r="458">
      <c r="I458" s="1"/>
    </row>
    <row r="459">
      <c r="I459" s="1"/>
    </row>
    <row r="460">
      <c r="I460" s="1"/>
    </row>
    <row r="461">
      <c r="I461" s="1"/>
    </row>
    <row r="462">
      <c r="I462" s="1"/>
    </row>
    <row r="463">
      <c r="I463" s="1"/>
    </row>
    <row r="464">
      <c r="I464" s="1"/>
    </row>
    <row r="465">
      <c r="I465" s="1"/>
    </row>
    <row r="466">
      <c r="I466" s="1"/>
    </row>
    <row r="467">
      <c r="I467" s="1"/>
    </row>
    <row r="468">
      <c r="I468" s="1"/>
    </row>
    <row r="469">
      <c r="I469" s="1"/>
    </row>
    <row r="470">
      <c r="I470" s="1"/>
    </row>
    <row r="471">
      <c r="I471" s="1"/>
    </row>
    <row r="472">
      <c r="I472" s="1"/>
    </row>
    <row r="473">
      <c r="I473" s="1"/>
    </row>
    <row r="474">
      <c r="I474" s="1"/>
    </row>
    <row r="475">
      <c r="I475" s="1"/>
    </row>
    <row r="476">
      <c r="I476" s="1"/>
    </row>
    <row r="477">
      <c r="I477" s="1"/>
    </row>
    <row r="478">
      <c r="I478" s="1"/>
    </row>
    <row r="479">
      <c r="I479" s="1"/>
    </row>
    <row r="480">
      <c r="I480" s="1"/>
    </row>
    <row r="481">
      <c r="I481" s="1"/>
    </row>
    <row r="482">
      <c r="I482" s="1"/>
    </row>
    <row r="483">
      <c r="I483" s="1"/>
    </row>
    <row r="484">
      <c r="I484" s="1"/>
    </row>
    <row r="485">
      <c r="I485" s="1"/>
    </row>
    <row r="486">
      <c r="I486" s="1"/>
    </row>
    <row r="487">
      <c r="I487" s="1"/>
    </row>
    <row r="488">
      <c r="I488" s="1"/>
    </row>
    <row r="489">
      <c r="I489" s="1"/>
    </row>
    <row r="490">
      <c r="I490" s="1"/>
    </row>
    <row r="491">
      <c r="I491" s="1"/>
    </row>
    <row r="492">
      <c r="I492" s="1"/>
    </row>
    <row r="493">
      <c r="I493" s="1"/>
    </row>
    <row r="494">
      <c r="I494" s="1"/>
    </row>
    <row r="495">
      <c r="I495" s="1"/>
    </row>
    <row r="496">
      <c r="I496" s="1"/>
    </row>
    <row r="497">
      <c r="I497" s="1"/>
    </row>
    <row r="498">
      <c r="I498" s="1"/>
    </row>
    <row r="499">
      <c r="I499" s="1"/>
    </row>
    <row r="500">
      <c r="I500" s="1"/>
    </row>
    <row r="501">
      <c r="I501" s="1"/>
    </row>
    <row r="502">
      <c r="I502" s="1"/>
    </row>
    <row r="503">
      <c r="I503" s="1"/>
    </row>
    <row r="504">
      <c r="I504" s="1"/>
    </row>
    <row r="505">
      <c r="I505" s="1"/>
    </row>
    <row r="506">
      <c r="I506" s="1"/>
    </row>
    <row r="507">
      <c r="I507" s="1"/>
    </row>
    <row r="508">
      <c r="I508" s="1"/>
    </row>
    <row r="509">
      <c r="I509" s="1"/>
    </row>
    <row r="510">
      <c r="I510" s="1"/>
    </row>
    <row r="511">
      <c r="I511" s="1"/>
    </row>
    <row r="512">
      <c r="I512" s="1"/>
    </row>
    <row r="513">
      <c r="I513" s="1"/>
    </row>
    <row r="514">
      <c r="I514" s="1"/>
    </row>
    <row r="515">
      <c r="I515" s="1"/>
    </row>
    <row r="516">
      <c r="I516" s="1"/>
    </row>
    <row r="517">
      <c r="I517" s="1"/>
    </row>
    <row r="518">
      <c r="I518" s="1"/>
    </row>
    <row r="519">
      <c r="I519" s="1"/>
    </row>
    <row r="520">
      <c r="I520" s="1"/>
    </row>
    <row r="521">
      <c r="I521" s="1"/>
    </row>
    <row r="522">
      <c r="I522" s="1"/>
    </row>
    <row r="523">
      <c r="I523" s="1"/>
    </row>
    <row r="524">
      <c r="I524" s="1"/>
    </row>
    <row r="525">
      <c r="I525" s="1"/>
    </row>
    <row r="526">
      <c r="I526" s="1"/>
    </row>
    <row r="527">
      <c r="I527" s="1"/>
    </row>
    <row r="528">
      <c r="I528" s="1"/>
    </row>
    <row r="529">
      <c r="I529" s="1"/>
    </row>
    <row r="530">
      <c r="I530" s="1"/>
    </row>
    <row r="531">
      <c r="I531" s="1"/>
    </row>
    <row r="532">
      <c r="I532" s="1"/>
    </row>
    <row r="533">
      <c r="I533" s="1"/>
    </row>
    <row r="534">
      <c r="I534" s="1"/>
    </row>
    <row r="535">
      <c r="I535" s="1"/>
    </row>
    <row r="536">
      <c r="I536" s="1"/>
    </row>
    <row r="537">
      <c r="I537" s="1"/>
    </row>
    <row r="538">
      <c r="I538" s="1"/>
    </row>
    <row r="539">
      <c r="I539" s="1"/>
    </row>
    <row r="540">
      <c r="I540" s="1"/>
    </row>
    <row r="541">
      <c r="I541" s="1"/>
    </row>
    <row r="542">
      <c r="I542" s="1"/>
    </row>
    <row r="543">
      <c r="I543" s="1"/>
    </row>
    <row r="544">
      <c r="I544" s="1"/>
    </row>
    <row r="545">
      <c r="I545" s="1"/>
    </row>
    <row r="546">
      <c r="I546" s="1"/>
    </row>
    <row r="547">
      <c r="I547" s="1"/>
    </row>
    <row r="548">
      <c r="I548" s="1"/>
    </row>
    <row r="549">
      <c r="I549" s="1"/>
    </row>
    <row r="550">
      <c r="I550" s="1"/>
    </row>
    <row r="551">
      <c r="I551" s="1"/>
    </row>
    <row r="552">
      <c r="I552" s="1"/>
    </row>
    <row r="553">
      <c r="I553" s="1"/>
    </row>
    <row r="554">
      <c r="I554" s="1"/>
    </row>
    <row r="555">
      <c r="I555" s="1"/>
    </row>
    <row r="556">
      <c r="I556" s="1"/>
    </row>
    <row r="557">
      <c r="I557" s="1"/>
    </row>
    <row r="558">
      <c r="I558" s="1"/>
    </row>
    <row r="559">
      <c r="I559" s="1"/>
    </row>
    <row r="560">
      <c r="I560" s="1"/>
    </row>
    <row r="561">
      <c r="I561" s="1"/>
    </row>
    <row r="562">
      <c r="I562" s="1"/>
    </row>
    <row r="563">
      <c r="I563" s="1"/>
    </row>
    <row r="564">
      <c r="I564" s="1"/>
    </row>
    <row r="565">
      <c r="I565" s="1"/>
    </row>
    <row r="566">
      <c r="I566" s="1"/>
    </row>
    <row r="567">
      <c r="I567" s="1"/>
    </row>
    <row r="568">
      <c r="I568" s="1"/>
    </row>
    <row r="569">
      <c r="I569" s="1"/>
    </row>
    <row r="570">
      <c r="I570" s="1"/>
    </row>
    <row r="571">
      <c r="I571" s="1"/>
    </row>
    <row r="572">
      <c r="I572" s="1"/>
    </row>
    <row r="573">
      <c r="I573" s="1"/>
    </row>
    <row r="574">
      <c r="I574" s="1"/>
    </row>
    <row r="575">
      <c r="I575" s="1"/>
    </row>
    <row r="576">
      <c r="I576" s="1"/>
    </row>
    <row r="577">
      <c r="I577" s="1"/>
    </row>
    <row r="578">
      <c r="I578" s="1"/>
    </row>
    <row r="579">
      <c r="I579" s="1"/>
    </row>
    <row r="580">
      <c r="I580" s="1"/>
    </row>
    <row r="581">
      <c r="I581" s="1"/>
    </row>
    <row r="582">
      <c r="I582" s="1"/>
    </row>
    <row r="583">
      <c r="I583" s="1"/>
    </row>
    <row r="584">
      <c r="I584" s="1"/>
    </row>
    <row r="585">
      <c r="I585" s="1"/>
    </row>
    <row r="586">
      <c r="I586" s="1"/>
    </row>
    <row r="587">
      <c r="I587" s="1"/>
    </row>
    <row r="588">
      <c r="I588" s="1"/>
    </row>
    <row r="589">
      <c r="I589" s="1"/>
    </row>
    <row r="590">
      <c r="I590" s="1"/>
    </row>
    <row r="591">
      <c r="I591" s="1"/>
    </row>
    <row r="592">
      <c r="I592" s="1"/>
    </row>
    <row r="593">
      <c r="I593" s="1"/>
    </row>
    <row r="594">
      <c r="I594" s="1"/>
    </row>
    <row r="595">
      <c r="I595" s="1"/>
    </row>
    <row r="596">
      <c r="I596" s="1"/>
    </row>
    <row r="597">
      <c r="I597" s="1"/>
    </row>
    <row r="598">
      <c r="I598" s="1"/>
    </row>
    <row r="599">
      <c r="I599" s="1"/>
    </row>
    <row r="600">
      <c r="I600" s="1"/>
    </row>
    <row r="601">
      <c r="I601" s="1"/>
    </row>
    <row r="602">
      <c r="I602" s="1"/>
    </row>
    <row r="603">
      <c r="I603" s="1"/>
    </row>
    <row r="604">
      <c r="I604" s="1"/>
    </row>
    <row r="605">
      <c r="I605" s="1"/>
    </row>
    <row r="606">
      <c r="I606" s="1"/>
    </row>
    <row r="607">
      <c r="I607" s="1"/>
    </row>
    <row r="608">
      <c r="I608" s="1"/>
    </row>
    <row r="609">
      <c r="I609" s="1"/>
    </row>
    <row r="610">
      <c r="I610" s="1"/>
    </row>
    <row r="611">
      <c r="I611" s="1"/>
    </row>
    <row r="612">
      <c r="I612" s="1"/>
    </row>
    <row r="613">
      <c r="I613" s="1"/>
    </row>
    <row r="614">
      <c r="I614" s="1"/>
    </row>
    <row r="615">
      <c r="I615" s="1"/>
    </row>
    <row r="616">
      <c r="I616" s="1"/>
    </row>
    <row r="617">
      <c r="I617" s="1"/>
    </row>
    <row r="618">
      <c r="I618" s="1"/>
    </row>
    <row r="619">
      <c r="I619" s="1"/>
    </row>
    <row r="620">
      <c r="I620" s="1"/>
    </row>
    <row r="621">
      <c r="I621" s="1"/>
    </row>
    <row r="622">
      <c r="I622" s="1"/>
    </row>
    <row r="623">
      <c r="I623" s="1"/>
    </row>
    <row r="624">
      <c r="I624" s="1"/>
    </row>
    <row r="625">
      <c r="I625" s="1"/>
    </row>
    <row r="626">
      <c r="I626" s="1"/>
    </row>
    <row r="627">
      <c r="I627" s="1"/>
    </row>
    <row r="628">
      <c r="I628" s="1"/>
    </row>
    <row r="629">
      <c r="I629" s="1"/>
    </row>
    <row r="630">
      <c r="I630" s="1"/>
    </row>
    <row r="631">
      <c r="I631" s="1"/>
    </row>
    <row r="632">
      <c r="I632" s="1"/>
    </row>
    <row r="633">
      <c r="I633" s="1"/>
    </row>
    <row r="634">
      <c r="I634" s="1"/>
    </row>
    <row r="635">
      <c r="I635" s="1"/>
    </row>
    <row r="636">
      <c r="I636" s="1"/>
    </row>
    <row r="637">
      <c r="I637" s="1"/>
    </row>
    <row r="638">
      <c r="I638" s="1"/>
    </row>
    <row r="639">
      <c r="I639" s="1"/>
    </row>
    <row r="640">
      <c r="I640" s="1"/>
    </row>
    <row r="641">
      <c r="I641" s="1"/>
    </row>
    <row r="642">
      <c r="I642" s="1"/>
    </row>
    <row r="643">
      <c r="I643" s="1"/>
    </row>
    <row r="644">
      <c r="I644" s="1"/>
    </row>
    <row r="645">
      <c r="I645" s="1"/>
    </row>
    <row r="646">
      <c r="I646" s="1"/>
    </row>
    <row r="647">
      <c r="I647" s="1"/>
    </row>
    <row r="648">
      <c r="I648" s="1"/>
    </row>
    <row r="649">
      <c r="I649" s="1"/>
    </row>
    <row r="650">
      <c r="I650" s="1"/>
    </row>
    <row r="651">
      <c r="I651" s="1"/>
    </row>
    <row r="652">
      <c r="I652" s="1"/>
    </row>
    <row r="653">
      <c r="I653" s="1"/>
    </row>
    <row r="654">
      <c r="I654" s="1"/>
    </row>
    <row r="655">
      <c r="I655" s="1"/>
    </row>
    <row r="656">
      <c r="I656" s="1"/>
    </row>
    <row r="657">
      <c r="I657" s="1"/>
    </row>
    <row r="658">
      <c r="I658" s="1"/>
    </row>
    <row r="659">
      <c r="I659" s="1"/>
    </row>
    <row r="660">
      <c r="I660" s="1"/>
    </row>
    <row r="661">
      <c r="I661" s="1"/>
    </row>
    <row r="662">
      <c r="I662" s="1"/>
    </row>
    <row r="663">
      <c r="I663" s="1"/>
    </row>
    <row r="664">
      <c r="I664" s="1"/>
    </row>
    <row r="665">
      <c r="I665" s="1"/>
    </row>
    <row r="666">
      <c r="I666" s="1"/>
    </row>
    <row r="667">
      <c r="I667" s="1"/>
    </row>
    <row r="668">
      <c r="I668" s="1"/>
    </row>
    <row r="669">
      <c r="I669" s="1"/>
    </row>
    <row r="670">
      <c r="I670" s="1"/>
    </row>
    <row r="671">
      <c r="I671" s="1"/>
    </row>
    <row r="672">
      <c r="I672" s="1"/>
    </row>
    <row r="673">
      <c r="I673" s="1"/>
    </row>
    <row r="674">
      <c r="I674" s="1"/>
    </row>
    <row r="675">
      <c r="I675" s="1"/>
    </row>
    <row r="676">
      <c r="I676" s="1"/>
    </row>
    <row r="677">
      <c r="I677" s="1"/>
    </row>
    <row r="678">
      <c r="I678" s="1"/>
    </row>
    <row r="679">
      <c r="I679" s="1"/>
    </row>
    <row r="680">
      <c r="I680" s="1"/>
    </row>
    <row r="681">
      <c r="I681" s="1"/>
    </row>
    <row r="682">
      <c r="I682" s="1"/>
    </row>
    <row r="683">
      <c r="I683" s="1"/>
    </row>
    <row r="684">
      <c r="I684" s="1"/>
    </row>
    <row r="685">
      <c r="I685" s="1"/>
    </row>
    <row r="686">
      <c r="I686" s="1"/>
    </row>
    <row r="687">
      <c r="I687" s="1"/>
    </row>
    <row r="688">
      <c r="I688" s="1"/>
    </row>
    <row r="689">
      <c r="I689" s="1"/>
    </row>
    <row r="690">
      <c r="I690" s="1"/>
    </row>
    <row r="691">
      <c r="I691" s="1"/>
    </row>
    <row r="692">
      <c r="I692" s="1"/>
    </row>
    <row r="693">
      <c r="I693" s="1"/>
    </row>
    <row r="694">
      <c r="I694" s="1"/>
    </row>
    <row r="695">
      <c r="I695" s="1"/>
    </row>
    <row r="696">
      <c r="I696" s="1"/>
    </row>
    <row r="697">
      <c r="I697" s="1"/>
    </row>
    <row r="698">
      <c r="I698" s="1"/>
    </row>
    <row r="699">
      <c r="I699" s="1"/>
    </row>
    <row r="700">
      <c r="I700" s="1"/>
    </row>
    <row r="701">
      <c r="I701" s="1"/>
    </row>
    <row r="702">
      <c r="I702" s="1"/>
    </row>
    <row r="703">
      <c r="I703" s="1"/>
    </row>
    <row r="704">
      <c r="I704" s="1"/>
    </row>
    <row r="705">
      <c r="I705" s="1"/>
    </row>
    <row r="706">
      <c r="I706" s="1"/>
    </row>
    <row r="707">
      <c r="I707" s="1"/>
    </row>
    <row r="708">
      <c r="I708" s="1"/>
    </row>
    <row r="709">
      <c r="I709" s="1"/>
    </row>
    <row r="710">
      <c r="I710" s="1"/>
    </row>
    <row r="711">
      <c r="I711" s="1"/>
    </row>
    <row r="712">
      <c r="I712" s="1"/>
    </row>
    <row r="713">
      <c r="I713" s="1"/>
    </row>
    <row r="714">
      <c r="I714" s="1"/>
    </row>
    <row r="715">
      <c r="I715" s="1"/>
    </row>
    <row r="716">
      <c r="I716" s="1"/>
    </row>
    <row r="717">
      <c r="I717" s="1"/>
    </row>
    <row r="718">
      <c r="I718" s="1"/>
    </row>
    <row r="719">
      <c r="I719" s="1"/>
    </row>
    <row r="720">
      <c r="I720" s="1"/>
    </row>
    <row r="721">
      <c r="I721" s="1"/>
    </row>
    <row r="722">
      <c r="I722" s="1"/>
    </row>
    <row r="723">
      <c r="I723" s="1"/>
    </row>
    <row r="724">
      <c r="I724" s="1"/>
    </row>
    <row r="725">
      <c r="I725" s="1"/>
    </row>
    <row r="726">
      <c r="I726" s="1"/>
    </row>
    <row r="727">
      <c r="I727" s="1"/>
    </row>
    <row r="728">
      <c r="I728" s="1"/>
    </row>
    <row r="729">
      <c r="I729" s="1"/>
    </row>
    <row r="730">
      <c r="I730" s="1"/>
    </row>
    <row r="731">
      <c r="I731" s="1"/>
    </row>
    <row r="732">
      <c r="I732" s="1"/>
    </row>
    <row r="733">
      <c r="I733" s="1"/>
    </row>
    <row r="734">
      <c r="I734" s="1"/>
    </row>
    <row r="735">
      <c r="I735" s="1"/>
    </row>
    <row r="736">
      <c r="I736" s="1"/>
    </row>
    <row r="737">
      <c r="I737" s="1"/>
    </row>
    <row r="738">
      <c r="I738" s="1"/>
    </row>
    <row r="739">
      <c r="I739" s="1"/>
    </row>
    <row r="740">
      <c r="I740" s="1"/>
    </row>
    <row r="741">
      <c r="I741" s="1"/>
    </row>
    <row r="742">
      <c r="I742" s="1"/>
    </row>
    <row r="743">
      <c r="I743" s="1"/>
    </row>
    <row r="744">
      <c r="I744" s="1"/>
    </row>
    <row r="745">
      <c r="I745" s="1"/>
    </row>
    <row r="746">
      <c r="I746" s="1"/>
    </row>
    <row r="747">
      <c r="I747" s="1"/>
    </row>
    <row r="748">
      <c r="I748" s="1"/>
    </row>
    <row r="749">
      <c r="I749" s="1"/>
    </row>
    <row r="750">
      <c r="I750" s="1"/>
    </row>
    <row r="751">
      <c r="I751" s="1"/>
    </row>
    <row r="752">
      <c r="I752" s="1"/>
    </row>
    <row r="753">
      <c r="I753" s="1"/>
    </row>
    <row r="754">
      <c r="I754" s="1"/>
    </row>
    <row r="755">
      <c r="I755" s="1"/>
    </row>
    <row r="756">
      <c r="I756" s="1"/>
    </row>
    <row r="757">
      <c r="I757" s="1"/>
    </row>
    <row r="758">
      <c r="I758" s="1"/>
    </row>
    <row r="759">
      <c r="I759" s="1"/>
    </row>
    <row r="760">
      <c r="I760" s="1"/>
    </row>
    <row r="761">
      <c r="I761" s="1"/>
    </row>
    <row r="762">
      <c r="I762" s="1"/>
    </row>
    <row r="763">
      <c r="I763" s="1"/>
    </row>
    <row r="764">
      <c r="I764" s="1"/>
    </row>
    <row r="765">
      <c r="I765" s="1"/>
    </row>
    <row r="766">
      <c r="I766" s="1"/>
    </row>
    <row r="767">
      <c r="I767" s="1"/>
    </row>
    <row r="768">
      <c r="I768" s="1"/>
    </row>
    <row r="769">
      <c r="I769" s="1"/>
    </row>
    <row r="770">
      <c r="I770" s="1"/>
    </row>
    <row r="771">
      <c r="I771" s="1"/>
    </row>
    <row r="772">
      <c r="I772" s="1"/>
    </row>
    <row r="773">
      <c r="I773" s="1"/>
    </row>
    <row r="774">
      <c r="I774" s="1"/>
    </row>
    <row r="775">
      <c r="I775" s="1"/>
    </row>
    <row r="776">
      <c r="I776" s="1"/>
    </row>
    <row r="777">
      <c r="I777" s="1"/>
    </row>
    <row r="778">
      <c r="I778" s="1"/>
    </row>
    <row r="779">
      <c r="I779" s="1"/>
    </row>
    <row r="780">
      <c r="I780" s="1"/>
    </row>
    <row r="781">
      <c r="I781" s="1"/>
    </row>
    <row r="782">
      <c r="I782" s="1"/>
    </row>
    <row r="783">
      <c r="I783" s="1"/>
    </row>
    <row r="784">
      <c r="I784" s="1"/>
    </row>
    <row r="785">
      <c r="I785" s="1"/>
    </row>
    <row r="786">
      <c r="I786" s="1"/>
    </row>
    <row r="787">
      <c r="I787" s="1"/>
    </row>
    <row r="788">
      <c r="I788" s="1"/>
    </row>
    <row r="789">
      <c r="I789" s="1"/>
    </row>
    <row r="790">
      <c r="I790" s="1"/>
    </row>
    <row r="791">
      <c r="I791" s="1"/>
    </row>
    <row r="792">
      <c r="I792" s="1"/>
    </row>
    <row r="793">
      <c r="I793" s="1"/>
    </row>
    <row r="794">
      <c r="I794" s="1"/>
    </row>
    <row r="795">
      <c r="I795" s="1"/>
    </row>
    <row r="796">
      <c r="I796" s="1"/>
    </row>
    <row r="797">
      <c r="I797" s="1"/>
    </row>
    <row r="798">
      <c r="I798" s="1"/>
    </row>
    <row r="799">
      <c r="I799" s="1"/>
    </row>
    <row r="800">
      <c r="I800" s="1"/>
    </row>
    <row r="801">
      <c r="I801" s="1"/>
    </row>
    <row r="802">
      <c r="I802" s="1"/>
    </row>
    <row r="803">
      <c r="I803" s="1"/>
    </row>
    <row r="804">
      <c r="I804" s="1"/>
    </row>
    <row r="805">
      <c r="I805" s="1"/>
    </row>
    <row r="806">
      <c r="I806" s="1"/>
    </row>
    <row r="807">
      <c r="I807" s="1"/>
    </row>
    <row r="808">
      <c r="I808" s="1"/>
    </row>
    <row r="809">
      <c r="I809" s="1"/>
    </row>
    <row r="810">
      <c r="I810" s="1"/>
    </row>
    <row r="811">
      <c r="I811" s="1"/>
    </row>
    <row r="812">
      <c r="I812" s="1"/>
    </row>
    <row r="813">
      <c r="I813" s="1"/>
    </row>
    <row r="814">
      <c r="I814" s="1"/>
    </row>
    <row r="815">
      <c r="I815" s="1"/>
    </row>
    <row r="816">
      <c r="I816" s="1"/>
    </row>
    <row r="817">
      <c r="I817" s="1"/>
    </row>
    <row r="818">
      <c r="I818" s="1"/>
    </row>
    <row r="819">
      <c r="I819" s="1"/>
    </row>
    <row r="820">
      <c r="I820" s="1"/>
    </row>
    <row r="821">
      <c r="I821" s="1"/>
    </row>
    <row r="822">
      <c r="I822" s="1"/>
    </row>
    <row r="823">
      <c r="I823" s="1"/>
    </row>
    <row r="824">
      <c r="I824" s="1"/>
    </row>
    <row r="825">
      <c r="I825" s="1"/>
    </row>
    <row r="826">
      <c r="I826" s="1"/>
    </row>
    <row r="827">
      <c r="I827" s="1"/>
    </row>
    <row r="828">
      <c r="I828" s="1"/>
    </row>
    <row r="829">
      <c r="I829" s="1"/>
    </row>
    <row r="830">
      <c r="I830" s="1"/>
    </row>
    <row r="831">
      <c r="I831" s="1"/>
    </row>
    <row r="832">
      <c r="I832" s="1"/>
    </row>
    <row r="833">
      <c r="I833" s="1"/>
    </row>
    <row r="834">
      <c r="I834" s="1"/>
    </row>
    <row r="835">
      <c r="I835" s="1"/>
    </row>
    <row r="836">
      <c r="I836" s="1"/>
    </row>
    <row r="837">
      <c r="I837" s="1"/>
    </row>
    <row r="838">
      <c r="I838" s="1"/>
    </row>
    <row r="839">
      <c r="I839" s="1"/>
    </row>
    <row r="840">
      <c r="I840" s="1"/>
    </row>
    <row r="841">
      <c r="I841" s="1"/>
    </row>
    <row r="842">
      <c r="I842" s="1"/>
    </row>
    <row r="843">
      <c r="I843" s="1"/>
    </row>
    <row r="844">
      <c r="I844" s="1"/>
    </row>
    <row r="845">
      <c r="I845" s="1"/>
    </row>
    <row r="846">
      <c r="I846" s="1"/>
    </row>
    <row r="847">
      <c r="I847" s="1"/>
    </row>
    <row r="848">
      <c r="I848" s="1"/>
    </row>
    <row r="849">
      <c r="I849" s="1"/>
    </row>
    <row r="850">
      <c r="I850" s="1"/>
    </row>
    <row r="851">
      <c r="I851" s="1"/>
    </row>
    <row r="852">
      <c r="I852" s="1"/>
    </row>
    <row r="853">
      <c r="I853" s="1"/>
    </row>
    <row r="854">
      <c r="I854" s="1"/>
    </row>
    <row r="855">
      <c r="I855" s="1"/>
    </row>
    <row r="856">
      <c r="I856" s="1"/>
    </row>
    <row r="857">
      <c r="I857" s="1"/>
    </row>
    <row r="858">
      <c r="I858" s="1"/>
    </row>
    <row r="859">
      <c r="I859" s="1"/>
    </row>
    <row r="860">
      <c r="I860" s="1"/>
    </row>
    <row r="861">
      <c r="I861" s="1"/>
    </row>
    <row r="862">
      <c r="I862" s="1"/>
    </row>
    <row r="863">
      <c r="I863" s="1"/>
    </row>
    <row r="864">
      <c r="I864" s="1"/>
    </row>
    <row r="865">
      <c r="I865" s="1"/>
    </row>
    <row r="866">
      <c r="I866" s="1"/>
    </row>
    <row r="867">
      <c r="I867" s="1"/>
    </row>
    <row r="868">
      <c r="I868" s="1"/>
    </row>
    <row r="869">
      <c r="I869" s="1"/>
    </row>
    <row r="870">
      <c r="I870" s="1"/>
    </row>
    <row r="871">
      <c r="I871" s="1"/>
    </row>
    <row r="872">
      <c r="I872" s="1"/>
    </row>
    <row r="873">
      <c r="I873" s="1"/>
    </row>
    <row r="874">
      <c r="I874" s="1"/>
    </row>
    <row r="875">
      <c r="I875" s="1"/>
    </row>
    <row r="876">
      <c r="I876" s="1"/>
    </row>
    <row r="877">
      <c r="I877" s="1"/>
    </row>
    <row r="878">
      <c r="I878" s="1"/>
    </row>
    <row r="879">
      <c r="I879" s="1"/>
    </row>
    <row r="880">
      <c r="I880" s="1"/>
    </row>
    <row r="881">
      <c r="I881" s="1"/>
    </row>
    <row r="882">
      <c r="I882" s="1"/>
    </row>
    <row r="883">
      <c r="I883" s="1"/>
    </row>
    <row r="884">
      <c r="I884" s="1"/>
    </row>
    <row r="885">
      <c r="I885" s="1"/>
    </row>
    <row r="886">
      <c r="I886" s="1"/>
    </row>
    <row r="887">
      <c r="I887" s="1"/>
    </row>
    <row r="888">
      <c r="I888" s="1"/>
    </row>
    <row r="889">
      <c r="I889" s="1"/>
    </row>
    <row r="890">
      <c r="I890" s="1"/>
    </row>
    <row r="891">
      <c r="I891" s="1"/>
    </row>
    <row r="892">
      <c r="I892" s="1"/>
    </row>
    <row r="893">
      <c r="I893" s="1"/>
    </row>
    <row r="894">
      <c r="I894" s="1"/>
    </row>
    <row r="895">
      <c r="I895" s="1"/>
    </row>
    <row r="896">
      <c r="I896" s="1"/>
    </row>
    <row r="897">
      <c r="I897" s="1"/>
    </row>
    <row r="898">
      <c r="I898" s="1"/>
    </row>
    <row r="899">
      <c r="I899" s="1"/>
    </row>
    <row r="900">
      <c r="I900" s="1"/>
    </row>
    <row r="901">
      <c r="I901" s="1"/>
    </row>
    <row r="902">
      <c r="I902" s="1"/>
    </row>
    <row r="903">
      <c r="I903" s="1"/>
    </row>
    <row r="904">
      <c r="I904" s="1"/>
    </row>
    <row r="905">
      <c r="I905" s="1"/>
    </row>
    <row r="906">
      <c r="I906" s="1"/>
    </row>
    <row r="907">
      <c r="I907" s="1"/>
    </row>
    <row r="908">
      <c r="I908" s="1"/>
    </row>
    <row r="909">
      <c r="I909" s="1"/>
    </row>
    <row r="910">
      <c r="I910" s="1"/>
    </row>
    <row r="911">
      <c r="I911" s="1"/>
    </row>
    <row r="912">
      <c r="I912" s="1"/>
    </row>
    <row r="913">
      <c r="I913" s="1"/>
    </row>
    <row r="914">
      <c r="I914" s="1"/>
    </row>
    <row r="915">
      <c r="I915" s="1"/>
    </row>
    <row r="916">
      <c r="I916" s="1"/>
    </row>
    <row r="917">
      <c r="I917" s="1"/>
    </row>
    <row r="918">
      <c r="I918" s="1"/>
    </row>
    <row r="919">
      <c r="I919" s="1"/>
    </row>
    <row r="920">
      <c r="I920" s="1"/>
    </row>
    <row r="921">
      <c r="I921" s="1"/>
    </row>
    <row r="922">
      <c r="I922" s="1"/>
    </row>
    <row r="923">
      <c r="I923" s="1"/>
    </row>
    <row r="924">
      <c r="I924" s="1"/>
    </row>
    <row r="925">
      <c r="I925" s="1"/>
    </row>
    <row r="926">
      <c r="I926" s="1"/>
    </row>
    <row r="927">
      <c r="I927" s="1"/>
    </row>
    <row r="928">
      <c r="I928" s="1"/>
    </row>
    <row r="929">
      <c r="I929" s="1"/>
    </row>
    <row r="930">
      <c r="I930" s="1"/>
    </row>
    <row r="931">
      <c r="I931" s="1"/>
    </row>
    <row r="932">
      <c r="I932" s="1"/>
    </row>
    <row r="933">
      <c r="I933" s="1"/>
    </row>
    <row r="934">
      <c r="I934" s="1"/>
    </row>
    <row r="935">
      <c r="I935" s="1"/>
    </row>
    <row r="936">
      <c r="I936" s="1"/>
    </row>
    <row r="937">
      <c r="I937" s="1"/>
    </row>
    <row r="938">
      <c r="I938" s="1"/>
    </row>
    <row r="939">
      <c r="I939" s="1"/>
    </row>
    <row r="940">
      <c r="I940" s="1"/>
    </row>
    <row r="941">
      <c r="I941" s="1"/>
    </row>
    <row r="942">
      <c r="I942" s="1"/>
    </row>
    <row r="943">
      <c r="I943" s="1"/>
    </row>
    <row r="944">
      <c r="I944" s="1"/>
    </row>
    <row r="945">
      <c r="I945" s="1"/>
    </row>
    <row r="946">
      <c r="I946" s="1"/>
    </row>
    <row r="947">
      <c r="I947" s="1"/>
    </row>
    <row r="948">
      <c r="I948" s="1"/>
    </row>
    <row r="949">
      <c r="I949" s="1"/>
    </row>
    <row r="950">
      <c r="I950" s="1"/>
    </row>
    <row r="951">
      <c r="I951" s="1"/>
    </row>
    <row r="952">
      <c r="I952" s="1"/>
    </row>
    <row r="953">
      <c r="I953" s="1"/>
    </row>
    <row r="954">
      <c r="I954" s="1"/>
    </row>
    <row r="955">
      <c r="I955" s="1"/>
    </row>
    <row r="956">
      <c r="I956" s="1"/>
    </row>
    <row r="957">
      <c r="I957" s="1"/>
    </row>
    <row r="958">
      <c r="I958" s="1"/>
    </row>
    <row r="959">
      <c r="I959" s="1"/>
    </row>
    <row r="960">
      <c r="I960" s="1"/>
    </row>
    <row r="961">
      <c r="I961" s="1"/>
    </row>
    <row r="962">
      <c r="I962" s="1"/>
    </row>
    <row r="963">
      <c r="I963" s="1"/>
    </row>
    <row r="964">
      <c r="I964" s="1"/>
    </row>
    <row r="965">
      <c r="I965" s="1"/>
    </row>
    <row r="966">
      <c r="I966" s="1"/>
    </row>
    <row r="967">
      <c r="I967" s="1"/>
    </row>
    <row r="968">
      <c r="I968" s="1"/>
    </row>
    <row r="969">
      <c r="I969" s="1"/>
    </row>
    <row r="970">
      <c r="I970" s="1"/>
    </row>
    <row r="971">
      <c r="I971" s="1"/>
    </row>
    <row r="972">
      <c r="I972" s="1"/>
    </row>
    <row r="973">
      <c r="I973" s="1"/>
    </row>
    <row r="974">
      <c r="I974" s="1"/>
    </row>
    <row r="975">
      <c r="I975" s="1"/>
    </row>
    <row r="976">
      <c r="I976" s="1"/>
    </row>
    <row r="977">
      <c r="I977" s="1"/>
    </row>
    <row r="978">
      <c r="I978" s="1"/>
    </row>
  </sheetData>
  <hyperlinks>
    <hyperlink r:id="rId1" ref="H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3" max="3" width="12.75"/>
    <col customWidth="1" min="4" max="4" width="14.38"/>
    <col customWidth="1" min="5" max="5" width="16.0"/>
    <col customWidth="1" min="6" max="6" width="11.13"/>
    <col customWidth="1" min="7" max="8" width="7.0"/>
    <col customWidth="1" min="9" max="9" width="14.13"/>
  </cols>
  <sheetData>
    <row r="1">
      <c r="A1" s="8" t="s">
        <v>0</v>
      </c>
      <c r="B1" s="10" t="s">
        <v>1</v>
      </c>
      <c r="C1" s="10" t="s">
        <v>16</v>
      </c>
      <c r="D1" s="10" t="s">
        <v>18</v>
      </c>
      <c r="E1" s="12" t="s">
        <v>19</v>
      </c>
      <c r="F1" s="10" t="s">
        <v>20</v>
      </c>
      <c r="G1" s="10" t="s">
        <v>22</v>
      </c>
      <c r="H1" s="10" t="s">
        <v>23</v>
      </c>
      <c r="I1" s="10" t="s">
        <v>24</v>
      </c>
    </row>
    <row r="2">
      <c r="A2" s="15"/>
      <c r="B2" s="17" t="s">
        <v>2</v>
      </c>
      <c r="C2" s="19">
        <v>152594.0</v>
      </c>
      <c r="D2" s="19">
        <v>9185.0</v>
      </c>
      <c r="E2" s="20">
        <v>1653.0</v>
      </c>
      <c r="F2" s="28">
        <f>C2-D2-E2</f>
        <v>141756</v>
      </c>
      <c r="G2" s="19">
        <v>763.0</v>
      </c>
      <c r="H2" s="19">
        <v>152.0</v>
      </c>
      <c r="I2" s="19">
        <f>F2-G2-H2</f>
        <v>140841</v>
      </c>
    </row>
    <row r="3">
      <c r="A3" s="25" t="s">
        <v>17</v>
      </c>
      <c r="B3" s="25"/>
      <c r="C3" s="32">
        <f>SUM(C2)</f>
        <v>152594</v>
      </c>
      <c r="D3" s="33"/>
      <c r="E3" s="33"/>
      <c r="F3" s="34">
        <f>SUM(F2)</f>
        <v>141756</v>
      </c>
      <c r="G3" s="33"/>
      <c r="H3" s="33"/>
      <c r="I3" s="32">
        <f>SUM(I2)</f>
        <v>140841</v>
      </c>
    </row>
    <row r="5">
      <c r="A5" s="36" t="s">
        <v>5</v>
      </c>
      <c r="B5" s="37">
        <f>C3-B6-B7</f>
        <v>40494</v>
      </c>
    </row>
    <row r="6">
      <c r="A6" s="36" t="s">
        <v>7</v>
      </c>
      <c r="B6" s="37">
        <v>81023.0</v>
      </c>
    </row>
    <row r="7">
      <c r="A7" s="41" t="s">
        <v>6</v>
      </c>
      <c r="B7" s="44">
        <v>31077.0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3" max="3" width="18.25"/>
    <col customWidth="1" min="7" max="7" width="14.75"/>
    <col customWidth="1" min="9" max="9" width="25.0"/>
    <col customWidth="1" min="10" max="10" width="19.38"/>
    <col customWidth="1" min="11" max="12" width="15.25"/>
  </cols>
  <sheetData>
    <row r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2" t="s">
        <v>10</v>
      </c>
      <c r="J1" s="2" t="s">
        <v>12</v>
      </c>
      <c r="K1" s="9" t="s">
        <v>14</v>
      </c>
      <c r="L1" s="16" t="s">
        <v>26</v>
      </c>
      <c r="M1" s="16" t="s">
        <v>20</v>
      </c>
    </row>
    <row r="2">
      <c r="A2" s="21">
        <v>46266.0</v>
      </c>
      <c r="B2" s="22" t="s">
        <v>32</v>
      </c>
      <c r="C2" s="23">
        <v>6.0</v>
      </c>
      <c r="D2" s="26">
        <v>2476.0</v>
      </c>
      <c r="E2" s="26">
        <v>2640.0</v>
      </c>
      <c r="F2" s="26">
        <v>0.0</v>
      </c>
      <c r="G2" s="26">
        <v>150.0</v>
      </c>
      <c r="H2" s="26">
        <v>350.0</v>
      </c>
      <c r="I2" s="29">
        <v>0.0</v>
      </c>
      <c r="J2" s="29">
        <v>0.0</v>
      </c>
      <c r="K2" s="29">
        <f t="shared" ref="K2:K31" si="1">sum(C2:J2)</f>
        <v>5622</v>
      </c>
      <c r="L2" s="35">
        <f t="shared" ref="L2:L31" si="2">K2*1.75%</f>
        <v>98.385</v>
      </c>
      <c r="M2" s="26">
        <f t="shared" ref="M2:M31" si="3">K2-L2</f>
        <v>5523.615</v>
      </c>
    </row>
    <row r="3">
      <c r="A3" s="21">
        <v>46267.0</v>
      </c>
      <c r="B3" s="22" t="s">
        <v>37</v>
      </c>
      <c r="C3" s="39">
        <v>2.0</v>
      </c>
      <c r="D3" s="26">
        <v>0.0</v>
      </c>
      <c r="E3" s="26">
        <v>1600.0</v>
      </c>
      <c r="F3" s="26">
        <v>3200.0</v>
      </c>
      <c r="G3" s="26">
        <v>0.0</v>
      </c>
      <c r="H3" s="26">
        <v>400.0</v>
      </c>
      <c r="I3" s="26">
        <v>0.0</v>
      </c>
      <c r="J3" s="26">
        <v>0.0</v>
      </c>
      <c r="K3" s="29">
        <f t="shared" si="1"/>
        <v>5202</v>
      </c>
      <c r="L3" s="35">
        <f t="shared" si="2"/>
        <v>91.035</v>
      </c>
      <c r="M3" s="26">
        <f t="shared" si="3"/>
        <v>5110.965</v>
      </c>
    </row>
    <row r="4">
      <c r="A4" s="21">
        <v>46268.0</v>
      </c>
      <c r="B4" s="22" t="s">
        <v>40</v>
      </c>
      <c r="C4" s="39">
        <v>2.0</v>
      </c>
      <c r="D4" s="26">
        <v>0.0</v>
      </c>
      <c r="E4" s="26">
        <v>2400.0</v>
      </c>
      <c r="F4" s="26">
        <v>0.0</v>
      </c>
      <c r="G4" s="26">
        <v>0.0</v>
      </c>
      <c r="H4" s="26">
        <v>0.0</v>
      </c>
      <c r="I4" s="26">
        <v>0.0</v>
      </c>
      <c r="J4" s="26">
        <v>0.0</v>
      </c>
      <c r="K4" s="29">
        <f t="shared" si="1"/>
        <v>2402</v>
      </c>
      <c r="L4" s="35">
        <f t="shared" si="2"/>
        <v>42.035</v>
      </c>
      <c r="M4" s="26">
        <f t="shared" si="3"/>
        <v>2359.965</v>
      </c>
    </row>
    <row r="5">
      <c r="A5" s="21">
        <v>46269.0</v>
      </c>
      <c r="B5" s="22" t="s">
        <v>42</v>
      </c>
      <c r="C5" s="23">
        <v>1.0</v>
      </c>
      <c r="D5" s="26">
        <v>630.0</v>
      </c>
      <c r="E5" s="26">
        <v>0.0</v>
      </c>
      <c r="F5" s="26">
        <v>0.0</v>
      </c>
      <c r="G5" s="26">
        <v>200.0</v>
      </c>
      <c r="H5" s="26">
        <v>0.0</v>
      </c>
      <c r="I5" s="26">
        <v>0.0</v>
      </c>
      <c r="J5" s="26">
        <v>0.0</v>
      </c>
      <c r="K5" s="29">
        <f t="shared" si="1"/>
        <v>831</v>
      </c>
      <c r="L5" s="35">
        <f t="shared" si="2"/>
        <v>14.5425</v>
      </c>
      <c r="M5" s="26">
        <f t="shared" si="3"/>
        <v>816.4575</v>
      </c>
    </row>
    <row r="6">
      <c r="A6" s="21">
        <v>46270.0</v>
      </c>
      <c r="B6" s="22" t="s">
        <v>44</v>
      </c>
      <c r="C6" s="39">
        <v>5.5</v>
      </c>
      <c r="D6" s="26">
        <v>0.0</v>
      </c>
      <c r="E6" s="26">
        <v>0.0</v>
      </c>
      <c r="F6" s="26">
        <v>0.0</v>
      </c>
      <c r="G6" s="26">
        <v>0.0</v>
      </c>
      <c r="H6" s="26">
        <v>0.0</v>
      </c>
      <c r="I6" s="26">
        <v>10836.0</v>
      </c>
      <c r="J6" s="26">
        <v>0.0</v>
      </c>
      <c r="K6" s="29">
        <f t="shared" si="1"/>
        <v>10841.5</v>
      </c>
      <c r="L6" s="35">
        <f t="shared" si="2"/>
        <v>189.72625</v>
      </c>
      <c r="M6" s="26">
        <f t="shared" si="3"/>
        <v>10651.77375</v>
      </c>
    </row>
    <row r="7">
      <c r="A7" s="21">
        <v>46271.0</v>
      </c>
      <c r="B7" s="22" t="s">
        <v>46</v>
      </c>
      <c r="C7" s="39">
        <v>2.0</v>
      </c>
      <c r="D7" s="26">
        <v>0.0</v>
      </c>
      <c r="E7" s="26">
        <v>2400.0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9">
        <f t="shared" si="1"/>
        <v>2402</v>
      </c>
      <c r="L7" s="35">
        <f t="shared" si="2"/>
        <v>42.035</v>
      </c>
      <c r="M7" s="26">
        <f t="shared" si="3"/>
        <v>2359.965</v>
      </c>
    </row>
    <row r="8">
      <c r="A8" s="21">
        <v>46272.0</v>
      </c>
      <c r="B8" s="22" t="s">
        <v>47</v>
      </c>
      <c r="C8" s="39">
        <v>4.0</v>
      </c>
      <c r="D8" s="26">
        <v>1276.0</v>
      </c>
      <c r="E8" s="26">
        <v>2640.0</v>
      </c>
      <c r="F8" s="26">
        <v>0.0</v>
      </c>
      <c r="G8" s="26">
        <v>500.0</v>
      </c>
      <c r="H8" s="26">
        <v>200.0</v>
      </c>
      <c r="I8" s="26">
        <v>0.0</v>
      </c>
      <c r="J8" s="26">
        <v>0.0</v>
      </c>
      <c r="K8" s="29">
        <f t="shared" si="1"/>
        <v>4620</v>
      </c>
      <c r="L8" s="48">
        <f t="shared" si="2"/>
        <v>80.85</v>
      </c>
      <c r="M8" s="29">
        <f t="shared" si="3"/>
        <v>4539.15</v>
      </c>
    </row>
    <row r="9">
      <c r="A9" s="21">
        <v>46273.0</v>
      </c>
      <c r="B9" s="22" t="s">
        <v>32</v>
      </c>
      <c r="C9" s="39">
        <v>3.5</v>
      </c>
      <c r="D9" s="26">
        <v>1276.0</v>
      </c>
      <c r="E9" s="26">
        <v>4125.0</v>
      </c>
      <c r="F9" s="26">
        <v>0.0</v>
      </c>
      <c r="G9" s="26">
        <v>650.0</v>
      </c>
      <c r="H9" s="26">
        <v>0.0</v>
      </c>
      <c r="I9" s="26">
        <v>0.0</v>
      </c>
      <c r="J9" s="26">
        <v>0.0</v>
      </c>
      <c r="K9" s="29">
        <f t="shared" si="1"/>
        <v>6054.5</v>
      </c>
      <c r="L9" s="35">
        <f t="shared" si="2"/>
        <v>105.95375</v>
      </c>
      <c r="M9" s="26">
        <f t="shared" si="3"/>
        <v>5948.54625</v>
      </c>
    </row>
    <row r="10">
      <c r="A10" s="21">
        <v>46274.0</v>
      </c>
      <c r="B10" s="22" t="s">
        <v>37</v>
      </c>
      <c r="C10" s="39">
        <v>3.0</v>
      </c>
      <c r="D10" s="26">
        <v>638.0</v>
      </c>
      <c r="E10" s="26">
        <v>1600.0</v>
      </c>
      <c r="F10" s="26">
        <v>0.0</v>
      </c>
      <c r="G10" s="26">
        <v>250.0</v>
      </c>
      <c r="H10" s="26">
        <v>300.0</v>
      </c>
      <c r="I10" s="26">
        <v>0.0</v>
      </c>
      <c r="J10" s="26">
        <v>0.0</v>
      </c>
      <c r="K10" s="29">
        <f t="shared" si="1"/>
        <v>2791</v>
      </c>
      <c r="L10" s="35">
        <f t="shared" si="2"/>
        <v>48.8425</v>
      </c>
      <c r="M10" s="26">
        <f t="shared" si="3"/>
        <v>2742.1575</v>
      </c>
    </row>
    <row r="11">
      <c r="A11" s="21">
        <v>46275.0</v>
      </c>
      <c r="B11" s="22" t="s">
        <v>40</v>
      </c>
      <c r="C11" s="39">
        <v>3.0</v>
      </c>
      <c r="D11" s="26">
        <v>638.0</v>
      </c>
      <c r="E11" s="26">
        <v>3200.0</v>
      </c>
      <c r="F11" s="26">
        <v>0.0</v>
      </c>
      <c r="G11" s="26">
        <v>300.0</v>
      </c>
      <c r="H11" s="26">
        <v>200.0</v>
      </c>
      <c r="I11" s="26">
        <v>0.0</v>
      </c>
      <c r="J11" s="26">
        <v>0.0</v>
      </c>
      <c r="K11" s="29">
        <f t="shared" si="1"/>
        <v>4341</v>
      </c>
      <c r="L11" s="35">
        <f t="shared" si="2"/>
        <v>75.9675</v>
      </c>
      <c r="M11" s="26">
        <f t="shared" si="3"/>
        <v>4265.0325</v>
      </c>
    </row>
    <row r="12">
      <c r="A12" s="21">
        <v>46276.0</v>
      </c>
      <c r="B12" s="22" t="s">
        <v>42</v>
      </c>
      <c r="C12" s="39">
        <v>2.5</v>
      </c>
      <c r="D12" s="26">
        <v>638.0</v>
      </c>
      <c r="E12" s="26">
        <v>2175.0</v>
      </c>
      <c r="F12" s="26">
        <v>0.0</v>
      </c>
      <c r="G12" s="26">
        <v>300.0</v>
      </c>
      <c r="H12" s="26">
        <v>200.0</v>
      </c>
      <c r="I12" s="26">
        <v>0.0</v>
      </c>
      <c r="J12" s="26">
        <v>0.0</v>
      </c>
      <c r="K12" s="29">
        <f t="shared" si="1"/>
        <v>3315.5</v>
      </c>
      <c r="L12" s="35">
        <f t="shared" si="2"/>
        <v>58.02125</v>
      </c>
      <c r="M12" s="26">
        <f t="shared" si="3"/>
        <v>3257.47875</v>
      </c>
    </row>
    <row r="13">
      <c r="A13" s="21">
        <v>46277.0</v>
      </c>
      <c r="B13" s="22" t="s">
        <v>44</v>
      </c>
      <c r="C13" s="39">
        <v>6.0</v>
      </c>
      <c r="D13" s="26">
        <v>638.0</v>
      </c>
      <c r="E13" s="26">
        <v>0.0</v>
      </c>
      <c r="F13" s="26">
        <v>3996.0</v>
      </c>
      <c r="G13" s="26">
        <v>450.0</v>
      </c>
      <c r="H13" s="26">
        <v>0.0</v>
      </c>
      <c r="I13" s="26">
        <v>4275.0</v>
      </c>
      <c r="J13" s="26">
        <v>0.0</v>
      </c>
      <c r="K13" s="29">
        <f t="shared" si="1"/>
        <v>9365</v>
      </c>
      <c r="L13" s="35">
        <f t="shared" si="2"/>
        <v>163.8875</v>
      </c>
      <c r="M13" s="26">
        <f t="shared" si="3"/>
        <v>9201.1125</v>
      </c>
    </row>
    <row r="14">
      <c r="A14" s="21">
        <v>46278.0</v>
      </c>
      <c r="B14" s="22" t="s">
        <v>46</v>
      </c>
      <c r="C14" s="39">
        <v>1.5</v>
      </c>
      <c r="D14" s="26">
        <v>0.0</v>
      </c>
      <c r="E14" s="26">
        <v>1800.0</v>
      </c>
      <c r="F14" s="26">
        <v>0.0</v>
      </c>
      <c r="G14" s="26">
        <v>800.0</v>
      </c>
      <c r="H14" s="26">
        <v>0.0</v>
      </c>
      <c r="I14" s="26">
        <v>0.0</v>
      </c>
      <c r="J14" s="26">
        <v>0.0</v>
      </c>
      <c r="K14" s="29">
        <f t="shared" si="1"/>
        <v>2601.5</v>
      </c>
      <c r="L14" s="35">
        <f t="shared" si="2"/>
        <v>45.52625</v>
      </c>
      <c r="M14" s="26">
        <f t="shared" si="3"/>
        <v>2555.97375</v>
      </c>
    </row>
    <row r="15">
      <c r="A15" s="21">
        <v>46279.0</v>
      </c>
      <c r="B15" s="22" t="s">
        <v>47</v>
      </c>
      <c r="C15" s="39">
        <v>4.5</v>
      </c>
      <c r="D15" s="26">
        <v>957.0</v>
      </c>
      <c r="E15" s="26">
        <v>4450.0</v>
      </c>
      <c r="F15" s="26">
        <v>0.0</v>
      </c>
      <c r="G15" s="26">
        <v>450.0</v>
      </c>
      <c r="H15" s="26">
        <v>0.0</v>
      </c>
      <c r="I15" s="26">
        <v>0.0</v>
      </c>
      <c r="J15" s="26">
        <v>0.0</v>
      </c>
      <c r="K15" s="29">
        <f t="shared" si="1"/>
        <v>5861.5</v>
      </c>
      <c r="L15" s="35">
        <f t="shared" si="2"/>
        <v>102.57625</v>
      </c>
      <c r="M15" s="26">
        <f t="shared" si="3"/>
        <v>5758.92375</v>
      </c>
    </row>
    <row r="16">
      <c r="A16" s="21">
        <v>46280.0</v>
      </c>
      <c r="B16" s="22" t="s">
        <v>32</v>
      </c>
      <c r="C16" s="39">
        <v>3.5</v>
      </c>
      <c r="D16" s="26">
        <v>1138.0</v>
      </c>
      <c r="E16" s="26">
        <v>2000.0</v>
      </c>
      <c r="F16" s="26">
        <v>0.0</v>
      </c>
      <c r="G16" s="26">
        <v>450.0</v>
      </c>
      <c r="H16" s="26">
        <v>0.0</v>
      </c>
      <c r="I16" s="26">
        <v>0.0</v>
      </c>
      <c r="J16" s="52">
        <v>500.0</v>
      </c>
      <c r="K16" s="29">
        <f t="shared" si="1"/>
        <v>4091.5</v>
      </c>
      <c r="L16" s="35">
        <f t="shared" si="2"/>
        <v>71.60125</v>
      </c>
      <c r="M16" s="26">
        <f t="shared" si="3"/>
        <v>4019.89875</v>
      </c>
    </row>
    <row r="17">
      <c r="A17" s="21">
        <v>46281.0</v>
      </c>
      <c r="B17" s="22" t="s">
        <v>37</v>
      </c>
      <c r="C17" s="39">
        <v>3.0</v>
      </c>
      <c r="D17" s="26">
        <v>0.0</v>
      </c>
      <c r="E17" s="26">
        <v>2400.0</v>
      </c>
      <c r="F17" s="26">
        <v>0.0</v>
      </c>
      <c r="G17" s="26">
        <v>350.0</v>
      </c>
      <c r="H17" s="26">
        <v>400.0</v>
      </c>
      <c r="I17" s="26">
        <v>0.0</v>
      </c>
      <c r="J17" s="26">
        <v>100.0</v>
      </c>
      <c r="K17" s="29">
        <f t="shared" si="1"/>
        <v>3253</v>
      </c>
      <c r="L17" s="35">
        <f t="shared" si="2"/>
        <v>56.9275</v>
      </c>
      <c r="M17" s="26">
        <f t="shared" si="3"/>
        <v>3196.0725</v>
      </c>
    </row>
    <row r="18">
      <c r="A18" s="21">
        <v>46282.0</v>
      </c>
      <c r="B18" s="22" t="s">
        <v>40</v>
      </c>
      <c r="C18" s="39">
        <v>3.5</v>
      </c>
      <c r="D18" s="26">
        <v>638.0</v>
      </c>
      <c r="E18" s="26">
        <v>2400.0</v>
      </c>
      <c r="F18" s="26">
        <v>1280.0</v>
      </c>
      <c r="G18" s="26">
        <v>350.0</v>
      </c>
      <c r="H18" s="26">
        <v>0.0</v>
      </c>
      <c r="I18" s="26">
        <v>0.0</v>
      </c>
      <c r="J18" s="26">
        <v>0.0</v>
      </c>
      <c r="K18" s="29">
        <f t="shared" si="1"/>
        <v>4671.5</v>
      </c>
      <c r="L18" s="35">
        <f t="shared" si="2"/>
        <v>81.75125</v>
      </c>
      <c r="M18" s="26">
        <f t="shared" si="3"/>
        <v>4589.74875</v>
      </c>
    </row>
    <row r="19">
      <c r="A19" s="21">
        <v>46283.0</v>
      </c>
      <c r="B19" s="22" t="s">
        <v>42</v>
      </c>
      <c r="C19" s="39">
        <v>4.5</v>
      </c>
      <c r="D19" s="26">
        <v>1276.0</v>
      </c>
      <c r="E19" s="26">
        <v>4000.0</v>
      </c>
      <c r="F19" s="26">
        <v>0.0</v>
      </c>
      <c r="G19" s="26">
        <v>500.0</v>
      </c>
      <c r="H19" s="26">
        <v>200.0</v>
      </c>
      <c r="I19" s="26">
        <v>0.0</v>
      </c>
      <c r="J19" s="26">
        <v>0.0</v>
      </c>
      <c r="K19" s="29">
        <f t="shared" si="1"/>
        <v>5980.5</v>
      </c>
      <c r="L19" s="35">
        <f t="shared" si="2"/>
        <v>104.65875</v>
      </c>
      <c r="M19" s="26">
        <f t="shared" si="3"/>
        <v>5875.84125</v>
      </c>
    </row>
    <row r="20">
      <c r="A20" s="21">
        <v>46284.0</v>
      </c>
      <c r="B20" s="22" t="s">
        <v>44</v>
      </c>
      <c r="C20" s="39">
        <v>7.0</v>
      </c>
      <c r="D20" s="26">
        <v>2238.0</v>
      </c>
      <c r="E20" s="26">
        <v>3400.0</v>
      </c>
      <c r="F20" s="26">
        <v>1800.0</v>
      </c>
      <c r="G20" s="26">
        <v>400.0</v>
      </c>
      <c r="H20" s="26">
        <v>200.0</v>
      </c>
      <c r="I20" s="26">
        <v>6840.0</v>
      </c>
      <c r="J20" s="26">
        <v>0.0</v>
      </c>
      <c r="K20" s="29">
        <f t="shared" si="1"/>
        <v>14885</v>
      </c>
      <c r="L20" s="35">
        <f t="shared" si="2"/>
        <v>260.4875</v>
      </c>
      <c r="M20" s="26">
        <f t="shared" si="3"/>
        <v>14624.5125</v>
      </c>
    </row>
    <row r="21">
      <c r="A21" s="21">
        <v>46285.0</v>
      </c>
      <c r="B21" s="22" t="s">
        <v>46</v>
      </c>
      <c r="C21" s="39">
        <v>6.0</v>
      </c>
      <c r="D21" s="26">
        <v>1276.0</v>
      </c>
      <c r="E21" s="26">
        <v>800.0</v>
      </c>
      <c r="F21" s="26">
        <v>0.0</v>
      </c>
      <c r="G21" s="26">
        <v>700.0</v>
      </c>
      <c r="H21" s="26">
        <v>0.0</v>
      </c>
      <c r="I21" s="26">
        <v>0.0</v>
      </c>
      <c r="J21" s="26">
        <v>0.0</v>
      </c>
      <c r="K21" s="29">
        <f t="shared" si="1"/>
        <v>2782</v>
      </c>
      <c r="L21" s="35">
        <f t="shared" si="2"/>
        <v>48.685</v>
      </c>
      <c r="M21" s="26">
        <f t="shared" si="3"/>
        <v>2733.315</v>
      </c>
    </row>
    <row r="22">
      <c r="A22" s="21">
        <v>46286.0</v>
      </c>
      <c r="B22" s="22" t="s">
        <v>47</v>
      </c>
      <c r="C22" s="39">
        <v>3.5</v>
      </c>
      <c r="D22" s="26">
        <v>250.0</v>
      </c>
      <c r="E22" s="26">
        <v>3200.0</v>
      </c>
      <c r="F22" s="26">
        <v>2880.0</v>
      </c>
      <c r="G22" s="26">
        <v>400.0</v>
      </c>
      <c r="H22" s="26">
        <v>200.0</v>
      </c>
      <c r="I22" s="26">
        <v>0.0</v>
      </c>
      <c r="J22" s="26">
        <v>0.0</v>
      </c>
      <c r="K22" s="29">
        <f t="shared" si="1"/>
        <v>6933.5</v>
      </c>
      <c r="L22" s="35">
        <f t="shared" si="2"/>
        <v>121.33625</v>
      </c>
      <c r="M22" s="26">
        <f t="shared" si="3"/>
        <v>6812.16375</v>
      </c>
    </row>
    <row r="23">
      <c r="A23" s="21">
        <v>46287.0</v>
      </c>
      <c r="B23" s="22" t="s">
        <v>32</v>
      </c>
      <c r="C23" s="39">
        <v>4.5</v>
      </c>
      <c r="D23" s="26">
        <v>2664.0</v>
      </c>
      <c r="E23" s="26">
        <v>1500.0</v>
      </c>
      <c r="F23" s="26">
        <v>0.0</v>
      </c>
      <c r="G23" s="26">
        <v>350.0</v>
      </c>
      <c r="H23" s="26">
        <v>0.0</v>
      </c>
      <c r="I23" s="26">
        <v>0.0</v>
      </c>
      <c r="J23" s="52">
        <v>750.0</v>
      </c>
      <c r="K23" s="29">
        <f t="shared" si="1"/>
        <v>5268.5</v>
      </c>
      <c r="L23" s="35">
        <f t="shared" si="2"/>
        <v>92.19875</v>
      </c>
      <c r="M23" s="26">
        <f t="shared" si="3"/>
        <v>5176.30125</v>
      </c>
    </row>
    <row r="24">
      <c r="A24" s="21">
        <v>46288.0</v>
      </c>
      <c r="B24" s="22" t="s">
        <v>37</v>
      </c>
      <c r="C24" s="39">
        <v>5.5</v>
      </c>
      <c r="D24" s="26">
        <v>2233.0</v>
      </c>
      <c r="E24" s="26">
        <v>800.0</v>
      </c>
      <c r="F24" s="26">
        <v>0.0</v>
      </c>
      <c r="G24" s="26">
        <v>800.0</v>
      </c>
      <c r="H24" s="26">
        <v>300.0</v>
      </c>
      <c r="I24" s="26">
        <v>0.0</v>
      </c>
      <c r="J24" s="26">
        <v>600.0</v>
      </c>
      <c r="K24" s="29">
        <f t="shared" si="1"/>
        <v>4738.5</v>
      </c>
      <c r="L24" s="35">
        <f t="shared" si="2"/>
        <v>82.92375</v>
      </c>
      <c r="M24" s="26">
        <f t="shared" si="3"/>
        <v>4655.57625</v>
      </c>
    </row>
    <row r="25">
      <c r="A25" s="21">
        <v>46289.0</v>
      </c>
      <c r="B25" s="22" t="s">
        <v>40</v>
      </c>
      <c r="C25" s="39">
        <v>8.0</v>
      </c>
      <c r="D25" s="26">
        <v>5116.0</v>
      </c>
      <c r="E25" s="26">
        <v>0.0</v>
      </c>
      <c r="F25" s="26">
        <v>0.0</v>
      </c>
      <c r="G25" s="26">
        <v>200.0</v>
      </c>
      <c r="H25" s="26">
        <v>0.0</v>
      </c>
      <c r="I25" s="26">
        <v>0.0</v>
      </c>
      <c r="J25" s="26">
        <v>0.0</v>
      </c>
      <c r="K25" s="29">
        <f t="shared" si="1"/>
        <v>5324</v>
      </c>
      <c r="L25" s="35">
        <f t="shared" si="2"/>
        <v>93.17</v>
      </c>
      <c r="M25" s="26">
        <f t="shared" si="3"/>
        <v>5230.83</v>
      </c>
    </row>
    <row r="26">
      <c r="A26" s="21">
        <v>46290.0</v>
      </c>
      <c r="B26" s="22" t="s">
        <v>42</v>
      </c>
      <c r="C26" s="39">
        <v>2.5</v>
      </c>
      <c r="D26" s="26">
        <v>638.0</v>
      </c>
      <c r="E26" s="26">
        <v>2175.0</v>
      </c>
      <c r="F26" s="26">
        <v>0.0</v>
      </c>
      <c r="G26" s="26">
        <v>250.0</v>
      </c>
      <c r="H26" s="26">
        <v>0.0</v>
      </c>
      <c r="I26" s="26">
        <v>0.0</v>
      </c>
      <c r="J26" s="26">
        <v>375.0</v>
      </c>
      <c r="K26" s="29">
        <f t="shared" si="1"/>
        <v>3440.5</v>
      </c>
      <c r="L26" s="35">
        <f t="shared" si="2"/>
        <v>60.20875</v>
      </c>
      <c r="M26" s="26">
        <f t="shared" si="3"/>
        <v>3380.29125</v>
      </c>
    </row>
    <row r="27">
      <c r="A27" s="21">
        <v>46291.0</v>
      </c>
      <c r="B27" s="22" t="s">
        <v>44</v>
      </c>
      <c r="C27" s="39">
        <v>3.0</v>
      </c>
      <c r="D27" s="26">
        <v>638.0</v>
      </c>
      <c r="E27" s="26">
        <v>3050.0</v>
      </c>
      <c r="F27" s="26">
        <v>0.0</v>
      </c>
      <c r="G27" s="26">
        <v>150.0</v>
      </c>
      <c r="H27" s="26">
        <v>0.0</v>
      </c>
      <c r="I27" s="26">
        <v>0.0</v>
      </c>
      <c r="J27" s="26">
        <v>0.0</v>
      </c>
      <c r="K27" s="29">
        <f t="shared" si="1"/>
        <v>3841</v>
      </c>
      <c r="L27" s="35">
        <f t="shared" si="2"/>
        <v>67.2175</v>
      </c>
      <c r="M27" s="26">
        <f t="shared" si="3"/>
        <v>3773.7825</v>
      </c>
    </row>
    <row r="28">
      <c r="A28" s="21">
        <v>46292.0</v>
      </c>
      <c r="B28" s="22" t="s">
        <v>46</v>
      </c>
      <c r="C28" s="39">
        <v>4.5</v>
      </c>
      <c r="D28" s="26">
        <v>1778.0</v>
      </c>
      <c r="E28" s="26">
        <v>1800.0</v>
      </c>
      <c r="F28" s="26">
        <v>0.0</v>
      </c>
      <c r="G28" s="26">
        <v>450.0</v>
      </c>
      <c r="H28" s="26">
        <v>0.0</v>
      </c>
      <c r="I28" s="26">
        <v>0.0</v>
      </c>
      <c r="J28" s="26">
        <v>375.0</v>
      </c>
      <c r="K28" s="29">
        <f t="shared" si="1"/>
        <v>4407.5</v>
      </c>
      <c r="L28" s="35">
        <f t="shared" si="2"/>
        <v>77.13125</v>
      </c>
      <c r="M28" s="26">
        <f t="shared" si="3"/>
        <v>4330.36875</v>
      </c>
    </row>
    <row r="29">
      <c r="A29" s="21">
        <v>46293.0</v>
      </c>
      <c r="B29" s="22" t="s">
        <v>47</v>
      </c>
      <c r="C29" s="39">
        <v>5.5</v>
      </c>
      <c r="D29" s="26">
        <v>1276.0</v>
      </c>
      <c r="E29" s="26">
        <v>3700.0</v>
      </c>
      <c r="F29" s="61"/>
      <c r="G29" s="26">
        <v>350.0</v>
      </c>
      <c r="H29" s="26">
        <v>400.0</v>
      </c>
      <c r="I29" s="26">
        <v>0.0</v>
      </c>
      <c r="J29" s="26">
        <v>0.0</v>
      </c>
      <c r="K29" s="29">
        <f t="shared" si="1"/>
        <v>5731.5</v>
      </c>
      <c r="L29" s="35">
        <f t="shared" si="2"/>
        <v>100.30125</v>
      </c>
      <c r="M29" s="26">
        <f t="shared" si="3"/>
        <v>5631.19875</v>
      </c>
    </row>
    <row r="30">
      <c r="A30" s="21">
        <v>46294.0</v>
      </c>
      <c r="B30" s="22" t="s">
        <v>32</v>
      </c>
      <c r="C30" s="39">
        <v>5.0</v>
      </c>
      <c r="D30" s="26">
        <v>957.0</v>
      </c>
      <c r="E30" s="26">
        <v>3200.0</v>
      </c>
      <c r="F30" s="26">
        <v>0.0</v>
      </c>
      <c r="G30" s="26">
        <v>450.0</v>
      </c>
      <c r="H30" s="26">
        <v>0.0</v>
      </c>
      <c r="I30" s="26">
        <v>0.0</v>
      </c>
      <c r="J30" s="26">
        <v>0.0</v>
      </c>
      <c r="K30" s="29">
        <f t="shared" si="1"/>
        <v>4612</v>
      </c>
      <c r="L30" s="35">
        <f t="shared" si="2"/>
        <v>80.71</v>
      </c>
      <c r="M30" s="26">
        <f t="shared" si="3"/>
        <v>4531.29</v>
      </c>
    </row>
    <row r="31">
      <c r="A31" s="21">
        <v>46295.0</v>
      </c>
      <c r="B31" s="22" t="s">
        <v>37</v>
      </c>
      <c r="C31" s="39">
        <v>2.0</v>
      </c>
      <c r="D31" s="26">
        <v>0.0</v>
      </c>
      <c r="E31" s="26">
        <v>1600.0</v>
      </c>
      <c r="F31" s="26">
        <v>0.0</v>
      </c>
      <c r="G31" s="26">
        <v>0.0</v>
      </c>
      <c r="H31" s="26">
        <v>0.0</v>
      </c>
      <c r="I31" s="26">
        <v>6260.0</v>
      </c>
      <c r="J31" s="26">
        <v>0.0</v>
      </c>
      <c r="K31" s="29">
        <f t="shared" si="1"/>
        <v>7862</v>
      </c>
      <c r="L31" s="35">
        <f t="shared" si="2"/>
        <v>137.585</v>
      </c>
      <c r="M31" s="26">
        <f t="shared" si="3"/>
        <v>7724.415</v>
      </c>
    </row>
    <row r="32">
      <c r="A32" s="2" t="s">
        <v>17</v>
      </c>
      <c r="B32" s="74"/>
      <c r="C32" s="75"/>
      <c r="D32" s="10">
        <f t="shared" ref="D32:M32" si="4">SUM(D2:D31)</f>
        <v>31283</v>
      </c>
      <c r="E32" s="10">
        <f t="shared" si="4"/>
        <v>65055</v>
      </c>
      <c r="F32" s="10">
        <f t="shared" si="4"/>
        <v>13156</v>
      </c>
      <c r="G32" s="10">
        <f t="shared" si="4"/>
        <v>10200</v>
      </c>
      <c r="H32" s="10">
        <f t="shared" si="4"/>
        <v>3350</v>
      </c>
      <c r="I32" s="10">
        <f t="shared" si="4"/>
        <v>28211</v>
      </c>
      <c r="J32" s="10">
        <f t="shared" si="4"/>
        <v>2700</v>
      </c>
      <c r="K32" s="10">
        <f t="shared" si="4"/>
        <v>154073</v>
      </c>
      <c r="L32" s="10">
        <f t="shared" si="4"/>
        <v>2696.2775</v>
      </c>
      <c r="M32" s="10">
        <f t="shared" si="4"/>
        <v>151376.7225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3" max="3" width="13.13"/>
    <col customWidth="1" min="4" max="4" width="17.88"/>
    <col customWidth="1" min="5" max="6" width="15.25"/>
  </cols>
  <sheetData>
    <row r="1">
      <c r="A1" s="8" t="s">
        <v>13</v>
      </c>
      <c r="B1" s="10" t="s">
        <v>28</v>
      </c>
      <c r="C1" s="10" t="s">
        <v>29</v>
      </c>
      <c r="D1" s="10" t="s">
        <v>30</v>
      </c>
      <c r="E1" s="24" t="s">
        <v>31</v>
      </c>
      <c r="F1" s="25" t="s">
        <v>26</v>
      </c>
      <c r="G1" s="25" t="s">
        <v>20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31">
        <v>1.0</v>
      </c>
      <c r="B2" s="31" t="s">
        <v>33</v>
      </c>
      <c r="C2" s="17" t="s">
        <v>34</v>
      </c>
      <c r="D2" s="17" t="s">
        <v>35</v>
      </c>
      <c r="E2" s="19">
        <v>50000.0</v>
      </c>
      <c r="F2" s="35">
        <f t="shared" ref="F2:F3" si="1">E2*1.75%</f>
        <v>875</v>
      </c>
      <c r="G2" s="26">
        <f t="shared" ref="G2:G3" si="2">E2-F2</f>
        <v>49125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31">
        <v>2.0</v>
      </c>
      <c r="B3" s="31" t="s">
        <v>39</v>
      </c>
      <c r="C3" s="17" t="s">
        <v>34</v>
      </c>
      <c r="D3" s="17" t="s">
        <v>35</v>
      </c>
      <c r="E3" s="19">
        <v>24800.0</v>
      </c>
      <c r="F3" s="35">
        <f t="shared" si="1"/>
        <v>434</v>
      </c>
      <c r="G3" s="26">
        <f t="shared" si="2"/>
        <v>24366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>
      <c r="A4" s="45" t="s">
        <v>17</v>
      </c>
      <c r="B4" s="45"/>
      <c r="C4" s="25"/>
      <c r="D4" s="25"/>
      <c r="E4" s="46">
        <f t="shared" ref="E4:G4" si="3">SUM(E3,E2)</f>
        <v>74800</v>
      </c>
      <c r="F4" s="47">
        <f t="shared" si="3"/>
        <v>1309</v>
      </c>
      <c r="G4" s="49">
        <f t="shared" si="3"/>
        <v>73491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6" max="6" width="15.75"/>
    <col customWidth="1" min="7" max="8" width="15.25"/>
    <col customWidth="1" min="9" max="9" width="11.13"/>
    <col customWidth="1" min="10" max="10" width="15.25"/>
    <col customWidth="1" min="12" max="12" width="6.25"/>
  </cols>
  <sheetData>
    <row r="1">
      <c r="A1" s="57" t="s">
        <v>60</v>
      </c>
      <c r="B1" s="16" t="s">
        <v>1</v>
      </c>
      <c r="C1" s="58" t="s">
        <v>62</v>
      </c>
      <c r="D1" s="16" t="s">
        <v>63</v>
      </c>
      <c r="E1" s="16" t="s">
        <v>64</v>
      </c>
      <c r="F1" s="58" t="s">
        <v>66</v>
      </c>
      <c r="G1" s="58" t="s">
        <v>67</v>
      </c>
      <c r="H1" s="58" t="s">
        <v>26</v>
      </c>
      <c r="I1" s="16" t="s">
        <v>20</v>
      </c>
      <c r="J1" s="3" t="s">
        <v>68</v>
      </c>
      <c r="K1" s="59" t="s">
        <v>69</v>
      </c>
      <c r="L1" s="16" t="s">
        <v>25</v>
      </c>
    </row>
    <row r="2">
      <c r="A2" s="31">
        <v>1.0</v>
      </c>
      <c r="B2" s="31" t="s">
        <v>70</v>
      </c>
      <c r="C2" s="42" t="s">
        <v>5</v>
      </c>
      <c r="D2" s="31" t="s">
        <v>72</v>
      </c>
      <c r="E2" s="19">
        <v>3980.0</v>
      </c>
      <c r="F2" s="60">
        <v>0.0</v>
      </c>
      <c r="G2" s="52">
        <v>0.0</v>
      </c>
      <c r="H2" s="35">
        <f t="shared" ref="H2:H3" si="1">E2*1.75%</f>
        <v>69.65</v>
      </c>
      <c r="I2" s="26">
        <f>E2-H2</f>
        <v>3910.35</v>
      </c>
      <c r="J2" s="19">
        <v>0.0</v>
      </c>
      <c r="K2" s="61">
        <f t="shared" ref="K2:K3" si="2">I2</f>
        <v>3910.35</v>
      </c>
      <c r="L2" s="62"/>
    </row>
    <row r="3">
      <c r="A3" s="64">
        <v>2.0</v>
      </c>
      <c r="B3" s="31" t="s">
        <v>75</v>
      </c>
      <c r="C3" s="42" t="s">
        <v>5</v>
      </c>
      <c r="D3" s="31" t="s">
        <v>72</v>
      </c>
      <c r="E3" s="65">
        <v>5242.0</v>
      </c>
      <c r="F3" s="60">
        <f>E3*50%</f>
        <v>2621</v>
      </c>
      <c r="G3" s="66">
        <v>0.0</v>
      </c>
      <c r="H3" s="35">
        <f t="shared" si="1"/>
        <v>91.735</v>
      </c>
      <c r="I3" s="26">
        <f>E3-F3</f>
        <v>2621</v>
      </c>
      <c r="J3" s="67">
        <v>0.0</v>
      </c>
      <c r="K3" s="61">
        <f t="shared" si="2"/>
        <v>2621</v>
      </c>
      <c r="L3" s="62"/>
    </row>
    <row r="4">
      <c r="A4" s="68" t="s">
        <v>17</v>
      </c>
      <c r="B4" s="68"/>
      <c r="C4" s="69"/>
      <c r="D4" s="69"/>
      <c r="E4" s="70">
        <f t="shared" ref="E4:K4" si="3">SUM(E2:E3)</f>
        <v>9222</v>
      </c>
      <c r="F4" s="71">
        <f t="shared" si="3"/>
        <v>2621</v>
      </c>
      <c r="G4" s="72">
        <f t="shared" si="3"/>
        <v>0</v>
      </c>
      <c r="H4" s="71">
        <f t="shared" si="3"/>
        <v>161.385</v>
      </c>
      <c r="I4" s="72">
        <f t="shared" si="3"/>
        <v>6531.35</v>
      </c>
      <c r="J4" s="70">
        <f t="shared" si="3"/>
        <v>0</v>
      </c>
      <c r="K4" s="72">
        <f t="shared" si="3"/>
        <v>6531.35</v>
      </c>
      <c r="L4" s="73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7" max="7" width="15.25"/>
  </cols>
  <sheetData>
    <row r="1">
      <c r="A1" s="80" t="s">
        <v>91</v>
      </c>
      <c r="B1" s="16" t="s">
        <v>1</v>
      </c>
      <c r="C1" s="58" t="s">
        <v>93</v>
      </c>
      <c r="D1" s="58" t="s">
        <v>62</v>
      </c>
      <c r="E1" s="16" t="s">
        <v>63</v>
      </c>
      <c r="F1" s="16" t="s">
        <v>64</v>
      </c>
      <c r="G1" s="58" t="s">
        <v>26</v>
      </c>
      <c r="H1" s="16" t="s">
        <v>20</v>
      </c>
    </row>
    <row r="2">
      <c r="A2" s="31">
        <v>1.0</v>
      </c>
      <c r="B2" s="31" t="s">
        <v>95</v>
      </c>
      <c r="C2" s="42" t="s">
        <v>96</v>
      </c>
      <c r="D2" s="42" t="s">
        <v>34</v>
      </c>
      <c r="E2" s="31" t="s">
        <v>74</v>
      </c>
      <c r="F2" s="19">
        <v>40120.0</v>
      </c>
      <c r="G2" s="52">
        <v>0.0</v>
      </c>
      <c r="H2" s="26">
        <f t="shared" ref="H2:H3" si="1">F2-G2</f>
        <v>40120</v>
      </c>
    </row>
    <row r="3">
      <c r="A3" s="31">
        <v>2.0</v>
      </c>
      <c r="B3" s="31" t="s">
        <v>95</v>
      </c>
      <c r="C3" s="42" t="s">
        <v>103</v>
      </c>
      <c r="D3" s="42" t="s">
        <v>34</v>
      </c>
      <c r="E3" s="31" t="s">
        <v>74</v>
      </c>
      <c r="F3" s="19">
        <v>47200.0</v>
      </c>
      <c r="G3" s="52">
        <v>0.0</v>
      </c>
      <c r="H3" s="26">
        <f t="shared" si="1"/>
        <v>47200</v>
      </c>
    </row>
    <row r="4">
      <c r="A4" s="86" t="s">
        <v>17</v>
      </c>
      <c r="B4" s="86"/>
      <c r="C4" s="69"/>
      <c r="D4" s="69"/>
      <c r="E4" s="69"/>
      <c r="F4" s="70">
        <f t="shared" ref="F4:H4" si="2">SUM(F2:F3)</f>
        <v>87320</v>
      </c>
      <c r="G4" s="72">
        <f t="shared" si="2"/>
        <v>0</v>
      </c>
      <c r="H4" s="72">
        <f t="shared" si="2"/>
        <v>87320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2" max="2" width="14.88"/>
    <col customWidth="1" min="3" max="3" width="41.25"/>
    <col customWidth="1" min="4" max="4" width="16.5"/>
    <col customWidth="1" min="5" max="5" width="13.0"/>
    <col customWidth="1" min="6" max="6" width="45.13"/>
    <col customWidth="1" min="7" max="9" width="15.25"/>
  </cols>
  <sheetData>
    <row r="1">
      <c r="A1" s="57" t="s">
        <v>107</v>
      </c>
      <c r="B1" s="16" t="s">
        <v>1</v>
      </c>
      <c r="C1" s="16" t="s">
        <v>108</v>
      </c>
      <c r="D1" s="16" t="s">
        <v>63</v>
      </c>
      <c r="E1" s="16" t="s">
        <v>29</v>
      </c>
      <c r="F1" s="16" t="s">
        <v>109</v>
      </c>
      <c r="G1" s="16" t="s">
        <v>31</v>
      </c>
      <c r="H1" s="58" t="s">
        <v>110</v>
      </c>
      <c r="I1" s="16" t="s">
        <v>26</v>
      </c>
      <c r="J1" s="16" t="s">
        <v>20</v>
      </c>
    </row>
    <row r="2">
      <c r="A2" s="89">
        <v>1.0</v>
      </c>
      <c r="B2" s="90" t="s">
        <v>112</v>
      </c>
      <c r="C2" s="31" t="s">
        <v>114</v>
      </c>
      <c r="D2" s="31" t="s">
        <v>115</v>
      </c>
      <c r="E2" s="31" t="s">
        <v>34</v>
      </c>
      <c r="F2" s="62" t="s">
        <v>116</v>
      </c>
      <c r="G2" s="91">
        <v>20500.0</v>
      </c>
      <c r="H2" s="60">
        <v>8000.0</v>
      </c>
      <c r="I2" s="35">
        <f t="shared" ref="I2:I6" si="1">G2*1.75%</f>
        <v>358.75</v>
      </c>
      <c r="J2" s="52">
        <f t="shared" ref="J2:J11" si="2">G2-I2-H2</f>
        <v>12141.25</v>
      </c>
    </row>
    <row r="3">
      <c r="A3" s="89">
        <v>2.0</v>
      </c>
      <c r="B3" s="90" t="s">
        <v>117</v>
      </c>
      <c r="C3" s="31" t="s">
        <v>118</v>
      </c>
      <c r="D3" s="31" t="s">
        <v>119</v>
      </c>
      <c r="E3" s="31" t="s">
        <v>34</v>
      </c>
      <c r="F3" s="31" t="s">
        <v>120</v>
      </c>
      <c r="G3" s="91">
        <v>3600.0</v>
      </c>
      <c r="H3" s="60">
        <v>0.0</v>
      </c>
      <c r="I3" s="35">
        <f t="shared" si="1"/>
        <v>63</v>
      </c>
      <c r="J3" s="52">
        <f t="shared" si="2"/>
        <v>3537</v>
      </c>
    </row>
    <row r="4">
      <c r="A4" s="89">
        <v>3.0</v>
      </c>
      <c r="B4" s="90" t="s">
        <v>121</v>
      </c>
      <c r="C4" s="31" t="s">
        <v>122</v>
      </c>
      <c r="D4" s="31" t="s">
        <v>123</v>
      </c>
      <c r="E4" s="31" t="s">
        <v>34</v>
      </c>
      <c r="F4" s="62" t="s">
        <v>124</v>
      </c>
      <c r="G4" s="91">
        <v>9750.0</v>
      </c>
      <c r="H4" s="60">
        <v>0.0</v>
      </c>
      <c r="I4" s="35">
        <f t="shared" si="1"/>
        <v>170.625</v>
      </c>
      <c r="J4" s="52">
        <f t="shared" si="2"/>
        <v>9579.375</v>
      </c>
    </row>
    <row r="5">
      <c r="A5" s="89">
        <v>4.0</v>
      </c>
      <c r="B5" s="90" t="s">
        <v>125</v>
      </c>
      <c r="C5" s="31" t="s">
        <v>126</v>
      </c>
      <c r="D5" s="31" t="s">
        <v>127</v>
      </c>
      <c r="E5" s="31" t="s">
        <v>34</v>
      </c>
      <c r="F5" s="42" t="s">
        <v>128</v>
      </c>
      <c r="G5" s="91">
        <v>19200.0</v>
      </c>
      <c r="H5" s="60">
        <v>0.0</v>
      </c>
      <c r="I5" s="35">
        <f t="shared" si="1"/>
        <v>336</v>
      </c>
      <c r="J5" s="52">
        <f t="shared" si="2"/>
        <v>18864</v>
      </c>
    </row>
    <row r="6">
      <c r="A6" s="89">
        <v>5.0</v>
      </c>
      <c r="B6" s="90" t="s">
        <v>75</v>
      </c>
      <c r="C6" s="31" t="s">
        <v>129</v>
      </c>
      <c r="D6" s="31" t="s">
        <v>119</v>
      </c>
      <c r="E6" s="31" t="s">
        <v>34</v>
      </c>
      <c r="F6" s="31" t="s">
        <v>130</v>
      </c>
      <c r="G6" s="91">
        <v>8640.0</v>
      </c>
      <c r="H6" s="60">
        <v>0.0</v>
      </c>
      <c r="I6" s="35">
        <f t="shared" si="1"/>
        <v>151.2</v>
      </c>
      <c r="J6" s="52">
        <f t="shared" si="2"/>
        <v>8488.8</v>
      </c>
    </row>
    <row r="7">
      <c r="A7" s="89">
        <v>6.0</v>
      </c>
      <c r="B7" s="90" t="s">
        <v>75</v>
      </c>
      <c r="C7" s="31" t="s">
        <v>131</v>
      </c>
      <c r="D7" s="31" t="s">
        <v>123</v>
      </c>
      <c r="E7" s="31" t="s">
        <v>34</v>
      </c>
      <c r="F7" s="31" t="s">
        <v>132</v>
      </c>
      <c r="G7" s="91">
        <v>37800.0</v>
      </c>
      <c r="H7" s="60">
        <v>18200.0</v>
      </c>
      <c r="I7" s="60">
        <v>0.0</v>
      </c>
      <c r="J7" s="52">
        <f t="shared" si="2"/>
        <v>19600</v>
      </c>
    </row>
    <row r="8">
      <c r="A8" s="89">
        <v>7.0</v>
      </c>
      <c r="B8" s="90" t="s">
        <v>75</v>
      </c>
      <c r="C8" s="31" t="s">
        <v>133</v>
      </c>
      <c r="D8" s="31" t="s">
        <v>134</v>
      </c>
      <c r="E8" s="31" t="s">
        <v>135</v>
      </c>
      <c r="F8" s="42" t="s">
        <v>136</v>
      </c>
      <c r="G8" s="91">
        <v>12000.0</v>
      </c>
      <c r="H8" s="60">
        <v>0.0</v>
      </c>
      <c r="I8" s="35">
        <f t="shared" ref="I8:I9" si="3">G8*1.75%</f>
        <v>210</v>
      </c>
      <c r="J8" s="52">
        <f t="shared" si="2"/>
        <v>11790</v>
      </c>
    </row>
    <row r="9">
      <c r="A9" s="89">
        <v>8.0</v>
      </c>
      <c r="B9" s="90" t="s">
        <v>137</v>
      </c>
      <c r="C9" s="31" t="s">
        <v>138</v>
      </c>
      <c r="D9" s="31" t="s">
        <v>127</v>
      </c>
      <c r="E9" s="31" t="s">
        <v>34</v>
      </c>
      <c r="F9" s="62" t="s">
        <v>139</v>
      </c>
      <c r="G9" s="91">
        <v>14400.0</v>
      </c>
      <c r="H9" s="60">
        <v>0.0</v>
      </c>
      <c r="I9" s="35">
        <f t="shared" si="3"/>
        <v>252</v>
      </c>
      <c r="J9" s="52">
        <f t="shared" si="2"/>
        <v>14148</v>
      </c>
    </row>
    <row r="10">
      <c r="A10" s="89">
        <v>9.0</v>
      </c>
      <c r="B10" s="90" t="s">
        <v>140</v>
      </c>
      <c r="C10" s="31" t="s">
        <v>141</v>
      </c>
      <c r="D10" s="31" t="s">
        <v>142</v>
      </c>
      <c r="E10" s="31" t="s">
        <v>5</v>
      </c>
      <c r="F10" s="31" t="s">
        <v>143</v>
      </c>
      <c r="G10" s="91">
        <v>1625.0</v>
      </c>
      <c r="H10" s="60">
        <v>0.0</v>
      </c>
      <c r="I10" s="60">
        <v>0.0</v>
      </c>
      <c r="J10" s="52">
        <f t="shared" si="2"/>
        <v>1625</v>
      </c>
    </row>
    <row r="11">
      <c r="A11" s="89">
        <v>10.0</v>
      </c>
      <c r="B11" s="90" t="s">
        <v>140</v>
      </c>
      <c r="C11" s="31" t="s">
        <v>144</v>
      </c>
      <c r="D11" s="31" t="s">
        <v>142</v>
      </c>
      <c r="E11" s="31" t="s">
        <v>145</v>
      </c>
      <c r="F11" s="31" t="s">
        <v>145</v>
      </c>
      <c r="G11" s="91">
        <v>14490.0</v>
      </c>
      <c r="H11" s="60">
        <v>0.0</v>
      </c>
      <c r="I11" s="35">
        <f>G11*1.75%</f>
        <v>253.575</v>
      </c>
      <c r="J11" s="52">
        <f t="shared" si="2"/>
        <v>14236.425</v>
      </c>
    </row>
    <row r="12">
      <c r="A12" s="25" t="s">
        <v>17</v>
      </c>
      <c r="B12" s="25"/>
      <c r="C12" s="33"/>
      <c r="D12" s="33"/>
      <c r="E12" s="33"/>
      <c r="F12" s="33"/>
      <c r="G12" s="32">
        <f t="shared" ref="G12:J12" si="4">SUM(G2:G11)</f>
        <v>142005</v>
      </c>
      <c r="H12" s="32">
        <f t="shared" si="4"/>
        <v>26200</v>
      </c>
      <c r="I12" s="32">
        <f t="shared" si="4"/>
        <v>1795.15</v>
      </c>
      <c r="J12" s="32">
        <f t="shared" si="4"/>
        <v>114009.85</v>
      </c>
    </row>
  </sheetData>
  <hyperlinks>
    <hyperlink r:id="rId2" ref="A1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3" max="4" width="18.38"/>
    <col customWidth="1" min="5" max="5" width="15.25"/>
  </cols>
  <sheetData>
    <row r="1">
      <c r="A1" s="3" t="s">
        <v>1</v>
      </c>
      <c r="B1" s="3" t="s">
        <v>82</v>
      </c>
      <c r="C1" s="13" t="s">
        <v>111</v>
      </c>
      <c r="D1" s="13" t="s">
        <v>113</v>
      </c>
      <c r="E1" s="16" t="s">
        <v>26</v>
      </c>
      <c r="F1" s="16" t="s">
        <v>20</v>
      </c>
    </row>
    <row r="2">
      <c r="A2" s="21">
        <v>46266.0</v>
      </c>
      <c r="B2" s="26">
        <v>445.0</v>
      </c>
      <c r="C2" s="6">
        <f t="shared" ref="C2:C31" si="1">B2*75%</f>
        <v>333.75</v>
      </c>
      <c r="D2" s="6">
        <f t="shared" ref="D2:D31" si="2">B2*25%</f>
        <v>111.25</v>
      </c>
      <c r="E2" s="35">
        <f t="shared" ref="E2:E31" si="3">B2*1.75%</f>
        <v>7.7875</v>
      </c>
      <c r="F2" s="26">
        <f t="shared" ref="F2:F31" si="4">D2-E2</f>
        <v>103.4625</v>
      </c>
    </row>
    <row r="3">
      <c r="A3" s="21">
        <v>46267.0</v>
      </c>
      <c r="B3" s="26">
        <v>125.0</v>
      </c>
      <c r="C3" s="6">
        <f t="shared" si="1"/>
        <v>93.75</v>
      </c>
      <c r="D3" s="6">
        <f t="shared" si="2"/>
        <v>31.25</v>
      </c>
      <c r="E3" s="35">
        <f t="shared" si="3"/>
        <v>2.1875</v>
      </c>
      <c r="F3" s="26">
        <f t="shared" si="4"/>
        <v>29.0625</v>
      </c>
    </row>
    <row r="4">
      <c r="A4" s="21">
        <v>46268.0</v>
      </c>
      <c r="B4" s="26">
        <v>450.0</v>
      </c>
      <c r="C4" s="6">
        <f t="shared" si="1"/>
        <v>337.5</v>
      </c>
      <c r="D4" s="6">
        <f t="shared" si="2"/>
        <v>112.5</v>
      </c>
      <c r="E4" s="35">
        <f t="shared" si="3"/>
        <v>7.875</v>
      </c>
      <c r="F4" s="26">
        <f t="shared" si="4"/>
        <v>104.625</v>
      </c>
    </row>
    <row r="5">
      <c r="A5" s="21">
        <v>46269.0</v>
      </c>
      <c r="B5" s="26">
        <v>0.0</v>
      </c>
      <c r="C5" s="6">
        <f t="shared" si="1"/>
        <v>0</v>
      </c>
      <c r="D5" s="6">
        <f t="shared" si="2"/>
        <v>0</v>
      </c>
      <c r="E5" s="35">
        <f t="shared" si="3"/>
        <v>0</v>
      </c>
      <c r="F5" s="26">
        <f t="shared" si="4"/>
        <v>0</v>
      </c>
    </row>
    <row r="6">
      <c r="A6" s="21">
        <v>46270.0</v>
      </c>
      <c r="B6" s="26">
        <v>0.0</v>
      </c>
      <c r="C6" s="6">
        <f t="shared" si="1"/>
        <v>0</v>
      </c>
      <c r="D6" s="6">
        <f t="shared" si="2"/>
        <v>0</v>
      </c>
      <c r="E6" s="35">
        <f t="shared" si="3"/>
        <v>0</v>
      </c>
      <c r="F6" s="26">
        <f t="shared" si="4"/>
        <v>0</v>
      </c>
    </row>
    <row r="7">
      <c r="A7" s="21">
        <v>46271.0</v>
      </c>
      <c r="B7" s="26">
        <v>0.0</v>
      </c>
      <c r="C7" s="6">
        <f t="shared" si="1"/>
        <v>0</v>
      </c>
      <c r="D7" s="6">
        <f t="shared" si="2"/>
        <v>0</v>
      </c>
      <c r="E7" s="35">
        <f t="shared" si="3"/>
        <v>0</v>
      </c>
      <c r="F7" s="26">
        <f t="shared" si="4"/>
        <v>0</v>
      </c>
    </row>
    <row r="8">
      <c r="A8" s="21">
        <v>46272.0</v>
      </c>
      <c r="B8" s="26">
        <v>0.0</v>
      </c>
      <c r="C8" s="6">
        <f t="shared" si="1"/>
        <v>0</v>
      </c>
      <c r="D8" s="6">
        <f t="shared" si="2"/>
        <v>0</v>
      </c>
      <c r="E8" s="35">
        <f t="shared" si="3"/>
        <v>0</v>
      </c>
      <c r="F8" s="26">
        <f t="shared" si="4"/>
        <v>0</v>
      </c>
    </row>
    <row r="9">
      <c r="A9" s="21">
        <v>46273.0</v>
      </c>
      <c r="B9" s="26">
        <v>0.0</v>
      </c>
      <c r="C9" s="6">
        <f t="shared" si="1"/>
        <v>0</v>
      </c>
      <c r="D9" s="6">
        <f t="shared" si="2"/>
        <v>0</v>
      </c>
      <c r="E9" s="35">
        <f t="shared" si="3"/>
        <v>0</v>
      </c>
      <c r="F9" s="26">
        <f t="shared" si="4"/>
        <v>0</v>
      </c>
    </row>
    <row r="10">
      <c r="A10" s="21">
        <v>46274.0</v>
      </c>
      <c r="B10" s="26">
        <v>655.0</v>
      </c>
      <c r="C10" s="6">
        <f t="shared" si="1"/>
        <v>491.25</v>
      </c>
      <c r="D10" s="6">
        <f t="shared" si="2"/>
        <v>163.75</v>
      </c>
      <c r="E10" s="35">
        <f t="shared" si="3"/>
        <v>11.4625</v>
      </c>
      <c r="F10" s="26">
        <f t="shared" si="4"/>
        <v>152.2875</v>
      </c>
    </row>
    <row r="11">
      <c r="A11" s="21">
        <v>46275.0</v>
      </c>
      <c r="B11" s="26">
        <v>1465.0</v>
      </c>
      <c r="C11" s="6">
        <f t="shared" si="1"/>
        <v>1098.75</v>
      </c>
      <c r="D11" s="6">
        <f t="shared" si="2"/>
        <v>366.25</v>
      </c>
      <c r="E11" s="35">
        <f t="shared" si="3"/>
        <v>25.6375</v>
      </c>
      <c r="F11" s="26">
        <f t="shared" si="4"/>
        <v>340.6125</v>
      </c>
    </row>
    <row r="12">
      <c r="A12" s="21">
        <v>46276.0</v>
      </c>
      <c r="B12" s="26">
        <v>175.0</v>
      </c>
      <c r="C12" s="6">
        <f t="shared" si="1"/>
        <v>131.25</v>
      </c>
      <c r="D12" s="6">
        <f t="shared" si="2"/>
        <v>43.75</v>
      </c>
      <c r="E12" s="35">
        <f t="shared" si="3"/>
        <v>3.0625</v>
      </c>
      <c r="F12" s="26">
        <f t="shared" si="4"/>
        <v>40.6875</v>
      </c>
    </row>
    <row r="13">
      <c r="A13" s="21">
        <v>46277.0</v>
      </c>
      <c r="B13" s="26">
        <v>550.0</v>
      </c>
      <c r="C13" s="6">
        <f t="shared" si="1"/>
        <v>412.5</v>
      </c>
      <c r="D13" s="6">
        <f t="shared" si="2"/>
        <v>137.5</v>
      </c>
      <c r="E13" s="35">
        <f t="shared" si="3"/>
        <v>9.625</v>
      </c>
      <c r="F13" s="26">
        <f t="shared" si="4"/>
        <v>127.875</v>
      </c>
    </row>
    <row r="14">
      <c r="A14" s="21">
        <v>46278.0</v>
      </c>
      <c r="B14" s="26">
        <v>465.0</v>
      </c>
      <c r="C14" s="6">
        <f t="shared" si="1"/>
        <v>348.75</v>
      </c>
      <c r="D14" s="6">
        <f t="shared" si="2"/>
        <v>116.25</v>
      </c>
      <c r="E14" s="35">
        <f t="shared" si="3"/>
        <v>8.1375</v>
      </c>
      <c r="F14" s="26">
        <f t="shared" si="4"/>
        <v>108.1125</v>
      </c>
    </row>
    <row r="15">
      <c r="A15" s="21">
        <v>46279.0</v>
      </c>
      <c r="B15" s="26">
        <v>775.0</v>
      </c>
      <c r="C15" s="6">
        <f t="shared" si="1"/>
        <v>581.25</v>
      </c>
      <c r="D15" s="6">
        <f t="shared" si="2"/>
        <v>193.75</v>
      </c>
      <c r="E15" s="35">
        <f t="shared" si="3"/>
        <v>13.5625</v>
      </c>
      <c r="F15" s="26">
        <f t="shared" si="4"/>
        <v>180.1875</v>
      </c>
    </row>
    <row r="16">
      <c r="A16" s="21">
        <v>46280.0</v>
      </c>
      <c r="B16" s="26">
        <v>250.0</v>
      </c>
      <c r="C16" s="6">
        <f t="shared" si="1"/>
        <v>187.5</v>
      </c>
      <c r="D16" s="6">
        <f t="shared" si="2"/>
        <v>62.5</v>
      </c>
      <c r="E16" s="35">
        <f t="shared" si="3"/>
        <v>4.375</v>
      </c>
      <c r="F16" s="26">
        <f t="shared" si="4"/>
        <v>58.125</v>
      </c>
    </row>
    <row r="17">
      <c r="A17" s="21">
        <v>46281.0</v>
      </c>
      <c r="B17" s="26">
        <v>35.0</v>
      </c>
      <c r="C17" s="6">
        <f t="shared" si="1"/>
        <v>26.25</v>
      </c>
      <c r="D17" s="6">
        <f t="shared" si="2"/>
        <v>8.75</v>
      </c>
      <c r="E17" s="35">
        <f t="shared" si="3"/>
        <v>0.6125</v>
      </c>
      <c r="F17" s="26">
        <f t="shared" si="4"/>
        <v>8.1375</v>
      </c>
    </row>
    <row r="18">
      <c r="A18" s="21">
        <v>46282.0</v>
      </c>
      <c r="B18" s="26">
        <v>1658.0</v>
      </c>
      <c r="C18" s="6">
        <f t="shared" si="1"/>
        <v>1243.5</v>
      </c>
      <c r="D18" s="6">
        <f t="shared" si="2"/>
        <v>414.5</v>
      </c>
      <c r="E18" s="35">
        <f t="shared" si="3"/>
        <v>29.015</v>
      </c>
      <c r="F18" s="26">
        <f t="shared" si="4"/>
        <v>385.485</v>
      </c>
    </row>
    <row r="19">
      <c r="A19" s="21">
        <v>46283.0</v>
      </c>
      <c r="B19" s="26">
        <v>1930.0</v>
      </c>
      <c r="C19" s="6">
        <f t="shared" si="1"/>
        <v>1447.5</v>
      </c>
      <c r="D19" s="6">
        <f t="shared" si="2"/>
        <v>482.5</v>
      </c>
      <c r="E19" s="35">
        <f t="shared" si="3"/>
        <v>33.775</v>
      </c>
      <c r="F19" s="26">
        <f t="shared" si="4"/>
        <v>448.725</v>
      </c>
    </row>
    <row r="20">
      <c r="A20" s="21">
        <v>46284.0</v>
      </c>
      <c r="B20" s="26">
        <v>1050.0</v>
      </c>
      <c r="C20" s="6">
        <f t="shared" si="1"/>
        <v>787.5</v>
      </c>
      <c r="D20" s="6">
        <f t="shared" si="2"/>
        <v>262.5</v>
      </c>
      <c r="E20" s="35">
        <f t="shared" si="3"/>
        <v>18.375</v>
      </c>
      <c r="F20" s="26">
        <f t="shared" si="4"/>
        <v>244.125</v>
      </c>
    </row>
    <row r="21">
      <c r="A21" s="21">
        <v>46285.0</v>
      </c>
      <c r="B21" s="26">
        <v>910.0</v>
      </c>
      <c r="C21" s="6">
        <f t="shared" si="1"/>
        <v>682.5</v>
      </c>
      <c r="D21" s="6">
        <f t="shared" si="2"/>
        <v>227.5</v>
      </c>
      <c r="E21" s="35">
        <f t="shared" si="3"/>
        <v>15.925</v>
      </c>
      <c r="F21" s="26">
        <f t="shared" si="4"/>
        <v>211.575</v>
      </c>
    </row>
    <row r="22">
      <c r="A22" s="21">
        <v>46286.0</v>
      </c>
      <c r="B22" s="26">
        <v>810.0</v>
      </c>
      <c r="C22" s="6">
        <f t="shared" si="1"/>
        <v>607.5</v>
      </c>
      <c r="D22" s="6">
        <f t="shared" si="2"/>
        <v>202.5</v>
      </c>
      <c r="E22" s="35">
        <f t="shared" si="3"/>
        <v>14.175</v>
      </c>
      <c r="F22" s="26">
        <f t="shared" si="4"/>
        <v>188.325</v>
      </c>
    </row>
    <row r="23">
      <c r="A23" s="21">
        <v>46287.0</v>
      </c>
      <c r="B23" s="26">
        <v>420.0</v>
      </c>
      <c r="C23" s="6">
        <f t="shared" si="1"/>
        <v>315</v>
      </c>
      <c r="D23" s="6">
        <f t="shared" si="2"/>
        <v>105</v>
      </c>
      <c r="E23" s="35">
        <f t="shared" si="3"/>
        <v>7.35</v>
      </c>
      <c r="F23" s="26">
        <f t="shared" si="4"/>
        <v>97.65</v>
      </c>
    </row>
    <row r="24">
      <c r="A24" s="21">
        <v>46288.0</v>
      </c>
      <c r="B24" s="26">
        <v>525.0</v>
      </c>
      <c r="C24" s="6">
        <f t="shared" si="1"/>
        <v>393.75</v>
      </c>
      <c r="D24" s="6">
        <f t="shared" si="2"/>
        <v>131.25</v>
      </c>
      <c r="E24" s="35">
        <f t="shared" si="3"/>
        <v>9.1875</v>
      </c>
      <c r="F24" s="26">
        <f t="shared" si="4"/>
        <v>122.0625</v>
      </c>
    </row>
    <row r="25">
      <c r="A25" s="21">
        <v>46289.0</v>
      </c>
      <c r="B25" s="26">
        <v>1050.0</v>
      </c>
      <c r="C25" s="6">
        <f t="shared" si="1"/>
        <v>787.5</v>
      </c>
      <c r="D25" s="6">
        <f t="shared" si="2"/>
        <v>262.5</v>
      </c>
      <c r="E25" s="35">
        <f t="shared" si="3"/>
        <v>18.375</v>
      </c>
      <c r="F25" s="26">
        <f t="shared" si="4"/>
        <v>244.125</v>
      </c>
    </row>
    <row r="26">
      <c r="A26" s="21">
        <v>46290.0</v>
      </c>
      <c r="B26" s="26">
        <v>560.0</v>
      </c>
      <c r="C26" s="6">
        <f t="shared" si="1"/>
        <v>420</v>
      </c>
      <c r="D26" s="6">
        <f t="shared" si="2"/>
        <v>140</v>
      </c>
      <c r="E26" s="35">
        <f t="shared" si="3"/>
        <v>9.8</v>
      </c>
      <c r="F26" s="26">
        <f t="shared" si="4"/>
        <v>130.2</v>
      </c>
    </row>
    <row r="27">
      <c r="A27" s="21">
        <v>46291.0</v>
      </c>
      <c r="B27" s="26">
        <v>0.0</v>
      </c>
      <c r="C27" s="6">
        <f t="shared" si="1"/>
        <v>0</v>
      </c>
      <c r="D27" s="6">
        <f t="shared" si="2"/>
        <v>0</v>
      </c>
      <c r="E27" s="35">
        <f t="shared" si="3"/>
        <v>0</v>
      </c>
      <c r="F27" s="26">
        <f t="shared" si="4"/>
        <v>0</v>
      </c>
    </row>
    <row r="28">
      <c r="A28" s="21">
        <v>46292.0</v>
      </c>
      <c r="B28" s="26">
        <v>360.0</v>
      </c>
      <c r="C28" s="6">
        <f t="shared" si="1"/>
        <v>270</v>
      </c>
      <c r="D28" s="6">
        <f t="shared" si="2"/>
        <v>90</v>
      </c>
      <c r="E28" s="35">
        <f t="shared" si="3"/>
        <v>6.3</v>
      </c>
      <c r="F28" s="26">
        <f t="shared" si="4"/>
        <v>83.7</v>
      </c>
    </row>
    <row r="29">
      <c r="A29" s="21">
        <v>46293.0</v>
      </c>
      <c r="B29" s="26">
        <v>250.0</v>
      </c>
      <c r="C29" s="6">
        <f t="shared" si="1"/>
        <v>187.5</v>
      </c>
      <c r="D29" s="6">
        <f t="shared" si="2"/>
        <v>62.5</v>
      </c>
      <c r="E29" s="35">
        <f t="shared" si="3"/>
        <v>4.375</v>
      </c>
      <c r="F29" s="26">
        <f t="shared" si="4"/>
        <v>58.125</v>
      </c>
    </row>
    <row r="30">
      <c r="A30" s="21">
        <v>46294.0</v>
      </c>
      <c r="B30" s="26">
        <v>350.0</v>
      </c>
      <c r="C30" s="6">
        <f t="shared" si="1"/>
        <v>262.5</v>
      </c>
      <c r="D30" s="6">
        <f t="shared" si="2"/>
        <v>87.5</v>
      </c>
      <c r="E30" s="35">
        <f t="shared" si="3"/>
        <v>6.125</v>
      </c>
      <c r="F30" s="26">
        <f t="shared" si="4"/>
        <v>81.375</v>
      </c>
    </row>
    <row r="31">
      <c r="A31" s="21">
        <v>46295.0</v>
      </c>
      <c r="B31" s="26">
        <v>230.0</v>
      </c>
      <c r="C31" s="6">
        <f t="shared" si="1"/>
        <v>172.5</v>
      </c>
      <c r="D31" s="6">
        <f t="shared" si="2"/>
        <v>57.5</v>
      </c>
      <c r="E31" s="35">
        <f t="shared" si="3"/>
        <v>4.025</v>
      </c>
      <c r="F31" s="26">
        <f t="shared" si="4"/>
        <v>53.475</v>
      </c>
    </row>
    <row r="32">
      <c r="A32" s="9" t="s">
        <v>17</v>
      </c>
      <c r="B32" s="32">
        <f t="shared" ref="B32:F32" si="5">SUM(B2:B31)</f>
        <v>15493</v>
      </c>
      <c r="C32" s="32">
        <f t="shared" si="5"/>
        <v>11619.75</v>
      </c>
      <c r="D32" s="32">
        <f t="shared" si="5"/>
        <v>3873.25</v>
      </c>
      <c r="E32" s="32">
        <f t="shared" si="5"/>
        <v>271.1275</v>
      </c>
      <c r="F32" s="32">
        <f t="shared" si="5"/>
        <v>3602.1225</v>
      </c>
    </row>
  </sheetData>
  <drawing r:id="rId1"/>
</worksheet>
</file>