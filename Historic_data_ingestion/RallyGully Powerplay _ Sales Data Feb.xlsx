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Khelomore" sheetId="3" r:id="rId7"/>
    <sheet state="visible" name="Other Income" sheetId="4" r:id="rId8"/>
  </sheets>
  <definedNames/>
  <calcPr/>
</workbook>
</file>

<file path=xl/sharedStrings.xml><?xml version="1.0" encoding="utf-8"?>
<sst xmlns="http://schemas.openxmlformats.org/spreadsheetml/2006/main" count="68" uniqueCount="58">
  <si>
    <t>Month</t>
  </si>
  <si>
    <t>Date</t>
  </si>
  <si>
    <t>Link</t>
  </si>
  <si>
    <t>Sports Type</t>
  </si>
  <si>
    <t>Date: 1 - 28 Feb</t>
  </si>
  <si>
    <t>Amount Collected</t>
  </si>
  <si>
    <t>Feb</t>
  </si>
  <si>
    <t>Padel Operations &amp; Management Fees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</si>
  <si>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</si>
  <si>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</si>
  <si>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</si>
  <si>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</si>
  <si>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</si>
  <si>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</si>
  <si>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Particulars</t>
  </si>
  <si>
    <t>Total Revenue</t>
  </si>
  <si>
    <t>Amount</t>
  </si>
  <si>
    <t>Offline</t>
  </si>
  <si>
    <t>24 Feb</t>
  </si>
  <si>
    <t>Sunday</t>
  </si>
  <si>
    <t>Free Play</t>
  </si>
  <si>
    <t>20% and 25%</t>
  </si>
  <si>
    <t>Paid to Khelomore (₹)</t>
  </si>
  <si>
    <t>Commissions (₹)</t>
  </si>
  <si>
    <t>Final Amount (₹)</t>
  </si>
  <si>
    <t>23 - 28 Feb</t>
  </si>
  <si>
    <t>25 Feb</t>
  </si>
  <si>
    <t>Monday</t>
  </si>
  <si>
    <t>Rentals</t>
  </si>
  <si>
    <t>26 Feb</t>
  </si>
  <si>
    <t>Tuesday</t>
  </si>
  <si>
    <t>27 Feb</t>
  </si>
  <si>
    <t>Wednesday</t>
  </si>
  <si>
    <t>28 Feb</t>
  </si>
  <si>
    <t>Thursday</t>
  </si>
  <si>
    <t>Total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</si>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</sst>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.00;[&gt;99999][$₹]##\,##\,##0.00;[$₹]##,##0.00"/>
    <numFmt numFmtId="165" formatCode="[$₹]#,##0.00"/>
    <numFmt numFmtId="166" formatCode="[&gt;9999999][$₹]##\,##\,##\,##0;[&gt;99999][$₹]##\,##\,##0;[$₹]##,##0"/>
    <numFmt numFmtId="167" formatCode="d m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u/>
      <color rgb="FF0000FF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1" fillId="0" fontId="3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0" fillId="2" fontId="5" numFmtId="165" xfId="0" applyAlignment="1" applyFill="1" applyFont="1" applyNumberFormat="1">
      <alignment horizontal="center" readingOrder="0" vertical="bottom"/>
    </xf>
    <xf borderId="1" fillId="3" fontId="3" numFmtId="49" xfId="0" applyAlignment="1" applyBorder="1" applyFill="1" applyFont="1" applyNumberFormat="1">
      <alignment horizontal="right" readingOrder="0" vertical="bottom"/>
    </xf>
    <xf borderId="1" fillId="3" fontId="3" numFmtId="49" xfId="0" applyAlignment="1" applyBorder="1" applyFill="1" applyFont="1" applyNumberForma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2" fontId="2" numFmtId="165" xfId="0" applyAlignment="1" applyBorder="1" applyFill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6" numFmtId="0" xfId="0" applyBorder="1" applyFont="1"/>
    <xf borderId="1" fillId="0" fontId="2" numFmtId="166" xfId="0" applyAlignment="1" applyBorder="1" applyFont="1" applyNumberFormat="1">
      <alignment horizontal="right" vertical="bottom"/>
    </xf>
    <xf borderId="1" fillId="2" fontId="2" numFmtId="49" xfId="0" applyAlignment="1" applyBorder="1" applyFill="1" applyFont="1" applyNumberFormat="1">
      <alignment vertical="bottom"/>
    </xf>
    <xf borderId="1" fillId="0" fontId="3" numFmtId="166" xfId="0" applyAlignment="1" applyBorder="1" applyFont="1" applyNumberFormat="1">
      <alignment horizontal="right" vertical="bottom"/>
    </xf>
    <xf borderId="1" fillId="2" fontId="3" numFmtId="49" xfId="0" applyAlignment="1" applyBorder="1" applyFill="1" applyFont="1" applyNumberFormat="1">
      <alignment vertical="bottom"/>
    </xf>
    <xf borderId="1" fillId="3" fontId="3" numFmtId="165" xfId="0" applyAlignment="1" applyBorder="1" applyFill="1" applyFont="1" applyNumberFormat="1">
      <alignment horizontal="right" vertical="bottom"/>
    </xf>
    <xf borderId="1" fillId="0" fontId="3" numFmtId="166" xfId="0" applyAlignment="1" applyBorder="1" applyFont="1" applyNumberFormat="1">
      <alignment horizontal="right" readingOrder="0" vertical="bottom"/>
    </xf>
    <xf borderId="1" fillId="2" fontId="2" numFmtId="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2" fontId="2" numFmtId="167" xfId="0" applyAlignment="1" applyBorder="1" applyFill="1" applyFont="1" applyNumberFormat="1">
      <alignment vertical="bottom"/>
    </xf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7" numFmtId="165" xfId="0" applyAlignment="1" applyBorder="1" applyFill="1" applyFont="1" applyNumberFormat="1">
      <alignment horizontal="right" vertical="bottom"/>
    </xf>
    <xf borderId="1" fillId="2" fontId="3" numFmtId="165" xfId="0" applyAlignment="1" applyBorder="1" applyFill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0" fillId="0" fontId="7" numFmtId="1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1" numFmtId="166" xfId="0" applyAlignment="1" applyBorder="1" applyFont="1" applyNumberFormat="1">
      <alignment horizontal="right" readingOrder="0"/>
    </xf>
    <xf borderId="4" fillId="0" fontId="2" numFmtId="0" xfId="0" applyAlignment="1" applyBorder="1" applyFont="1">
      <alignment vertical="bottom"/>
    </xf>
    <xf borderId="4" fillId="0" fontId="3" numFmtId="166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shrinkToFit="0" vertical="bottom" wrapText="1"/>
    </xf>
    <xf borderId="1" fillId="0" fontId="2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5" t="s">
        <v>4</v>
      </c>
      <c r="C2" s="6"/>
    </row>
    <row r="3">
      <c r="B3" s="8" t="s">
        <v>14</v>
      </c>
      <c r="C3" s="8" t="s">
        <v>16</v>
      </c>
      <c r="E3" s="9"/>
    </row>
    <row r="4">
      <c r="B4" s="11" t="s">
        <v>17</v>
      </c>
      <c r="C4" s="21">
        <f>SUM(C5,C6,C7,, C8)</f>
        <v>0</v>
      </c>
      <c r="E4" s="9"/>
    </row>
    <row r="5" outlineLevel="1">
      <c r="B5" s="3" t="s">
        <v>28</v>
      </c>
      <c r="C5" s="23">
        <f>'Offline &amp; RG Community'!G7</f>
        <v>0</v>
      </c>
      <c r="E5" s="9"/>
    </row>
    <row r="6" outlineLevel="1">
      <c r="B6" s="3" t="s">
        <v>36</v>
      </c>
      <c r="C6" s="26">
        <v>0.0</v>
      </c>
      <c r="E6" s="9"/>
    </row>
    <row r="7" outlineLevel="1">
      <c r="B7" s="3" t="s">
        <v>37</v>
      </c>
      <c r="C7" s="23">
        <v>0.0</v>
      </c>
      <c r="E7" s="9"/>
    </row>
    <row r="8" outlineLevel="1">
      <c r="B8" s="3" t="s">
        <v>38</v>
      </c>
      <c r="C8" s="23">
        <f>'Offline &amp; RG Community'!E7</f>
        <v>0</v>
      </c>
      <c r="E8" s="9"/>
    </row>
    <row r="9">
      <c r="B9" s="11" t="s">
        <v>39</v>
      </c>
      <c r="C9" s="21">
        <f>SUM(C10:C14)</f>
        <v>161</v>
      </c>
      <c r="E9" s="9"/>
    </row>
    <row r="10" outlineLevel="1">
      <c r="B10" s="30" t="s">
        <v>40</v>
      </c>
      <c r="C10" s="26">
        <v>0.0</v>
      </c>
      <c r="E10" s="31"/>
    </row>
    <row r="11" outlineLevel="1">
      <c r="B11" s="3" t="s">
        <v>41</v>
      </c>
      <c r="C11" s="26">
        <v>0.0</v>
      </c>
      <c r="E11" s="31"/>
    </row>
    <row r="12" outlineLevel="1">
      <c r="B12" s="30" t="s">
        <v>42</v>
      </c>
      <c r="C12" s="26">
        <v>0.0</v>
      </c>
    </row>
    <row r="13" outlineLevel="1">
      <c r="B13" s="3" t="s">
        <v>43</v>
      </c>
      <c r="C13" s="26">
        <f>Khelomore!C3</f>
        <v>161</v>
      </c>
    </row>
    <row r="14">
      <c r="B14" s="18" t="s">
        <v>44</v>
      </c>
      <c r="C14" s="26">
        <v>0.0</v>
      </c>
      <c r="E14" s="9"/>
    </row>
    <row r="15">
      <c r="B15" s="34" t="s">
        <v>45</v>
      </c>
      <c r="C15" s="21">
        <f>SUM(C16:C19)</f>
        <v>0</v>
      </c>
      <c r="E15" s="9"/>
    </row>
    <row r="16" outlineLevel="1">
      <c r="B16" s="30" t="s">
        <v>46</v>
      </c>
      <c r="C16" s="26">
        <v>0.0</v>
      </c>
      <c r="E16" s="9"/>
    </row>
    <row r="17" outlineLevel="1">
      <c r="B17" s="30" t="s">
        <v>47</v>
      </c>
      <c r="C17" s="26">
        <v>0.0</v>
      </c>
    </row>
    <row r="18" outlineLevel="1">
      <c r="B18" s="30" t="s">
        <v>48</v>
      </c>
      <c r="C18" s="23">
        <f>'Offline &amp; RG Community'!F7</f>
        <v>0</v>
      </c>
      <c r="E18" s="9"/>
    </row>
    <row r="19" outlineLevel="1">
      <c r="B19" s="3" t="s">
        <v>49</v>
      </c>
      <c r="C19" s="26">
        <v>0.0</v>
      </c>
    </row>
    <row r="20">
      <c r="B20" s="11" t="s">
        <v>50</v>
      </c>
      <c r="C20" s="40">
        <v>0.0</v>
      </c>
    </row>
    <row r="21">
      <c r="B21" s="34" t="s">
        <v>51</v>
      </c>
      <c r="C21" s="41">
        <v>0.0</v>
      </c>
    </row>
    <row r="22">
      <c r="B22" s="11" t="s">
        <v>52</v>
      </c>
      <c r="C22" s="26">
        <v>0.0</v>
      </c>
    </row>
    <row r="23">
      <c r="B23" s="11" t="s">
        <v>53</v>
      </c>
      <c r="C23" s="26">
        <f>0</f>
        <v>0</v>
      </c>
    </row>
    <row r="24">
      <c r="B24" s="42" t="s">
        <v>54</v>
      </c>
      <c r="C24" s="43">
        <f>'Other Income'!C2</f>
        <v>59000</v>
      </c>
    </row>
    <row r="25">
      <c r="B25" s="11" t="s">
        <v>55</v>
      </c>
      <c r="C25" s="21">
        <f>sum(C4,C9,C20,C22,C23,C24,C15, C21)</f>
        <v>59161</v>
      </c>
    </row>
    <row r="26">
      <c r="B26" s="44" t="s">
        <v>56</v>
      </c>
      <c r="C26" s="45">
        <f>Khelomore!E3+'Other Income'!C2</f>
        <v>59152.95</v>
      </c>
    </row>
    <row r="27">
      <c r="B27" s="11" t="s">
        <v>57</v>
      </c>
      <c r="C27" s="21">
        <f>C26/1.18</f>
        <v>50129.61864</v>
      </c>
    </row>
    <row r="28">
      <c r="B28" s="11"/>
      <c r="C28" s="21"/>
    </row>
    <row r="29">
      <c r="B29" s="11"/>
      <c r="C29" s="21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</cols>
  <sheetData>
    <row r="1">
      <c r="A1" s="2" t="s">
        <v>1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10" t="s">
        <v>15</v>
      </c>
    </row>
    <row r="2">
      <c r="A2" s="13" t="s">
        <v>18</v>
      </c>
      <c r="B2" s="14" t="s">
        <v>19</v>
      </c>
      <c r="C2" s="15" t="s">
        <v>20</v>
      </c>
      <c r="D2" s="15" t="s">
        <v>21</v>
      </c>
      <c r="E2" s="15"/>
      <c r="F2" s="15"/>
      <c r="G2" s="15"/>
      <c r="H2" s="20">
        <f t="shared" ref="H2:H6" si="1">sum(E2:G2)</f>
        <v>0</v>
      </c>
    </row>
    <row r="3">
      <c r="A3" s="13" t="s">
        <v>26</v>
      </c>
      <c r="B3" s="14" t="s">
        <v>27</v>
      </c>
      <c r="C3" s="15" t="s">
        <v>20</v>
      </c>
      <c r="D3" s="15" t="s">
        <v>21</v>
      </c>
      <c r="E3" s="15"/>
      <c r="F3" s="15"/>
      <c r="G3" s="15"/>
      <c r="H3" s="20">
        <f t="shared" si="1"/>
        <v>0</v>
      </c>
    </row>
    <row r="4">
      <c r="A4" s="13" t="s">
        <v>29</v>
      </c>
      <c r="B4" s="14" t="s">
        <v>30</v>
      </c>
      <c r="C4" s="15" t="s">
        <v>20</v>
      </c>
      <c r="D4" s="15" t="s">
        <v>21</v>
      </c>
      <c r="E4" s="15"/>
      <c r="F4" s="15"/>
      <c r="G4" s="15"/>
      <c r="H4" s="20">
        <f t="shared" si="1"/>
        <v>0</v>
      </c>
    </row>
    <row r="5">
      <c r="A5" s="13" t="s">
        <v>31</v>
      </c>
      <c r="B5" s="14" t="s">
        <v>32</v>
      </c>
      <c r="C5" s="15" t="s">
        <v>20</v>
      </c>
      <c r="D5" s="15" t="s">
        <v>21</v>
      </c>
      <c r="E5" s="15"/>
      <c r="F5" s="15"/>
      <c r="G5" s="15"/>
      <c r="H5" s="20">
        <f t="shared" si="1"/>
        <v>0</v>
      </c>
    </row>
    <row r="6">
      <c r="A6" s="13" t="s">
        <v>33</v>
      </c>
      <c r="B6" s="14" t="s">
        <v>34</v>
      </c>
      <c r="C6" s="15" t="s">
        <v>20</v>
      </c>
      <c r="D6" s="15" t="s">
        <v>21</v>
      </c>
      <c r="E6" s="15"/>
      <c r="F6" s="15"/>
      <c r="G6" s="15"/>
      <c r="H6" s="20">
        <f t="shared" si="1"/>
        <v>0</v>
      </c>
    </row>
    <row r="7">
      <c r="A7" s="22" t="s">
        <v>35</v>
      </c>
      <c r="B7" s="24"/>
      <c r="C7" s="27">
        <f>SUM(C1:C6)</f>
        <v>0</v>
      </c>
      <c r="D7" s="24"/>
      <c r="E7" s="27">
        <f t="shared" ref="E7:H7" si="2">SUM(E1:E6)</f>
        <v>0</v>
      </c>
      <c r="F7" s="27">
        <f t="shared" si="2"/>
        <v>0</v>
      </c>
      <c r="G7" s="27">
        <f t="shared" si="2"/>
        <v>0</v>
      </c>
      <c r="H7" s="27">
        <f t="shared" si="2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12" t="s">
        <v>2</v>
      </c>
      <c r="B1" s="16" t="s">
        <v>1</v>
      </c>
      <c r="C1" s="16" t="s">
        <v>22</v>
      </c>
      <c r="D1" s="16" t="s">
        <v>23</v>
      </c>
      <c r="E1" s="16" t="s">
        <v>24</v>
      </c>
    </row>
    <row r="2">
      <c r="A2" s="17"/>
      <c r="B2" s="18" t="s">
        <v>25</v>
      </c>
      <c r="C2" s="19">
        <v>161.0</v>
      </c>
      <c r="D2" s="25">
        <f>C2*5%</f>
        <v>8.05</v>
      </c>
      <c r="E2" s="25">
        <f>C2-D2</f>
        <v>152.95</v>
      </c>
    </row>
    <row r="3">
      <c r="A3" s="28"/>
      <c r="B3" s="29" t="s">
        <v>35</v>
      </c>
      <c r="C3" s="32">
        <f>SUM(C2)</f>
        <v>161</v>
      </c>
      <c r="D3" s="33"/>
      <c r="E3" s="32">
        <f>SUM(E2)</f>
        <v>152.95</v>
      </c>
      <c r="F3" s="9"/>
      <c r="G3" s="9"/>
      <c r="H3" s="9"/>
      <c r="I3" s="9"/>
      <c r="J3" s="9"/>
      <c r="K3" s="35"/>
      <c r="L3" s="9"/>
      <c r="M3" s="35"/>
      <c r="N3" s="35"/>
    </row>
    <row r="4">
      <c r="A4" s="36"/>
      <c r="B4" s="37"/>
      <c r="C4" s="38"/>
      <c r="D4" s="36"/>
      <c r="E4" s="39"/>
    </row>
    <row r="5">
      <c r="A5" s="36"/>
      <c r="B5" s="36"/>
      <c r="D5" s="36"/>
      <c r="E5" s="39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75"/>
    <col customWidth="1" min="3" max="3" width="15.25"/>
  </cols>
  <sheetData>
    <row r="1">
      <c r="A1" s="2" t="s">
        <v>0</v>
      </c>
      <c r="B1" s="2" t="s">
        <v>3</v>
      </c>
      <c r="C1" s="2" t="s">
        <v>5</v>
      </c>
    </row>
    <row r="2">
      <c r="A2" s="3" t="s">
        <v>6</v>
      </c>
      <c r="B2" s="4" t="s">
        <v>7</v>
      </c>
      <c r="C2" s="7">
        <v>59000.0</v>
      </c>
    </row>
  </sheetData>
  <drawing r:id="rId1"/>
</worksheet>
</file>