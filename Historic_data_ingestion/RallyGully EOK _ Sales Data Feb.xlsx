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Courtly" sheetId="7" r:id="rId11"/>
    <sheet state="visible" name="Misfits" sheetId="8" r:id="rId12"/>
    <sheet state="visible" name="Sportomic" sheetId="9" r:id="rId13"/>
    <sheet state="visible" name="Memberships" sheetId="10" r:id="rId14"/>
    <sheet state="visible" name="Coaching" sheetId="11" r:id="rId15"/>
    <sheet state="visible" name="Brand Activation" sheetId="12" r:id="rId16"/>
    <sheet state="visible" name="Corporate Events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6">
      <text>
        <t xml:space="preserve">Valentine's Event 6580</t>
      </text>
    </comment>
  </commentList>
</comments>
</file>

<file path=xl/sharedStrings.xml><?xml version="1.0" encoding="utf-8"?>
<sst xmlns="http://schemas.openxmlformats.org/spreadsheetml/2006/main" count="195" uniqueCount="99">
  <si>
    <t>Date</t>
  </si>
  <si>
    <t>Date: 1 - 28 Feb</t>
  </si>
  <si>
    <t>Link</t>
  </si>
  <si>
    <t>Day</t>
  </si>
  <si>
    <t>Offline booking hours</t>
  </si>
  <si>
    <t>Particulars</t>
  </si>
  <si>
    <t>Discount Given</t>
  </si>
  <si>
    <t>Amount</t>
  </si>
  <si>
    <t>Booking Revenue</t>
  </si>
  <si>
    <t>Offline</t>
  </si>
  <si>
    <t>Community Revenue</t>
  </si>
  <si>
    <t xml:space="preserve">Paddle Rental </t>
  </si>
  <si>
    <t>F&amp;B</t>
  </si>
  <si>
    <t>Total Revenue</t>
  </si>
  <si>
    <t>Sunday</t>
  </si>
  <si>
    <t>10% and 0%</t>
  </si>
  <si>
    <t>Paid to Playo (₹)</t>
  </si>
  <si>
    <t>Paid to Hudle</t>
  </si>
  <si>
    <t>Commissions (₹)</t>
  </si>
  <si>
    <t>Commisions (Including GST)</t>
  </si>
  <si>
    <t>GST (₹)</t>
  </si>
  <si>
    <t>Net Revenue</t>
  </si>
  <si>
    <t>TDS</t>
  </si>
  <si>
    <t>TDS (₹)</t>
  </si>
  <si>
    <t>TCS</t>
  </si>
  <si>
    <t>TCS (₹)</t>
  </si>
  <si>
    <t>Final Amount (₹)</t>
  </si>
  <si>
    <t>1 - 28 Feb</t>
  </si>
  <si>
    <t>Rentals</t>
  </si>
  <si>
    <t>Monday</t>
  </si>
  <si>
    <t>1 - 23 Feb</t>
  </si>
  <si>
    <t>Tuesday</t>
  </si>
  <si>
    <t>Wednesday</t>
  </si>
  <si>
    <t>Thursday</t>
  </si>
  <si>
    <t>Total</t>
  </si>
  <si>
    <t>Product Sales</t>
  </si>
  <si>
    <t>Bookings</t>
  </si>
  <si>
    <t>Friday</t>
  </si>
  <si>
    <t>Saturday</t>
  </si>
  <si>
    <t>24 - 28 Feb</t>
  </si>
  <si>
    <t>Online: Third Party Platform</t>
  </si>
  <si>
    <t>Hudle</t>
  </si>
  <si>
    <t>Playo</t>
  </si>
  <si>
    <t>District</t>
  </si>
  <si>
    <t>Khelomore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</si>
  <si>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</si>
  <si>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</si>
  <si>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</si>
  <si>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</si>
  <si>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</si>
  <si>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</si>
  <si>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</si>
  <si>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</si>
  <si>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</si>
  <si>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</si>
  <si>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</si>
  <si>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</si>
  <si>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</si>
  <si>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</si>
  <si>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Expenses</t>
  </si>
  <si>
    <t>Venue Manager + Cleaner</t>
  </si>
  <si>
    <t>Marketing, Branding &amp; Community</t>
  </si>
  <si>
    <t>Event Expense (Prize money, Setup, Branding)</t>
  </si>
  <si>
    <t xml:space="preserve">Balls </t>
  </si>
  <si>
    <t>Total Expenses</t>
  </si>
  <si>
    <t>Net Profit (Revenue - Expenses)</t>
  </si>
  <si>
    <t>School's Profit Share (65%)</t>
  </si>
  <si>
    <t>RallyGully's Profit Share (35%)</t>
  </si>
  <si>
    <t>Paid to District</t>
  </si>
  <si>
    <t>GST on Commission</t>
  </si>
  <si>
    <t>1 - 15 Feb</t>
  </si>
  <si>
    <t>Paid to Khelomore (₹)</t>
  </si>
  <si>
    <t>16 - 28 Feb</t>
  </si>
  <si>
    <t>Paid to Courtly</t>
  </si>
  <si>
    <t xml:space="preserve">Post Comission </t>
  </si>
  <si>
    <t xml:space="preserve">TDS </t>
  </si>
  <si>
    <t>Paid to Misfits (₹)</t>
  </si>
  <si>
    <t>Comission (20%)</t>
  </si>
  <si>
    <t>Paid to Sportomic (₹)</t>
  </si>
  <si>
    <t>Member Name</t>
  </si>
  <si>
    <t>Sports Type</t>
  </si>
  <si>
    <t>Membership Type</t>
  </si>
  <si>
    <t>Start Date</t>
  </si>
  <si>
    <t>Amount Collected</t>
  </si>
  <si>
    <t>Offcourt</t>
  </si>
  <si>
    <t>Pickleball</t>
  </si>
  <si>
    <t>Grand slam (90)</t>
  </si>
  <si>
    <t>Coaching Type</t>
  </si>
  <si>
    <t>Adult</t>
  </si>
  <si>
    <t>Feb</t>
  </si>
  <si>
    <t xml:space="preserve">Date </t>
  </si>
  <si>
    <t>Brand Name</t>
  </si>
  <si>
    <t xml:space="preserve">Commission </t>
  </si>
  <si>
    <t>Type of collab</t>
  </si>
  <si>
    <t>Savikalpa</t>
  </si>
  <si>
    <t>Event Partner</t>
  </si>
  <si>
    <t>Smashyn</t>
  </si>
  <si>
    <t>Courtiside Club</t>
  </si>
  <si>
    <t>Networking 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</si>
</sst>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&gt;9999999][$₹]##\,##\,##\,##0;[&gt;99999][$₹]##\,##\,##0;[$₹]##,##0"/>
    <numFmt numFmtId="166" formatCode="[$₹]#,##0.00"/>
    <numFmt numFmtId="167" formatCode="[&gt;9999999][$₹]##\,##\,##\,##0.00;[&gt;99999][$₹]##\,##\,##0.00;[$₹]##,##0.00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color rgb="FF000000"/>
      <name val="Arial"/>
    </font>
    <font>
      <b/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2" fontId="1" numFmtId="0" xfId="0" applyAlignment="1" applyBorder="1" applyFill="1" applyFont="1">
      <alignment horizontal="center" readingOrder="0" vertical="bottom"/>
    </xf>
    <xf borderId="3" fillId="0" fontId="2" numFmtId="0" xfId="0" applyBorder="1" applyFont="1"/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1" numFmtId="9" xfId="0" applyAlignment="1" applyBorder="1" applyFill="1" applyFont="1" applyNumberFormat="1">
      <alignment horizontal="center" vertical="bottom"/>
    </xf>
    <xf borderId="1" fillId="2" fontId="1" numFmtId="3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readingOrder="0" vertical="bottom"/>
    </xf>
    <xf borderId="1" fillId="0" fontId="3" numFmtId="16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 vertical="bottom"/>
    </xf>
    <xf borderId="0" fillId="2" fontId="4" numFmtId="0" xfId="0" applyAlignment="1" applyFill="1" applyFont="1">
      <alignment horizontal="center" readingOrder="0" vertical="bottom"/>
    </xf>
    <xf borderId="1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1" fillId="0" fontId="1" numFmtId="165" xfId="0" applyAlignment="1" applyBorder="1" applyFont="1" applyNumberFormat="1">
      <alignment horizontal="right" vertical="bottom"/>
    </xf>
    <xf borderId="1" fillId="2" fontId="1" numFmtId="166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shrinkToFit="0" vertical="bottom" wrapText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3" numFmtId="3" xfId="0" applyAlignment="1" applyBorder="1" applyFont="1" applyNumberFormat="1">
      <alignment horizontal="right" readingOrder="0" vertical="bottom"/>
    </xf>
    <xf borderId="1" fillId="0" fontId="3" numFmtId="167" xfId="0" applyAlignment="1" applyBorder="1" applyFont="1" applyNumberFormat="1">
      <alignment horizontal="right" readingOrder="0"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vertical="bottom"/>
    </xf>
    <xf borderId="1" fillId="0" fontId="3" numFmtId="167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readingOrder="0" vertical="bottom"/>
    </xf>
    <xf borderId="1" fillId="0" fontId="3" numFmtId="166" xfId="0" applyAlignment="1" applyBorder="1" applyFont="1" applyNumberFormat="1">
      <alignment horizontal="right" readingOrder="0" vertical="bottom"/>
    </xf>
    <xf borderId="0" fillId="0" fontId="3" numFmtId="166" xfId="0" applyAlignment="1" applyFont="1" applyNumberFormat="1">
      <alignment vertical="bottom"/>
    </xf>
    <xf borderId="1" fillId="0" fontId="3" numFmtId="165" xfId="0" applyAlignment="1" applyBorder="1" applyFont="1" applyNumberFormat="1">
      <alignment horizontal="right" readingOrder="0" vertical="bottom"/>
    </xf>
    <xf borderId="1" fillId="2" fontId="1" numFmtId="4" xfId="0" applyAlignment="1" applyBorder="1" applyFill="1" applyFont="1" applyNumberFormat="1">
      <alignment horizontal="right" vertical="bottom"/>
    </xf>
    <xf borderId="1" fillId="0" fontId="3" numFmtId="166" xfId="0" applyAlignment="1" applyBorder="1" applyFont="1" applyNumberFormat="1">
      <alignment readingOrder="0" vertical="bottom"/>
    </xf>
    <xf borderId="1" fillId="2" fontId="3" numFmtId="4" xfId="0" applyAlignment="1" applyBorder="1" applyFill="1" applyFont="1" applyNumberFormat="1">
      <alignment vertical="bottom"/>
    </xf>
    <xf borderId="1" fillId="2" fontId="3" numFmtId="0" xfId="0" applyAlignment="1" applyBorder="1" applyFill="1" applyFont="1">
      <alignment vertical="bottom"/>
    </xf>
    <xf borderId="1" fillId="2" fontId="1" numFmtId="167" xfId="0" applyAlignment="1" applyBorder="1" applyFill="1" applyFont="1" applyNumberFormat="1">
      <alignment vertical="bottom"/>
    </xf>
    <xf borderId="1" fillId="2" fontId="1" numFmtId="167" xfId="0" applyAlignment="1" applyBorder="1" applyFill="1" applyFont="1" applyNumberFormat="1">
      <alignment horizontal="right" vertical="bottom"/>
    </xf>
    <xf borderId="1" fillId="2" fontId="1" numFmtId="166" xfId="0" applyAlignment="1" applyBorder="1" applyFill="1" applyFont="1" applyNumberFormat="1">
      <alignment horizontal="right" vertical="bottom"/>
    </xf>
    <xf borderId="1" fillId="0" fontId="1" numFmtId="0" xfId="0" applyAlignment="1" applyBorder="1" applyFont="1">
      <alignment readingOrder="0" vertical="bottom"/>
    </xf>
    <xf borderId="1" fillId="0" fontId="3" numFmtId="166" xfId="0" applyAlignment="1" applyBorder="1" applyFont="1" applyNumberFormat="1">
      <alignment vertical="bottom"/>
    </xf>
    <xf borderId="1" fillId="2" fontId="6" numFmtId="0" xfId="0" applyAlignment="1" applyBorder="1" applyFill="1" applyFont="1">
      <alignment horizontal="right" readingOrder="0"/>
    </xf>
    <xf borderId="1" fillId="2" fontId="6" numFmtId="0" xfId="0" applyAlignment="1" applyBorder="1" applyFill="1" applyFont="1">
      <alignment horizontal="right"/>
    </xf>
    <xf borderId="1" fillId="0" fontId="1" numFmtId="165" xfId="0" applyAlignment="1" applyBorder="1" applyFont="1" applyNumberFormat="1">
      <alignment horizontal="right" readingOrder="0" vertical="bottom"/>
    </xf>
    <xf borderId="1" fillId="2" fontId="6" numFmtId="166" xfId="0" applyAlignment="1" applyBorder="1" applyFill="1" applyFont="1" applyNumberFormat="1">
      <alignment horizontal="right"/>
    </xf>
    <xf borderId="4" fillId="0" fontId="3" numFmtId="0" xfId="0" applyAlignment="1" applyBorder="1" applyFont="1">
      <alignment vertical="bottom"/>
    </xf>
    <xf borderId="4" fillId="0" fontId="3" numFmtId="165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 shrinkToFit="0" vertical="bottom" wrapText="1"/>
    </xf>
    <xf borderId="1" fillId="0" fontId="1" numFmtId="166" xfId="0" applyAlignment="1" applyBorder="1" applyFont="1" applyNumberFormat="1">
      <alignment horizontal="right" vertical="bottom"/>
    </xf>
    <xf borderId="0" fillId="2" fontId="7" numFmtId="166" xfId="0" applyAlignment="1" applyFill="1" applyFont="1" applyNumberFormat="1">
      <alignment horizontal="center" readingOrder="0" vertical="bottom"/>
    </xf>
    <xf borderId="0" fillId="2" fontId="8" numFmtId="166" xfId="0" applyAlignment="1" applyFill="1" applyFont="1" applyNumberFormat="1">
      <alignment vertical="bottom"/>
    </xf>
    <xf borderId="0" fillId="2" fontId="1" numFmtId="166" xfId="0" applyAlignment="1" applyFill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1" fillId="0" fontId="3" numFmtId="167" xfId="0" applyAlignment="1" applyBorder="1" applyFont="1" applyNumberFormat="1">
      <alignment readingOrder="0" vertical="bottom"/>
    </xf>
    <xf borderId="1" fillId="0" fontId="3" numFmtId="167" xfId="0" applyAlignment="1" applyBorder="1" applyFont="1" applyNumberFormat="1">
      <alignment vertical="bottom"/>
    </xf>
    <xf borderId="1" fillId="0" fontId="3" numFmtId="166" xfId="0" applyAlignment="1" applyBorder="1" applyFont="1" applyNumberFormat="1">
      <alignment horizontal="right" vertical="bottom"/>
    </xf>
    <xf borderId="0" fillId="3" fontId="1" numFmtId="0" xfId="0" applyAlignment="1" applyFill="1" applyFont="1">
      <alignment vertical="bottom"/>
    </xf>
    <xf borderId="1" fillId="2" fontId="1" numFmtId="166" xfId="0" applyAlignment="1" applyBorder="1" applyFill="1" applyFont="1" applyNumberFormat="1">
      <alignment horizontal="center" readingOrder="0" vertical="bottom"/>
    </xf>
    <xf borderId="1" fillId="2" fontId="1" numFmtId="166" xfId="0" applyAlignment="1" applyBorder="1" applyFill="1" applyFont="1" applyNumberFormat="1">
      <alignment horizontal="right" readingOrder="0"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166" xfId="0" applyAlignment="1" applyBorder="1" applyFill="1" applyFont="1" applyNumberFormat="1">
      <alignment readingOrder="0" vertical="bottom"/>
    </xf>
    <xf borderId="1" fillId="2" fontId="1" numFmtId="166" xfId="0" applyAlignment="1" applyBorder="1" applyFill="1" applyFont="1" applyNumberFormat="1">
      <alignment vertical="bottom"/>
    </xf>
    <xf borderId="1" fillId="0" fontId="3" numFmtId="164" xfId="0" applyAlignment="1" applyBorder="1" applyFont="1" applyNumberFormat="1">
      <alignment readingOrder="0" vertical="bottom"/>
    </xf>
    <xf borderId="1" fillId="0" fontId="3" numFmtId="165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2" fontId="9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right" readingOrder="0" vertical="bottom"/>
    </xf>
    <xf borderId="1" fillId="2" fontId="1" numFmtId="165" xfId="0" applyAlignment="1" applyBorder="1" applyFill="1" applyFont="1" applyNumberFormat="1">
      <alignment vertical="bottom"/>
    </xf>
    <xf borderId="1" fillId="0" fontId="1" numFmtId="166" xfId="0" applyAlignment="1" applyBorder="1" applyFont="1" applyNumberFormat="1">
      <alignment readingOrder="0" vertical="bottom"/>
    </xf>
    <xf borderId="1" fillId="2" fontId="1" numFmtId="0" xfId="0" applyAlignment="1" applyBorder="1" applyFill="1" applyFont="1">
      <alignment vertical="bottom"/>
    </xf>
    <xf borderId="1" fillId="0" fontId="1" numFmtId="166" xfId="0" applyAlignment="1" applyBorder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1" fillId="2" fontId="1" numFmtId="0" xfId="0" applyAlignment="1" applyBorder="1" applyFill="1" applyFont="1">
      <alignment horizontal="right" vertical="bottom"/>
    </xf>
    <xf borderId="0" fillId="2" fontId="6" numFmtId="166" xfId="0" applyAlignment="1" applyFill="1" applyFont="1" applyNumberFormat="1">
      <alignment horizontal="center" readingOrder="0"/>
    </xf>
    <xf borderId="0" fillId="2" fontId="6" numFmtId="166" xfId="0" applyAlignment="1" applyFill="1" applyFont="1" applyNumberFormat="1">
      <alignment horizontal="right" readingOrder="0"/>
    </xf>
    <xf borderId="0" fillId="0" fontId="10" numFmtId="164" xfId="0" applyAlignment="1" applyFont="1" applyNumberFormat="1">
      <alignment horizontal="left" readingOrder="0"/>
    </xf>
    <xf borderId="0" fillId="0" fontId="10" numFmtId="166" xfId="0" applyAlignment="1" applyFont="1" applyNumberFormat="1">
      <alignment horizontal="left" readingOrder="0"/>
    </xf>
    <xf borderId="0" fillId="0" fontId="10" numFmtId="166" xfId="0" applyAlignment="1" applyFont="1" applyNumberFormat="1">
      <alignment horizontal="right" readingOrder="0"/>
    </xf>
    <xf borderId="0" fillId="2" fontId="6" numFmtId="0" xfId="0" applyAlignment="1" applyFill="1" applyFont="1">
      <alignment horizontal="right" readingOrder="0"/>
    </xf>
    <xf borderId="0" fillId="2" fontId="6" numFmtId="0" xfId="0" applyAlignment="1" applyFill="1" applyFont="1">
      <alignment horizontal="right"/>
    </xf>
    <xf borderId="0" fillId="2" fontId="6" numFmtId="166" xfId="0" applyAlignment="1" applyFill="1" applyFont="1" applyNumberFormat="1">
      <alignment horizontal="right"/>
    </xf>
    <xf borderId="1" fillId="2" fontId="6" numFmtId="166" xfId="0" applyAlignment="1" applyBorder="1" applyFill="1" applyFont="1" applyNumberFormat="1">
      <alignment horizontal="center" readingOrder="0"/>
    </xf>
    <xf borderId="1" fillId="0" fontId="10" numFmtId="164" xfId="0" applyAlignment="1" applyBorder="1" applyFont="1" applyNumberFormat="1">
      <alignment horizontal="left" readingOrder="0"/>
    </xf>
    <xf borderId="1" fillId="0" fontId="10" numFmtId="166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k7gy76L2v7KKZ6RRsTl84ZzxWBkrlqRhMb17IrlM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vaRkPg7hhThd1patetasweQyGsxXNjOhhz2BsXI3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j_T_3MCIe8POWPi3gjtCqbSy5rI8PZ8wj-nh5nqC4k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9IWSeEah7XwhvWbYLZnAtDs_XCSiCUdTzoJAyUOL1M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6.25"/>
    <col customWidth="1" min="3" max="3" width="14.75"/>
  </cols>
  <sheetData>
    <row r="2">
      <c r="B2" s="2" t="s">
        <v>1</v>
      </c>
      <c r="C2" s="3"/>
    </row>
    <row r="3">
      <c r="B3" s="5" t="s">
        <v>5</v>
      </c>
      <c r="C3" s="5" t="s">
        <v>7</v>
      </c>
    </row>
    <row r="4">
      <c r="B4" s="8" t="s">
        <v>9</v>
      </c>
      <c r="C4" s="15">
        <f>SUM(C5,C6,C7,C8)</f>
        <v>53390</v>
      </c>
    </row>
    <row r="5" outlineLevel="1">
      <c r="B5" s="18" t="s">
        <v>28</v>
      </c>
      <c r="C5" s="23">
        <f>'Offline &amp; RG Community'!G30</f>
        <v>17940</v>
      </c>
    </row>
    <row r="6" outlineLevel="1">
      <c r="B6" s="18" t="s">
        <v>12</v>
      </c>
      <c r="C6" s="23">
        <f>'Offline &amp; RG Community'!H30</f>
        <v>1830</v>
      </c>
    </row>
    <row r="7" outlineLevel="1">
      <c r="B7" s="18" t="s">
        <v>35</v>
      </c>
      <c r="C7" s="23">
        <v>0.0</v>
      </c>
    </row>
    <row r="8" outlineLevel="1">
      <c r="B8" s="18" t="s">
        <v>36</v>
      </c>
      <c r="C8" s="29">
        <f>'Offline &amp; RG Community'!E30</f>
        <v>33620</v>
      </c>
    </row>
    <row r="9">
      <c r="B9" s="8" t="s">
        <v>40</v>
      </c>
      <c r="C9" s="15">
        <f>SUM(C10:C14)</f>
        <v>113165</v>
      </c>
    </row>
    <row r="10" outlineLevel="1">
      <c r="B10" s="18" t="s">
        <v>41</v>
      </c>
      <c r="C10" s="23">
        <f>Hudle!C4</f>
        <v>70765</v>
      </c>
    </row>
    <row r="11" outlineLevel="1">
      <c r="B11" s="11" t="s">
        <v>42</v>
      </c>
      <c r="C11" s="23">
        <f>Playo!C3</f>
        <v>5200</v>
      </c>
    </row>
    <row r="12" outlineLevel="1">
      <c r="B12" s="18" t="s">
        <v>43</v>
      </c>
      <c r="C12" s="29">
        <f>District!C4</f>
        <v>37200</v>
      </c>
    </row>
    <row r="13" outlineLevel="1">
      <c r="B13" s="18" t="s">
        <v>44</v>
      </c>
      <c r="C13" s="23">
        <f>Khelomore!E2</f>
        <v>0</v>
      </c>
    </row>
    <row r="14">
      <c r="B14" s="31" t="s">
        <v>45</v>
      </c>
      <c r="C14" s="29">
        <v>0.0</v>
      </c>
    </row>
    <row r="15">
      <c r="B15" s="37" t="s">
        <v>46</v>
      </c>
      <c r="C15" s="15">
        <f>SUM(C16:C19)</f>
        <v>103699</v>
      </c>
    </row>
    <row r="16" outlineLevel="1">
      <c r="B16" s="38" t="s">
        <v>47</v>
      </c>
      <c r="C16" s="29">
        <f>Courtly!B4</f>
        <v>55200</v>
      </c>
    </row>
    <row r="17" outlineLevel="1">
      <c r="B17" s="38" t="s">
        <v>48</v>
      </c>
      <c r="C17" s="29">
        <f>Sportomic!C2</f>
        <v>6900</v>
      </c>
    </row>
    <row r="18" outlineLevel="1">
      <c r="B18" s="38" t="s">
        <v>49</v>
      </c>
      <c r="C18" s="29">
        <f>'Offline &amp; RG Community'!F30</f>
        <v>35380</v>
      </c>
    </row>
    <row r="19" outlineLevel="1">
      <c r="B19" s="38" t="s">
        <v>50</v>
      </c>
      <c r="C19" s="29">
        <f>Misfits!C2</f>
        <v>6219</v>
      </c>
    </row>
    <row r="20">
      <c r="B20" s="8" t="s">
        <v>51</v>
      </c>
      <c r="C20" s="41">
        <f>Memberships!E2</f>
        <v>78300</v>
      </c>
    </row>
    <row r="21">
      <c r="B21" s="11" t="s">
        <v>52</v>
      </c>
      <c r="C21" s="29">
        <f>15000+6000</f>
        <v>21000</v>
      </c>
    </row>
    <row r="22">
      <c r="B22" s="18" t="s">
        <v>53</v>
      </c>
      <c r="C22" s="29">
        <f>'Corporate Events'!C2</f>
        <v>3900</v>
      </c>
    </row>
    <row r="23">
      <c r="B23" s="18" t="s">
        <v>54</v>
      </c>
      <c r="C23" s="29">
        <f>'Brand Activation'!C5</f>
        <v>30000</v>
      </c>
    </row>
    <row r="24">
      <c r="B24" s="43" t="s">
        <v>55</v>
      </c>
      <c r="C24" s="44">
        <v>0.0</v>
      </c>
    </row>
    <row r="25">
      <c r="B25" s="8" t="s">
        <v>56</v>
      </c>
      <c r="C25" s="15">
        <f>sum(C4,C9,C20,C22,C23,C24,C15, C21)</f>
        <v>403454</v>
      </c>
    </row>
    <row r="26">
      <c r="B26" s="45" t="s">
        <v>57</v>
      </c>
      <c r="C26" s="46">
        <f>'Offline &amp; RG Community'!I30+Hudle!E4+Playo!F3+District!F4+Khelomore!E2+Courtly!D4+Memberships!E2+Coaching!D2+Misfits!E2+Sportomic!C2+'Brand Activation'!E5+'Corporate Events'!C2</f>
        <v>383055.96</v>
      </c>
    </row>
    <row r="27">
      <c r="B27" s="37" t="s">
        <v>58</v>
      </c>
      <c r="C27" s="15">
        <f>C26/1.18</f>
        <v>324623.6949</v>
      </c>
    </row>
    <row r="28">
      <c r="B28" s="37" t="s">
        <v>59</v>
      </c>
      <c r="C28" s="15"/>
    </row>
    <row r="29">
      <c r="B29" s="11" t="s">
        <v>60</v>
      </c>
      <c r="C29" s="29">
        <v>34100.0</v>
      </c>
    </row>
    <row r="30">
      <c r="B30" s="11" t="s">
        <v>61</v>
      </c>
      <c r="C30" s="29">
        <v>15000.0</v>
      </c>
    </row>
    <row r="31">
      <c r="B31" s="11" t="s">
        <v>62</v>
      </c>
      <c r="C31" s="29">
        <v>70000.0</v>
      </c>
    </row>
    <row r="32">
      <c r="B32" s="11" t="s">
        <v>63</v>
      </c>
      <c r="C32" s="29">
        <v>9500.0</v>
      </c>
    </row>
    <row r="33">
      <c r="B33" s="37" t="s">
        <v>64</v>
      </c>
      <c r="C33" s="15">
        <f>C29+C30+C31+C32</f>
        <v>128600</v>
      </c>
    </row>
    <row r="34">
      <c r="B34" s="37" t="s">
        <v>65</v>
      </c>
      <c r="C34" s="15">
        <f>C27-C33</f>
        <v>196023.6949</v>
      </c>
    </row>
    <row r="35">
      <c r="B35" s="37"/>
      <c r="C35" s="15"/>
    </row>
    <row r="36">
      <c r="B36" s="37" t="s">
        <v>66</v>
      </c>
      <c r="C36" s="15">
        <f>C34*65%</f>
        <v>127415.4017</v>
      </c>
    </row>
    <row r="37">
      <c r="B37" s="37" t="s">
        <v>67</v>
      </c>
      <c r="C37" s="15">
        <f>C34*35%</f>
        <v>68608.29322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" t="s">
        <v>0</v>
      </c>
      <c r="B1" s="4" t="s">
        <v>3</v>
      </c>
      <c r="C1" s="4" t="s">
        <v>4</v>
      </c>
      <c r="D1" s="6" t="s">
        <v>6</v>
      </c>
      <c r="E1" s="7" t="s">
        <v>8</v>
      </c>
      <c r="F1" s="4" t="s">
        <v>10</v>
      </c>
      <c r="G1" s="7" t="s">
        <v>11</v>
      </c>
      <c r="H1" s="9" t="s">
        <v>12</v>
      </c>
      <c r="I1" s="4" t="s">
        <v>13</v>
      </c>
    </row>
    <row r="2">
      <c r="A2" s="10">
        <v>46054.0</v>
      </c>
      <c r="B2" s="11" t="s">
        <v>14</v>
      </c>
      <c r="C2" s="13">
        <v>2.0</v>
      </c>
      <c r="D2" s="13" t="s">
        <v>15</v>
      </c>
      <c r="E2" s="13">
        <v>2980.0</v>
      </c>
      <c r="F2" s="13">
        <v>1200.0</v>
      </c>
      <c r="G2" s="13">
        <v>600.0</v>
      </c>
      <c r="H2" s="13">
        <v>0.0</v>
      </c>
      <c r="I2" s="19">
        <f t="shared" ref="I2:I29" si="1">sum(E2:H2)</f>
        <v>4780</v>
      </c>
    </row>
    <row r="3">
      <c r="A3" s="10">
        <v>46055.0</v>
      </c>
      <c r="B3" s="11" t="s">
        <v>29</v>
      </c>
      <c r="C3" s="13">
        <v>1.0</v>
      </c>
      <c r="D3" s="13" t="s">
        <v>15</v>
      </c>
      <c r="E3" s="20">
        <v>1300.0</v>
      </c>
      <c r="F3" s="13">
        <v>0.0</v>
      </c>
      <c r="G3" s="20">
        <v>500.0</v>
      </c>
      <c r="H3" s="13">
        <v>0.0</v>
      </c>
      <c r="I3" s="22">
        <f t="shared" si="1"/>
        <v>1800</v>
      </c>
    </row>
    <row r="4">
      <c r="A4" s="10">
        <v>46056.0</v>
      </c>
      <c r="B4" s="11" t="s">
        <v>31</v>
      </c>
      <c r="C4" s="13">
        <v>3.0</v>
      </c>
      <c r="D4" s="13" t="s">
        <v>15</v>
      </c>
      <c r="E4" s="20">
        <v>2900.0</v>
      </c>
      <c r="F4" s="13">
        <v>0.0</v>
      </c>
      <c r="G4" s="20">
        <v>1300.0</v>
      </c>
      <c r="H4" s="13">
        <v>70.0</v>
      </c>
      <c r="I4" s="22">
        <f t="shared" si="1"/>
        <v>4270</v>
      </c>
    </row>
    <row r="5">
      <c r="A5" s="10">
        <v>46057.0</v>
      </c>
      <c r="B5" s="11" t="s">
        <v>32</v>
      </c>
      <c r="C5" s="13">
        <v>3.5</v>
      </c>
      <c r="D5" s="13" t="s">
        <v>15</v>
      </c>
      <c r="E5" s="20">
        <v>600.0</v>
      </c>
      <c r="F5" s="13">
        <v>2100.0</v>
      </c>
      <c r="G5" s="20">
        <v>400.0</v>
      </c>
      <c r="H5" s="13">
        <v>0.0</v>
      </c>
      <c r="I5" s="22">
        <f t="shared" si="1"/>
        <v>3100</v>
      </c>
    </row>
    <row r="6">
      <c r="A6" s="10">
        <v>46058.0</v>
      </c>
      <c r="B6" s="11" t="s">
        <v>33</v>
      </c>
      <c r="C6" s="13">
        <v>1.0</v>
      </c>
      <c r="D6" s="13" t="s">
        <v>15</v>
      </c>
      <c r="E6" s="13">
        <v>1200.0</v>
      </c>
      <c r="F6" s="13">
        <v>1300.0</v>
      </c>
      <c r="G6" s="20">
        <v>600.0</v>
      </c>
      <c r="H6" s="13">
        <v>210.0</v>
      </c>
      <c r="I6" s="19">
        <f t="shared" si="1"/>
        <v>3310</v>
      </c>
    </row>
    <row r="7">
      <c r="A7" s="10">
        <v>46059.0</v>
      </c>
      <c r="B7" s="11" t="s">
        <v>37</v>
      </c>
      <c r="C7" s="13">
        <v>0.0</v>
      </c>
      <c r="D7" s="13" t="s">
        <v>15</v>
      </c>
      <c r="E7" s="13">
        <v>0.0</v>
      </c>
      <c r="F7" s="13">
        <v>0.0</v>
      </c>
      <c r="G7" s="13">
        <v>0.0</v>
      </c>
      <c r="H7" s="13">
        <v>500.0</v>
      </c>
      <c r="I7" s="19">
        <f t="shared" si="1"/>
        <v>500</v>
      </c>
    </row>
    <row r="8">
      <c r="A8" s="10">
        <v>46060.0</v>
      </c>
      <c r="B8" s="11" t="s">
        <v>38</v>
      </c>
      <c r="C8" s="13">
        <v>4.0</v>
      </c>
      <c r="D8" s="13" t="s">
        <v>15</v>
      </c>
      <c r="E8" s="20">
        <v>3000.0</v>
      </c>
      <c r="F8" s="13">
        <v>900.0</v>
      </c>
      <c r="G8" s="20">
        <v>2300.0</v>
      </c>
      <c r="H8" s="13">
        <v>70.0</v>
      </c>
      <c r="I8" s="22">
        <f t="shared" si="1"/>
        <v>6270</v>
      </c>
    </row>
    <row r="9">
      <c r="A9" s="10">
        <v>46061.0</v>
      </c>
      <c r="B9" s="11" t="s">
        <v>14</v>
      </c>
      <c r="C9" s="13">
        <v>3.0</v>
      </c>
      <c r="D9" s="13" t="s">
        <v>15</v>
      </c>
      <c r="E9" s="20">
        <v>3400.0</v>
      </c>
      <c r="F9" s="13">
        <v>0.0</v>
      </c>
      <c r="G9" s="20">
        <v>700.0</v>
      </c>
      <c r="H9" s="13">
        <v>0.0</v>
      </c>
      <c r="I9" s="22">
        <f t="shared" si="1"/>
        <v>4100</v>
      </c>
    </row>
    <row r="10">
      <c r="A10" s="10">
        <v>46062.0</v>
      </c>
      <c r="B10" s="11" t="s">
        <v>29</v>
      </c>
      <c r="C10" s="13">
        <v>1.5</v>
      </c>
      <c r="D10" s="13" t="s">
        <v>15</v>
      </c>
      <c r="E10" s="20">
        <v>300.0</v>
      </c>
      <c r="F10" s="13">
        <v>1800.0</v>
      </c>
      <c r="G10" s="20">
        <v>850.0</v>
      </c>
      <c r="H10" s="13">
        <v>0.0</v>
      </c>
      <c r="I10" s="22">
        <f t="shared" si="1"/>
        <v>2950</v>
      </c>
    </row>
    <row r="11">
      <c r="A11" s="10">
        <v>46063.0</v>
      </c>
      <c r="B11" s="11" t="s">
        <v>31</v>
      </c>
      <c r="C11" s="13">
        <v>1.0</v>
      </c>
      <c r="D11" s="13" t="s">
        <v>15</v>
      </c>
      <c r="E11" s="20">
        <v>0.0</v>
      </c>
      <c r="F11" s="13">
        <v>900.0</v>
      </c>
      <c r="G11" s="13">
        <v>200.0</v>
      </c>
      <c r="H11" s="13">
        <v>0.0</v>
      </c>
      <c r="I11" s="22">
        <f t="shared" si="1"/>
        <v>1100</v>
      </c>
    </row>
    <row r="12">
      <c r="A12" s="10">
        <v>46064.0</v>
      </c>
      <c r="B12" s="11" t="s">
        <v>32</v>
      </c>
      <c r="C12" s="13">
        <v>0.5</v>
      </c>
      <c r="D12" s="13" t="s">
        <v>15</v>
      </c>
      <c r="E12" s="13">
        <v>600.0</v>
      </c>
      <c r="F12" s="13">
        <v>900.0</v>
      </c>
      <c r="G12" s="20">
        <v>700.0</v>
      </c>
      <c r="H12" s="13">
        <v>35.0</v>
      </c>
      <c r="I12" s="19">
        <f t="shared" si="1"/>
        <v>2235</v>
      </c>
    </row>
    <row r="13">
      <c r="A13" s="10">
        <v>46065.0</v>
      </c>
      <c r="B13" s="11" t="s">
        <v>33</v>
      </c>
      <c r="C13" s="13">
        <v>0.0</v>
      </c>
      <c r="D13" s="13" t="s">
        <v>15</v>
      </c>
      <c r="E13" s="20">
        <v>0.0</v>
      </c>
      <c r="F13" s="13">
        <v>0.0</v>
      </c>
      <c r="G13" s="20">
        <v>300.0</v>
      </c>
      <c r="H13" s="13">
        <v>0.0</v>
      </c>
      <c r="I13" s="22">
        <f t="shared" si="1"/>
        <v>300</v>
      </c>
    </row>
    <row r="14">
      <c r="A14" s="10">
        <v>46066.0</v>
      </c>
      <c r="B14" s="11" t="s">
        <v>37</v>
      </c>
      <c r="C14" s="13">
        <v>3.0</v>
      </c>
      <c r="D14" s="13" t="s">
        <v>15</v>
      </c>
      <c r="E14" s="13">
        <v>0.0</v>
      </c>
      <c r="F14" s="13">
        <v>2300.0</v>
      </c>
      <c r="G14" s="13">
        <v>1200.0</v>
      </c>
      <c r="H14" s="13">
        <v>70.0</v>
      </c>
      <c r="I14" s="19">
        <f t="shared" si="1"/>
        <v>3570</v>
      </c>
    </row>
    <row r="15">
      <c r="A15" s="10">
        <v>46067.0</v>
      </c>
      <c r="B15" s="11" t="s">
        <v>38</v>
      </c>
      <c r="C15" s="13">
        <v>1.5</v>
      </c>
      <c r="D15" s="13" t="s">
        <v>15</v>
      </c>
      <c r="E15" s="13">
        <v>1800.0</v>
      </c>
      <c r="F15" s="13">
        <v>900.0</v>
      </c>
      <c r="G15" s="13">
        <v>800.0</v>
      </c>
      <c r="H15" s="13">
        <v>315.0</v>
      </c>
      <c r="I15" s="19">
        <f t="shared" si="1"/>
        <v>3815</v>
      </c>
    </row>
    <row r="16">
      <c r="A16" s="10">
        <v>46068.0</v>
      </c>
      <c r="B16" s="11" t="s">
        <v>14</v>
      </c>
      <c r="C16" s="13">
        <v>6.0</v>
      </c>
      <c r="D16" s="13" t="s">
        <v>15</v>
      </c>
      <c r="E16" s="13">
        <v>1200.0</v>
      </c>
      <c r="F16" s="13">
        <v>7180.0</v>
      </c>
      <c r="G16" s="13">
        <v>1200.0</v>
      </c>
      <c r="H16" s="13">
        <v>245.0</v>
      </c>
      <c r="I16" s="19">
        <f t="shared" si="1"/>
        <v>9825</v>
      </c>
    </row>
    <row r="17">
      <c r="A17" s="10">
        <v>46069.0</v>
      </c>
      <c r="B17" s="11" t="s">
        <v>29</v>
      </c>
      <c r="C17" s="13">
        <v>0.0</v>
      </c>
      <c r="D17" s="13" t="s">
        <v>15</v>
      </c>
      <c r="E17" s="13">
        <v>0.0</v>
      </c>
      <c r="F17" s="13">
        <v>0.0</v>
      </c>
      <c r="G17" s="13">
        <v>500.0</v>
      </c>
      <c r="H17" s="13">
        <v>35.0</v>
      </c>
      <c r="I17" s="19">
        <f t="shared" si="1"/>
        <v>535</v>
      </c>
    </row>
    <row r="18">
      <c r="A18" s="10">
        <v>46070.0</v>
      </c>
      <c r="B18" s="11" t="s">
        <v>31</v>
      </c>
      <c r="C18" s="13">
        <v>1.5</v>
      </c>
      <c r="D18" s="13" t="s">
        <v>15</v>
      </c>
      <c r="E18" s="13">
        <v>1800.0</v>
      </c>
      <c r="F18" s="13">
        <v>1200.0</v>
      </c>
      <c r="G18" s="13">
        <v>200.0</v>
      </c>
      <c r="H18" s="13">
        <v>140.0</v>
      </c>
      <c r="I18" s="19">
        <f t="shared" si="1"/>
        <v>3340</v>
      </c>
    </row>
    <row r="19">
      <c r="A19" s="10">
        <v>46071.0</v>
      </c>
      <c r="B19" s="11" t="s">
        <v>32</v>
      </c>
      <c r="C19" s="13">
        <v>2.0</v>
      </c>
      <c r="D19" s="13" t="s">
        <v>15</v>
      </c>
      <c r="E19" s="13">
        <v>2400.0</v>
      </c>
      <c r="F19" s="13">
        <v>0.0</v>
      </c>
      <c r="G19" s="13">
        <v>500.0</v>
      </c>
      <c r="H19" s="13">
        <v>35.0</v>
      </c>
      <c r="I19" s="19">
        <f t="shared" si="1"/>
        <v>2935</v>
      </c>
    </row>
    <row r="20">
      <c r="A20" s="10">
        <v>46072.0</v>
      </c>
      <c r="B20" s="11" t="s">
        <v>33</v>
      </c>
      <c r="C20" s="13">
        <v>2.5</v>
      </c>
      <c r="D20" s="13" t="s">
        <v>15</v>
      </c>
      <c r="E20" s="13">
        <v>500.0</v>
      </c>
      <c r="F20" s="13">
        <v>1200.0</v>
      </c>
      <c r="G20" s="13">
        <v>300.0</v>
      </c>
      <c r="H20" s="13">
        <v>0.0</v>
      </c>
      <c r="I20" s="19">
        <f t="shared" si="1"/>
        <v>2000</v>
      </c>
    </row>
    <row r="21">
      <c r="A21" s="10">
        <v>46073.0</v>
      </c>
      <c r="B21" s="11" t="s">
        <v>37</v>
      </c>
      <c r="C21" s="13">
        <v>3.0</v>
      </c>
      <c r="D21" s="13" t="s">
        <v>15</v>
      </c>
      <c r="E21" s="13">
        <v>0.0</v>
      </c>
      <c r="F21" s="13">
        <v>3600.0</v>
      </c>
      <c r="G21" s="13">
        <v>700.0</v>
      </c>
      <c r="H21" s="13">
        <v>0.0</v>
      </c>
      <c r="I21" s="19">
        <f t="shared" si="1"/>
        <v>4300</v>
      </c>
    </row>
    <row r="22">
      <c r="A22" s="10">
        <v>46074.0</v>
      </c>
      <c r="B22" s="11" t="s">
        <v>38</v>
      </c>
      <c r="C22" s="13">
        <v>3.0</v>
      </c>
      <c r="D22" s="13" t="s">
        <v>15</v>
      </c>
      <c r="E22" s="13">
        <v>3600.0</v>
      </c>
      <c r="F22" s="13">
        <v>0.0</v>
      </c>
      <c r="G22" s="13">
        <v>1400.0</v>
      </c>
      <c r="H22" s="13">
        <v>105.0</v>
      </c>
      <c r="I22" s="19">
        <f t="shared" si="1"/>
        <v>5105</v>
      </c>
    </row>
    <row r="23">
      <c r="A23" s="10">
        <v>46075.0</v>
      </c>
      <c r="B23" s="11" t="s">
        <v>14</v>
      </c>
      <c r="C23" s="13">
        <v>0.0</v>
      </c>
      <c r="D23" s="13" t="s">
        <v>15</v>
      </c>
      <c r="E23" s="13">
        <v>0.0</v>
      </c>
      <c r="F23" s="13">
        <v>0.0</v>
      </c>
      <c r="G23" s="13">
        <v>200.0</v>
      </c>
      <c r="H23" s="13">
        <v>0.0</v>
      </c>
      <c r="I23" s="19">
        <f t="shared" si="1"/>
        <v>200</v>
      </c>
    </row>
    <row r="24">
      <c r="A24" s="10">
        <v>46076.0</v>
      </c>
      <c r="B24" s="11" t="s">
        <v>29</v>
      </c>
      <c r="C24" s="13">
        <v>2.0</v>
      </c>
      <c r="D24" s="13" t="s">
        <v>15</v>
      </c>
      <c r="E24" s="13">
        <v>1100.0</v>
      </c>
      <c r="F24" s="13">
        <v>2400.0</v>
      </c>
      <c r="G24" s="13">
        <v>600.0</v>
      </c>
      <c r="H24" s="13">
        <v>0.0</v>
      </c>
      <c r="I24" s="19">
        <f t="shared" si="1"/>
        <v>4100</v>
      </c>
    </row>
    <row r="25">
      <c r="A25" s="10">
        <v>46077.0</v>
      </c>
      <c r="B25" s="11" t="s">
        <v>31</v>
      </c>
      <c r="C25" s="13">
        <v>0.0</v>
      </c>
      <c r="D25" s="13" t="s">
        <v>15</v>
      </c>
      <c r="E25" s="13">
        <v>0.0</v>
      </c>
      <c r="F25" s="13">
        <v>0.0</v>
      </c>
      <c r="G25" s="13">
        <v>400.0</v>
      </c>
      <c r="H25" s="13">
        <v>0.0</v>
      </c>
      <c r="I25" s="19">
        <f t="shared" si="1"/>
        <v>400</v>
      </c>
    </row>
    <row r="26">
      <c r="A26" s="10">
        <v>46078.0</v>
      </c>
      <c r="B26" s="11" t="s">
        <v>32</v>
      </c>
      <c r="C26" s="13">
        <v>3.0</v>
      </c>
      <c r="D26" s="13" t="s">
        <v>15</v>
      </c>
      <c r="E26" s="13">
        <v>1100.0</v>
      </c>
      <c r="F26" s="13">
        <v>1500.0</v>
      </c>
      <c r="G26" s="13">
        <v>100.0</v>
      </c>
      <c r="H26" s="13">
        <v>0.0</v>
      </c>
      <c r="I26" s="19">
        <f t="shared" si="1"/>
        <v>2700</v>
      </c>
    </row>
    <row r="27">
      <c r="A27" s="10">
        <v>46079.0</v>
      </c>
      <c r="B27" s="11" t="s">
        <v>33</v>
      </c>
      <c r="C27" s="13">
        <v>0.0</v>
      </c>
      <c r="D27" s="13" t="s">
        <v>15</v>
      </c>
      <c r="E27" s="13">
        <v>0.0</v>
      </c>
      <c r="F27" s="13">
        <v>0.0</v>
      </c>
      <c r="G27" s="13">
        <v>500.0</v>
      </c>
      <c r="H27" s="13">
        <v>0.0</v>
      </c>
      <c r="I27" s="19">
        <f t="shared" si="1"/>
        <v>500</v>
      </c>
    </row>
    <row r="28">
      <c r="A28" s="10">
        <v>46080.0</v>
      </c>
      <c r="B28" s="11" t="s">
        <v>37</v>
      </c>
      <c r="C28" s="13">
        <v>3.5</v>
      </c>
      <c r="D28" s="13" t="s">
        <v>15</v>
      </c>
      <c r="E28" s="13">
        <v>3840.0</v>
      </c>
      <c r="F28" s="13">
        <v>0.0</v>
      </c>
      <c r="G28" s="13">
        <v>890.0</v>
      </c>
      <c r="H28" s="13">
        <v>0.0</v>
      </c>
      <c r="I28" s="19">
        <f t="shared" si="1"/>
        <v>4730</v>
      </c>
    </row>
    <row r="29">
      <c r="A29" s="10">
        <v>46081.0</v>
      </c>
      <c r="B29" s="11" t="s">
        <v>38</v>
      </c>
      <c r="C29" s="13">
        <v>0.0</v>
      </c>
      <c r="D29" s="13" t="s">
        <v>15</v>
      </c>
      <c r="E29" s="13">
        <v>0.0</v>
      </c>
      <c r="F29" s="13">
        <v>6000.0</v>
      </c>
      <c r="G29" s="13">
        <v>0.0</v>
      </c>
      <c r="H29" s="13">
        <v>0.0</v>
      </c>
      <c r="I29" s="19">
        <f t="shared" si="1"/>
        <v>6000</v>
      </c>
    </row>
    <row r="30">
      <c r="A30" s="39" t="s">
        <v>34</v>
      </c>
      <c r="B30" s="40"/>
      <c r="C30" s="40">
        <f>SUM(C2:C29)</f>
        <v>51.5</v>
      </c>
      <c r="D30" s="42"/>
      <c r="E30" s="42">
        <f t="shared" ref="E30:I30" si="2">SUM(E2:E29)</f>
        <v>33620</v>
      </c>
      <c r="F30" s="42">
        <f t="shared" si="2"/>
        <v>35380</v>
      </c>
      <c r="G30" s="42">
        <f t="shared" si="2"/>
        <v>17940</v>
      </c>
      <c r="H30" s="42">
        <f t="shared" si="2"/>
        <v>1830</v>
      </c>
      <c r="I30" s="42">
        <f t="shared" si="2"/>
        <v>88770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12" t="s">
        <v>2</v>
      </c>
      <c r="B1" s="4" t="s">
        <v>0</v>
      </c>
      <c r="C1" s="4" t="s">
        <v>17</v>
      </c>
      <c r="D1" s="4" t="s">
        <v>19</v>
      </c>
      <c r="E1" s="4" t="s">
        <v>21</v>
      </c>
      <c r="F1" s="4" t="s">
        <v>22</v>
      </c>
      <c r="G1" s="4" t="s">
        <v>24</v>
      </c>
      <c r="H1" s="16" t="s">
        <v>7</v>
      </c>
      <c r="I1" s="17"/>
    </row>
    <row r="2">
      <c r="A2" s="14"/>
      <c r="B2" s="11" t="s">
        <v>30</v>
      </c>
      <c r="C2" s="21">
        <v>60565.0</v>
      </c>
      <c r="D2" s="21">
        <v>8361.6</v>
      </c>
      <c r="E2" s="24">
        <f t="shared" ref="E2:E3" si="1">C2-D2</f>
        <v>52203.4</v>
      </c>
      <c r="F2" s="21">
        <v>16.17</v>
      </c>
      <c r="G2" s="21">
        <v>277.62</v>
      </c>
      <c r="H2" s="27">
        <v>56669.34</v>
      </c>
    </row>
    <row r="3">
      <c r="A3" s="28"/>
      <c r="B3" s="31" t="s">
        <v>39</v>
      </c>
      <c r="C3" s="21">
        <v>10200.0</v>
      </c>
      <c r="D3" s="21">
        <v>1326.0</v>
      </c>
      <c r="E3" s="24">
        <f t="shared" si="1"/>
        <v>8874</v>
      </c>
      <c r="F3" s="21">
        <v>8.64</v>
      </c>
      <c r="G3" s="21">
        <v>43.22</v>
      </c>
      <c r="H3" s="27">
        <v>8822.15</v>
      </c>
    </row>
    <row r="4">
      <c r="A4" s="25"/>
      <c r="B4" s="26" t="s">
        <v>34</v>
      </c>
      <c r="C4" s="35">
        <f>SUM(C2:C3)</f>
        <v>70765</v>
      </c>
      <c r="D4" s="33"/>
      <c r="E4" s="35">
        <f>SUM(E2:E3)</f>
        <v>61077.4</v>
      </c>
      <c r="F4" s="33"/>
      <c r="G4" s="33"/>
      <c r="H4" s="36">
        <f>SUM(H2:H3)</f>
        <v>65491.49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2" t="s">
        <v>2</v>
      </c>
      <c r="B1" s="4" t="s">
        <v>0</v>
      </c>
      <c r="C1" s="4" t="s">
        <v>16</v>
      </c>
      <c r="D1" s="4" t="s">
        <v>18</v>
      </c>
      <c r="E1" s="4" t="s">
        <v>20</v>
      </c>
      <c r="F1" s="4" t="s">
        <v>21</v>
      </c>
      <c r="G1" s="4" t="s">
        <v>23</v>
      </c>
      <c r="H1" s="4" t="s">
        <v>25</v>
      </c>
      <c r="I1" s="4" t="s">
        <v>26</v>
      </c>
    </row>
    <row r="2">
      <c r="A2" s="14"/>
      <c r="B2" s="11" t="s">
        <v>27</v>
      </c>
      <c r="C2" s="13">
        <v>5200.0</v>
      </c>
      <c r="D2" s="13">
        <v>364.0</v>
      </c>
      <c r="E2" s="13">
        <v>65.52</v>
      </c>
      <c r="F2" s="24">
        <f>C2-D2-E2</f>
        <v>4770.48</v>
      </c>
      <c r="G2" s="13">
        <v>5.2</v>
      </c>
      <c r="H2" s="13">
        <v>26.0</v>
      </c>
      <c r="I2" s="13">
        <v>4739.28</v>
      </c>
    </row>
    <row r="3">
      <c r="A3" s="25"/>
      <c r="B3" s="26" t="s">
        <v>34</v>
      </c>
      <c r="C3" s="30">
        <f>SUM(C2)</f>
        <v>5200</v>
      </c>
      <c r="D3" s="32"/>
      <c r="E3" s="33"/>
      <c r="F3" s="34">
        <f>SUM(F2)</f>
        <v>4770.48</v>
      </c>
      <c r="G3" s="33"/>
      <c r="H3" s="33"/>
      <c r="I3" s="30">
        <f>SUM(I2)</f>
        <v>4739.28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75"/>
    <col customWidth="1" min="4" max="4" width="23.88"/>
    <col customWidth="1" min="5" max="5" width="16.0"/>
    <col customWidth="1" min="6" max="6" width="14.13"/>
  </cols>
  <sheetData>
    <row r="1">
      <c r="A1" s="47" t="s">
        <v>2</v>
      </c>
      <c r="B1" s="16" t="s">
        <v>0</v>
      </c>
      <c r="C1" s="16" t="s">
        <v>68</v>
      </c>
      <c r="D1" s="16" t="s">
        <v>18</v>
      </c>
      <c r="E1" s="48" t="s">
        <v>69</v>
      </c>
      <c r="F1" s="16" t="s">
        <v>21</v>
      </c>
      <c r="G1" s="49" t="s">
        <v>24</v>
      </c>
      <c r="H1" s="49" t="s">
        <v>22</v>
      </c>
      <c r="I1" s="16" t="s">
        <v>26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>
      <c r="A2" s="50"/>
      <c r="B2" s="31" t="s">
        <v>70</v>
      </c>
      <c r="C2" s="27">
        <v>22200.0</v>
      </c>
      <c r="D2" s="31">
        <v>444.0</v>
      </c>
      <c r="E2" s="51">
        <v>79.92</v>
      </c>
      <c r="F2" s="52">
        <f t="shared" ref="F2:F3" si="1">C2-D2-E2</f>
        <v>21676.08</v>
      </c>
      <c r="G2" s="31">
        <v>111.0</v>
      </c>
      <c r="H2" s="31">
        <v>22.2</v>
      </c>
      <c r="I2" s="31">
        <v>21542.88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>
      <c r="A3" s="25"/>
      <c r="B3" s="11" t="s">
        <v>72</v>
      </c>
      <c r="C3" s="31">
        <v>15000.0</v>
      </c>
      <c r="D3" s="31">
        <v>300.0</v>
      </c>
      <c r="E3" s="51">
        <v>54.0</v>
      </c>
      <c r="F3" s="52">
        <f t="shared" si="1"/>
        <v>14646</v>
      </c>
      <c r="G3" s="31">
        <v>75.0</v>
      </c>
      <c r="H3" s="31">
        <v>15.0</v>
      </c>
      <c r="I3" s="31">
        <v>14556.0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>
      <c r="A4" s="54"/>
      <c r="B4" s="26" t="s">
        <v>34</v>
      </c>
      <c r="C4" s="56">
        <f>SUM(C2:C3)</f>
        <v>37200</v>
      </c>
      <c r="D4" s="58"/>
      <c r="E4" s="34"/>
      <c r="F4" s="56">
        <f>SUM(F2:F3)</f>
        <v>36322.08</v>
      </c>
      <c r="G4" s="59"/>
      <c r="H4" s="59"/>
      <c r="I4" s="56">
        <f>SUM(I2:I3)</f>
        <v>36098.88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47" t="s">
        <v>2</v>
      </c>
      <c r="B1" s="16" t="s">
        <v>0</v>
      </c>
      <c r="C1" s="16" t="s">
        <v>71</v>
      </c>
      <c r="D1" s="16" t="s">
        <v>18</v>
      </c>
      <c r="E1" s="16" t="s">
        <v>26</v>
      </c>
    </row>
    <row r="2">
      <c r="A2" s="28"/>
      <c r="B2" s="31" t="s">
        <v>27</v>
      </c>
      <c r="C2" s="53">
        <v>0.0</v>
      </c>
      <c r="D2" s="31">
        <v>0.0</v>
      </c>
      <c r="E2" s="31">
        <v>0.0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75"/>
    <col customWidth="1" min="3" max="3" width="18.5"/>
    <col customWidth="1" min="4" max="5" width="20.13"/>
    <col customWidth="1" min="6" max="6" width="14.13"/>
  </cols>
  <sheetData>
    <row r="1">
      <c r="A1" s="4" t="s">
        <v>0</v>
      </c>
      <c r="B1" s="9" t="s">
        <v>73</v>
      </c>
      <c r="C1" s="55" t="s">
        <v>74</v>
      </c>
      <c r="D1" s="9" t="s">
        <v>21</v>
      </c>
      <c r="E1" s="57" t="s">
        <v>75</v>
      </c>
      <c r="F1" s="4" t="s">
        <v>26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60">
        <v>46081.0</v>
      </c>
      <c r="B2" s="29">
        <v>48000.0</v>
      </c>
      <c r="C2" s="38">
        <f>B2*3%</f>
        <v>1440</v>
      </c>
      <c r="D2" s="61">
        <f t="shared" ref="D2:D3" si="1">B2-C2</f>
        <v>46560</v>
      </c>
      <c r="E2" s="62">
        <f t="shared" ref="E2:E3" si="2">B2*2%</f>
        <v>960</v>
      </c>
      <c r="F2" s="61">
        <f t="shared" ref="F2:F3" si="3">D2-E2</f>
        <v>45600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60">
        <v>46081.0</v>
      </c>
      <c r="B3" s="29">
        <v>7200.0</v>
      </c>
      <c r="C3" s="38">
        <f>B3*10%</f>
        <v>720</v>
      </c>
      <c r="D3" s="61">
        <f t="shared" si="1"/>
        <v>6480</v>
      </c>
      <c r="E3" s="62">
        <f t="shared" si="2"/>
        <v>144</v>
      </c>
      <c r="F3" s="61">
        <f t="shared" si="3"/>
        <v>6336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64" t="s">
        <v>34</v>
      </c>
      <c r="B4" s="65">
        <f>SUM(B2:B3)</f>
        <v>55200</v>
      </c>
      <c r="C4" s="59"/>
      <c r="D4" s="65">
        <f>SUM(D2:D3)</f>
        <v>53040</v>
      </c>
      <c r="E4" s="67"/>
      <c r="F4" s="65">
        <f>SUM(F2:F3)</f>
        <v>51936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50"/>
      <c r="B5" s="14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25"/>
      <c r="B6" s="69"/>
      <c r="C6" s="25"/>
      <c r="D6" s="25"/>
      <c r="E6" s="25"/>
      <c r="F6" s="70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75"/>
    <col customWidth="1" min="4" max="4" width="18.5"/>
    <col customWidth="1" min="5" max="6" width="20.13"/>
    <col customWidth="1" min="7" max="7" width="14.13"/>
  </cols>
  <sheetData>
    <row r="1">
      <c r="A1" s="63" t="s">
        <v>2</v>
      </c>
      <c r="B1" s="4" t="s">
        <v>0</v>
      </c>
      <c r="C1" s="4" t="s">
        <v>76</v>
      </c>
      <c r="D1" s="9" t="s">
        <v>77</v>
      </c>
      <c r="E1" s="9" t="s">
        <v>21</v>
      </c>
      <c r="F1" s="57" t="s">
        <v>75</v>
      </c>
      <c r="G1" s="4" t="s">
        <v>26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>
      <c r="A2" s="62"/>
      <c r="B2" s="31" t="s">
        <v>27</v>
      </c>
      <c r="C2" s="66">
        <v>6219.0</v>
      </c>
      <c r="D2" s="31">
        <v>1243.0</v>
      </c>
      <c r="E2" s="68">
        <f>C2-D2</f>
        <v>4976</v>
      </c>
      <c r="F2" s="31">
        <v>124.38</v>
      </c>
      <c r="G2" s="68">
        <f>E2-F2</f>
        <v>4851.62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>
      <c r="A3" s="50"/>
      <c r="B3" s="50"/>
      <c r="C3" s="14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>
      <c r="A4" s="25"/>
      <c r="B4" s="25"/>
      <c r="C4" s="69"/>
      <c r="D4" s="25"/>
      <c r="E4" s="25"/>
      <c r="F4" s="25"/>
      <c r="G4" s="70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>
      <c r="A7" s="50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>
      <c r="A8" s="50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>
      <c r="A9" s="50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>
      <c r="A10" s="50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>
      <c r="A11" s="50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4" max="4" width="20.13"/>
    <col customWidth="1" min="5" max="5" width="14.13"/>
  </cols>
  <sheetData>
    <row r="1">
      <c r="A1" s="63" t="s">
        <v>2</v>
      </c>
      <c r="B1" s="4" t="s">
        <v>0</v>
      </c>
      <c r="C1" s="57" t="s">
        <v>78</v>
      </c>
      <c r="D1" s="14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>
      <c r="A2" s="62"/>
      <c r="B2" s="31" t="s">
        <v>27</v>
      </c>
      <c r="C2" s="41">
        <v>6900.0</v>
      </c>
      <c r="D2" s="14"/>
      <c r="E2" s="70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>
      <c r="A3" s="25"/>
      <c r="B3" s="50"/>
      <c r="C3" s="14"/>
      <c r="D3" s="25"/>
      <c r="E3" s="70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>
      <c r="A4" s="25"/>
      <c r="B4" s="50"/>
      <c r="C4" s="14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>
      <c r="A5" s="50"/>
      <c r="B5" s="50"/>
      <c r="C5" s="1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>
      <c r="A6" s="25"/>
      <c r="B6" s="25"/>
      <c r="C6" s="69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</row>
    <row r="9">
      <c r="A9" s="50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</row>
    <row r="10">
      <c r="A10" s="50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>
      <c r="A11" s="50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>
      <c r="A12" s="50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>
      <c r="A13" s="50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</row>
  </sheetData>
  <hyperlinks>
    <hyperlink r:id="rId1" ref="A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63"/>
    <col customWidth="1" min="2" max="2" width="12.88"/>
    <col customWidth="1" min="3" max="3" width="17.88"/>
    <col customWidth="1" min="4" max="5" width="15.25"/>
  </cols>
  <sheetData>
    <row r="1">
      <c r="A1" s="4" t="s">
        <v>79</v>
      </c>
      <c r="B1" s="4" t="s">
        <v>80</v>
      </c>
      <c r="C1" s="4" t="s">
        <v>81</v>
      </c>
      <c r="D1" s="4" t="s">
        <v>82</v>
      </c>
      <c r="E1" s="71" t="s">
        <v>83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1" t="s">
        <v>84</v>
      </c>
      <c r="B2" s="11" t="s">
        <v>85</v>
      </c>
      <c r="C2" s="11" t="s">
        <v>86</v>
      </c>
      <c r="D2" s="10">
        <v>46081.0</v>
      </c>
      <c r="E2" s="27">
        <v>78300.0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</sheetData>
  <dataValidations>
    <dataValidation type="list" allowBlank="1" showErrorMessage="1" sqref="C2">
      <formula1>"Kickoff Pack (7),Pro Pack (30),Rally Pack (15),Grand slam (90),Collab,Coaching"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63"/>
    <col customWidth="1" min="2" max="2" width="12.88"/>
    <col customWidth="1" min="3" max="3" width="17.13"/>
    <col customWidth="1" min="4" max="5" width="15.25"/>
  </cols>
  <sheetData>
    <row r="1">
      <c r="A1" s="4" t="s">
        <v>80</v>
      </c>
      <c r="B1" s="4" t="s">
        <v>87</v>
      </c>
      <c r="C1" s="57" t="s">
        <v>82</v>
      </c>
      <c r="D1" s="71" t="s">
        <v>83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1" t="s">
        <v>85</v>
      </c>
      <c r="B2" s="11" t="s">
        <v>88</v>
      </c>
      <c r="C2" s="11" t="s">
        <v>89</v>
      </c>
      <c r="D2" s="29">
        <f>15000+6000</f>
        <v>21000</v>
      </c>
      <c r="E2" s="28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13"/>
    <col customWidth="1" min="2" max="2" width="11.5"/>
    <col customWidth="1" min="3" max="3" width="9.38"/>
    <col customWidth="1" min="4" max="4" width="11.5"/>
    <col customWidth="1" min="5" max="5" width="11.13"/>
    <col customWidth="1" min="6" max="6" width="12.13"/>
  </cols>
  <sheetData>
    <row r="1">
      <c r="A1" s="72" t="s">
        <v>90</v>
      </c>
      <c r="B1" s="72" t="s">
        <v>91</v>
      </c>
      <c r="C1" s="73" t="s">
        <v>7</v>
      </c>
      <c r="D1" s="72" t="s">
        <v>92</v>
      </c>
      <c r="E1" s="72" t="s">
        <v>21</v>
      </c>
      <c r="F1" s="72" t="s">
        <v>93</v>
      </c>
    </row>
    <row r="2">
      <c r="A2" s="74">
        <v>46068.0</v>
      </c>
      <c r="B2" s="75" t="s">
        <v>94</v>
      </c>
      <c r="C2" s="76">
        <v>15000.0</v>
      </c>
      <c r="D2" s="75">
        <f>C2*40%</f>
        <v>6000</v>
      </c>
      <c r="E2" s="75">
        <f t="shared" ref="E2:E4" si="1">C2-D2</f>
        <v>9000</v>
      </c>
      <c r="F2" s="75" t="s">
        <v>95</v>
      </c>
    </row>
    <row r="3">
      <c r="A3" s="74">
        <v>46080.0</v>
      </c>
      <c r="B3" s="75" t="s">
        <v>94</v>
      </c>
      <c r="C3" s="76">
        <v>10000.0</v>
      </c>
      <c r="D3" s="75">
        <v>0.0</v>
      </c>
      <c r="E3" s="75">
        <f t="shared" si="1"/>
        <v>10000</v>
      </c>
      <c r="F3" s="75" t="s">
        <v>95</v>
      </c>
    </row>
    <row r="4">
      <c r="A4" s="74">
        <v>46081.0</v>
      </c>
      <c r="B4" s="75" t="s">
        <v>96</v>
      </c>
      <c r="C4" s="76">
        <v>5000.0</v>
      </c>
      <c r="D4" s="75">
        <v>0.0</v>
      </c>
      <c r="E4" s="75">
        <f t="shared" si="1"/>
        <v>5000</v>
      </c>
      <c r="F4" s="75" t="s">
        <v>95</v>
      </c>
    </row>
    <row r="5">
      <c r="A5" s="77" t="s">
        <v>34</v>
      </c>
      <c r="B5" s="78"/>
      <c r="C5" s="79">
        <f>SUM(C2:C4)</f>
        <v>30000</v>
      </c>
      <c r="D5" s="78"/>
      <c r="E5" s="79">
        <f>SUM(E2:E4)</f>
        <v>24000</v>
      </c>
      <c r="F5" s="7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4.0"/>
  </cols>
  <sheetData>
    <row r="1">
      <c r="A1" s="80" t="s">
        <v>90</v>
      </c>
      <c r="B1" s="80" t="s">
        <v>91</v>
      </c>
      <c r="C1" s="80" t="s">
        <v>7</v>
      </c>
      <c r="D1" s="80" t="s">
        <v>93</v>
      </c>
    </row>
    <row r="2">
      <c r="A2" s="81">
        <v>46075.0</v>
      </c>
      <c r="B2" s="82" t="s">
        <v>97</v>
      </c>
      <c r="C2" s="82">
        <v>3900.0</v>
      </c>
      <c r="D2" s="82" t="s">
        <v>98</v>
      </c>
    </row>
    <row r="3">
      <c r="A3" s="74"/>
      <c r="B3" s="75"/>
      <c r="C3" s="75"/>
      <c r="D3" s="75"/>
    </row>
  </sheetData>
  <drawing r:id="rId1"/>
</worksheet>
</file>