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Hudle" sheetId="4" r:id="rId8"/>
    <sheet state="visible" name="Memberships" sheetId="5" r:id="rId9"/>
  </sheets>
  <definedNames/>
  <calcPr/>
</workbook>
</file>

<file path=xl/sharedStrings.xml><?xml version="1.0" encoding="utf-8"?>
<sst xmlns="http://schemas.openxmlformats.org/spreadsheetml/2006/main" count="150" uniqueCount="71">
  <si>
    <t>1 - 31 May</t>
  </si>
  <si>
    <t>Date</t>
  </si>
  <si>
    <t>Day</t>
  </si>
  <si>
    <t>Offline booking hours</t>
  </si>
  <si>
    <t>Discount Given</t>
  </si>
  <si>
    <t>Particulars</t>
  </si>
  <si>
    <t>Booking Revenue</t>
  </si>
  <si>
    <t>Amount</t>
  </si>
  <si>
    <t>Booking Revenue (Turf)</t>
  </si>
  <si>
    <t>Community Revenue</t>
  </si>
  <si>
    <t xml:space="preserve">Paddle Rental </t>
  </si>
  <si>
    <t>Total Revenue</t>
  </si>
  <si>
    <t>Payment Gateway</t>
  </si>
  <si>
    <t>Total</t>
  </si>
  <si>
    <t>Link</t>
  </si>
  <si>
    <t>Net Revenue</t>
  </si>
  <si>
    <t>Pickleball</t>
  </si>
  <si>
    <t>Turf</t>
  </si>
  <si>
    <t>Pay &amp; Play</t>
  </si>
  <si>
    <t>Friday</t>
  </si>
  <si>
    <t>0 and 10%</t>
  </si>
  <si>
    <t xml:space="preserve">Online </t>
  </si>
  <si>
    <t>Saturday</t>
  </si>
  <si>
    <t>District</t>
  </si>
  <si>
    <t>Paid to District</t>
  </si>
  <si>
    <t>Commissions (₹)</t>
  </si>
  <si>
    <t>Sunday</t>
  </si>
  <si>
    <t>Paid to Hudle</t>
  </si>
  <si>
    <t>GST on Commission</t>
  </si>
  <si>
    <t>Commisions (Including GST)</t>
  </si>
  <si>
    <t>TDS</t>
  </si>
  <si>
    <t>TCS</t>
  </si>
  <si>
    <t>Monday</t>
  </si>
  <si>
    <t>Final Amount (₹)</t>
  </si>
  <si>
    <t>Tuesday</t>
  </si>
  <si>
    <t>Wednesday</t>
  </si>
  <si>
    <t>Thursday</t>
  </si>
  <si>
    <t>Hudle</t>
  </si>
  <si>
    <t>Playo</t>
  </si>
  <si>
    <t>Khelomore</t>
  </si>
  <si>
    <t>Zplys</t>
  </si>
  <si>
    <t>Offline</t>
  </si>
  <si>
    <t>Bookings</t>
  </si>
  <si>
    <t>Memberships</t>
  </si>
  <si>
    <t>Community</t>
  </si>
  <si>
    <t>Pickup games</t>
  </si>
  <si>
    <t>Social Events/Tournaments</t>
  </si>
  <si>
    <t>Academy</t>
  </si>
  <si>
    <t>Events &amp; Partnership</t>
  </si>
  <si>
    <t>Corporate events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</si>
  <si>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</si>
  <si>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</si>
  <si>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</si>
  <si>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</si>
  <si>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</si>
  <si>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</si>
  <si>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</t>
  </si>
  <si>
    <t>Total Net Revenue (Post Commissions)</t>
  </si>
  <si>
    <t>Total Revenue post GST</t>
  </si>
  <si>
    <t>Member Name</t>
  </si>
  <si>
    <t>Sports Type</t>
  </si>
  <si>
    <t>Membership Type</t>
  </si>
  <si>
    <t>Start Date</t>
  </si>
  <si>
    <t>Amount Collected</t>
  </si>
  <si>
    <t>Akshay</t>
  </si>
  <si>
    <t xml:space="preserve">30 Slots </t>
  </si>
  <si>
    <t>May</t>
  </si>
  <si>
    <t>ISH</t>
  </si>
  <si>
    <t>Turf and Pickleball</t>
  </si>
  <si>
    <t>Custom</t>
  </si>
  <si>
    <t>Ritesh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</si>
</sst>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"/>
    <numFmt numFmtId="165" formatCode="[$₹]#,##0.0"/>
    <numFmt numFmtId="166" formatCode="[&gt;9999999][$₹]##\,##\,##\,##0;[&gt;99999][$₹]##\,##\,##0;[$₹]##,##0"/>
    <numFmt numFmtId="167" formatCode="d mmmm"/>
    <numFmt numFmtId="168" formatCode="[$₹]#,##0.00"/>
    <numFmt numFmtId="169" formatCode="d mmm"/>
    <numFmt numFmtId="170" formatCode="[&gt;9999999][$₹]##\,##\,##\,##0.00;[&gt;99999][$₹]##\,##\,##0.00;[$₹]##,##0.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  <scheme val="minor"/>
    </font>
    <font>
      <color theme="1"/>
      <name val="Arial"/>
    </font>
    <font>
      <b/>
      <u/>
      <color rgb="FF1155CC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2" fillId="2" fontId="2" numFmtId="164" xfId="0" applyAlignment="1" applyBorder="1" applyFill="1" applyFont="1" applyNumberFormat="1">
      <alignment horizontal="center" vertical="bottom"/>
    </xf>
    <xf borderId="3" fillId="0" fontId="3" numFmtId="0" xfId="0" applyBorder="1" applyFont="1"/>
    <xf borderId="2" fillId="2" fontId="4" numFmtId="0" xfId="0" applyBorder="1" applyFill="1" applyFont="1"/>
    <xf borderId="2" fillId="2" fontId="2" numFmtId="3" xfId="0" applyAlignment="1" applyBorder="1" applyFill="1" applyFont="1" applyNumberFormat="1">
      <alignment horizontal="center" vertical="bottom"/>
    </xf>
    <xf borderId="2" fillId="0" fontId="2" numFmtId="0" xfId="0" applyAlignment="1" applyBorder="1" applyFont="1">
      <alignment horizontal="center" vertical="bottom"/>
    </xf>
    <xf borderId="2" fillId="0" fontId="4" numFmtId="0" xfId="0" applyBorder="1" applyFont="1"/>
    <xf borderId="2" fillId="2" fontId="2" numFmtId="164" xfId="0" applyAlignment="1" applyBorder="1" applyFill="1" applyFont="1" applyNumberFormat="1">
      <alignment horizontal="center" readingOrder="0" vertical="bottom"/>
    </xf>
    <xf borderId="2" fillId="0" fontId="5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2" numFmtId="165" xfId="0" applyAlignment="1" applyBorder="1" applyFill="1" applyFont="1" applyNumberFormat="1">
      <alignment vertical="bottom"/>
    </xf>
    <xf borderId="2" fillId="2" fontId="2" numFmtId="166" xfId="0" applyAlignment="1" applyBorder="1" applyFill="1" applyFont="1" applyNumberFormat="1">
      <alignment horizontal="center" readingOrder="0" vertical="bottom"/>
    </xf>
    <xf borderId="2" fillId="2" fontId="2" numFmtId="0" xfId="0" applyAlignment="1" applyBorder="1" applyFill="1" applyFont="1">
      <alignment vertical="bottom"/>
    </xf>
    <xf borderId="2" fillId="2" fontId="1" numFmtId="0" xfId="0" applyAlignment="1" applyBorder="1" applyFill="1" applyFont="1">
      <alignment horizontal="center" readingOrder="0"/>
    </xf>
    <xf borderId="2" fillId="2" fontId="2" numFmtId="0" xfId="0" applyAlignment="1" applyBorder="1" applyFill="1" applyFont="1">
      <alignment horizontal="center" readingOrder="0" vertical="bottom"/>
    </xf>
    <xf borderId="2" fillId="0" fontId="2" numFmtId="0" xfId="0" applyAlignment="1" applyBorder="1" applyFont="1">
      <alignment vertical="bottom"/>
    </xf>
    <xf borderId="2" fillId="3" fontId="5" numFmtId="167" xfId="0" applyAlignment="1" applyBorder="1" applyFill="1" applyFont="1" applyNumberFormat="1">
      <alignment horizontal="right" vertical="bottom"/>
    </xf>
    <xf borderId="2" fillId="3" fontId="5" numFmtId="164" xfId="0" applyAlignment="1" applyBorder="1" applyFill="1" applyFont="1" applyNumberFormat="1">
      <alignment vertical="bottom"/>
    </xf>
    <xf borderId="2" fillId="3" fontId="5" numFmtId="3" xfId="0" applyAlignment="1" applyBorder="1" applyFill="1" applyFont="1" applyNumberFormat="1">
      <alignment readingOrder="0" vertical="bottom"/>
    </xf>
    <xf borderId="2" fillId="0" fontId="5" numFmtId="164" xfId="0" applyAlignment="1" applyBorder="1" applyFont="1" applyNumberFormat="1">
      <alignment horizontal="right" vertical="bottom"/>
    </xf>
    <xf borderId="2" fillId="0" fontId="5" numFmtId="164" xfId="0" applyAlignment="1" applyBorder="1" applyFont="1" applyNumberFormat="1">
      <alignment readingOrder="0" vertical="bottom"/>
    </xf>
    <xf borderId="2" fillId="0" fontId="5" numFmtId="164" xfId="0" applyAlignment="1" applyBorder="1" applyFont="1" applyNumberFormat="1">
      <alignment horizontal="right" readingOrder="0" vertical="bottom"/>
    </xf>
    <xf borderId="2" fillId="0" fontId="2" numFmtId="166" xfId="0" applyAlignment="1" applyBorder="1" applyFont="1" applyNumberFormat="1">
      <alignment horizontal="right" vertical="bottom"/>
    </xf>
    <xf borderId="2" fillId="0" fontId="5" numFmtId="164" xfId="0" applyAlignment="1" applyBorder="1" applyFont="1" applyNumberFormat="1">
      <alignment horizontal="right" vertical="bottom"/>
    </xf>
    <xf borderId="2" fillId="3" fontId="5" numFmtId="3" xfId="0" applyAlignment="1" applyBorder="1" applyFill="1" applyFont="1" applyNumberFormat="1">
      <alignment horizontal="right" readingOrder="0" vertical="bottom"/>
    </xf>
    <xf borderId="2" fillId="2" fontId="6" numFmtId="168" xfId="0" applyAlignment="1" applyBorder="1" applyFill="1" applyFont="1" applyNumberFormat="1">
      <alignment horizontal="center" vertical="bottom"/>
    </xf>
    <xf borderId="2" fillId="2" fontId="2" numFmtId="168" xfId="0" applyAlignment="1" applyBorder="1" applyFill="1" applyFont="1" applyNumberFormat="1">
      <alignment horizontal="center" vertical="bottom"/>
    </xf>
    <xf borderId="2" fillId="0" fontId="5" numFmtId="166" xfId="0" applyAlignment="1" applyBorder="1" applyFont="1" applyNumberFormat="1">
      <alignment vertical="bottom"/>
    </xf>
    <xf borderId="2" fillId="0" fontId="5" numFmtId="3" xfId="0" applyAlignment="1" applyBorder="1" applyFont="1" applyNumberFormat="1">
      <alignment horizontal="right" readingOrder="0" vertical="bottom"/>
    </xf>
    <xf borderId="2" fillId="2" fontId="7" numFmtId="168" xfId="0" applyAlignment="1" applyBorder="1" applyFill="1" applyFont="1" applyNumberFormat="1">
      <alignment vertical="bottom"/>
    </xf>
    <xf borderId="2" fillId="0" fontId="5" numFmtId="168" xfId="0" applyAlignment="1" applyBorder="1" applyFont="1" applyNumberFormat="1">
      <alignment vertical="bottom"/>
    </xf>
    <xf borderId="0" fillId="0" fontId="5" numFmtId="0" xfId="0" applyAlignment="1" applyFont="1">
      <alignment vertical="bottom"/>
    </xf>
    <xf borderId="2" fillId="0" fontId="5" numFmtId="168" xfId="0" applyAlignment="1" applyBorder="1" applyFont="1" applyNumberFormat="1">
      <alignment readingOrder="0" vertical="bottom"/>
    </xf>
    <xf borderId="2" fillId="0" fontId="5" numFmtId="168" xfId="0" applyAlignment="1" applyBorder="1" applyFont="1" applyNumberFormat="1">
      <alignment horizontal="right" readingOrder="0" vertical="bottom"/>
    </xf>
    <xf borderId="2" fillId="0" fontId="5" numFmtId="169" xfId="0" applyAlignment="1" applyBorder="1" applyFont="1" applyNumberFormat="1">
      <alignment vertical="bottom"/>
    </xf>
    <xf borderId="2" fillId="0" fontId="5" numFmtId="170" xfId="0" applyAlignment="1" applyBorder="1" applyFont="1" applyNumberFormat="1">
      <alignment horizontal="right" readingOrder="0" vertical="bottom"/>
    </xf>
    <xf borderId="2" fillId="0" fontId="5" numFmtId="3" xfId="0" applyAlignment="1" applyBorder="1" applyFont="1" applyNumberFormat="1">
      <alignment readingOrder="0" vertical="bottom"/>
    </xf>
    <xf borderId="2" fillId="0" fontId="4" numFmtId="165" xfId="0" applyBorder="1" applyFont="1" applyNumberFormat="1"/>
    <xf borderId="2" fillId="0" fontId="5" numFmtId="170" xfId="0" applyAlignment="1" applyBorder="1" applyFont="1" applyNumberFormat="1">
      <alignment horizontal="right" vertical="bottom"/>
    </xf>
    <xf borderId="2" fillId="3" fontId="5" numFmtId="166" xfId="0" applyAlignment="1" applyBorder="1" applyFill="1" applyFont="1" applyNumberFormat="1">
      <alignment vertical="bottom"/>
    </xf>
    <xf borderId="2" fillId="0" fontId="5" numFmtId="164" xfId="0" applyAlignment="1" applyBorder="1" applyFont="1" applyNumberFormat="1">
      <alignment vertical="bottom"/>
    </xf>
    <xf borderId="0" fillId="3" fontId="4" numFmtId="0" xfId="0" applyFill="1" applyFont="1"/>
    <xf borderId="2" fillId="0" fontId="5" numFmtId="165" xfId="0" applyAlignment="1" applyBorder="1" applyFont="1" applyNumberFormat="1">
      <alignment vertical="bottom"/>
    </xf>
    <xf borderId="2" fillId="2" fontId="2" numFmtId="164" xfId="0" applyAlignment="1" applyBorder="1" applyFill="1" applyFont="1" applyNumberFormat="1">
      <alignment vertical="bottom"/>
    </xf>
    <xf borderId="2" fillId="0" fontId="5" numFmtId="166" xfId="0" applyAlignment="1" applyBorder="1" applyFont="1" applyNumberFormat="1">
      <alignment readingOrder="0" vertical="bottom"/>
    </xf>
    <xf borderId="2" fillId="0" fontId="4" numFmtId="0" xfId="0" applyAlignment="1" applyBorder="1" applyFont="1">
      <alignment readingOrder="0"/>
    </xf>
    <xf borderId="2" fillId="0" fontId="5" numFmtId="0" xfId="0" applyAlignment="1" applyBorder="1" applyFont="1">
      <alignment readingOrder="0" vertical="bottom"/>
    </xf>
    <xf borderId="2" fillId="2" fontId="2" numFmtId="166" xfId="0" applyAlignment="1" applyBorder="1" applyFill="1" applyFont="1" applyNumberFormat="1">
      <alignment vertical="bottom"/>
    </xf>
    <xf borderId="2" fillId="0" fontId="5" numFmtId="0" xfId="0" applyAlignment="1" applyBorder="1" applyFont="1">
      <alignment vertical="bottom"/>
    </xf>
    <xf borderId="2" fillId="2" fontId="2" numFmtId="168" xfId="0" applyAlignment="1" applyBorder="1" applyFill="1" applyFont="1" applyNumberFormat="1">
      <alignment horizontal="right" vertical="bottom"/>
    </xf>
    <xf borderId="2" fillId="2" fontId="5" numFmtId="164" xfId="0" applyAlignment="1" applyBorder="1" applyFill="1" applyFont="1" applyNumberFormat="1">
      <alignment vertical="bottom"/>
    </xf>
    <xf borderId="2" fillId="0" fontId="2" numFmtId="0" xfId="0" applyAlignment="1" applyBorder="1" applyFont="1">
      <alignment vertical="bottom"/>
    </xf>
    <xf borderId="2" fillId="2" fontId="2" numFmtId="170" xfId="0" applyAlignment="1" applyBorder="1" applyFill="1" applyFont="1" applyNumberFormat="1">
      <alignment horizontal="right" vertical="bottom"/>
    </xf>
    <xf borderId="2" fillId="2" fontId="5" numFmtId="168" xfId="0" applyAlignment="1" applyBorder="1" applyFill="1" applyFont="1" applyNumberFormat="1">
      <alignment vertical="bottom"/>
    </xf>
    <xf borderId="2" fillId="2" fontId="5" numFmtId="166" xfId="0" applyAlignment="1" applyBorder="1" applyFill="1" applyFont="1" applyNumberFormat="1">
      <alignment vertical="bottom"/>
    </xf>
    <xf borderId="2" fillId="0" fontId="1" numFmtId="165" xfId="0" applyAlignment="1" applyBorder="1" applyFont="1" applyNumberFormat="1">
      <alignment readingOrder="0"/>
    </xf>
    <xf borderId="2" fillId="0" fontId="4" numFmtId="164" xfId="0" applyBorder="1" applyFont="1" applyNumberFormat="1"/>
    <xf borderId="2" fillId="0" fontId="2" numFmtId="168" xfId="0" applyAlignment="1" applyBorder="1" applyFont="1" applyNumberFormat="1">
      <alignment readingOrder="0" vertical="bottom"/>
    </xf>
    <xf borderId="0" fillId="0" fontId="5" numFmtId="0" xfId="0" applyAlignment="1" applyFont="1">
      <alignment readingOrder="0" vertical="bottom"/>
    </xf>
    <xf borderId="2" fillId="0" fontId="4" numFmtId="164" xfId="0" applyAlignment="1" applyBorder="1" applyFont="1" applyNumberFormat="1">
      <alignment readingOrder="0"/>
    </xf>
    <xf borderId="2" fillId="0" fontId="4" numFmtId="168" xfId="0" applyAlignment="1" applyBorder="1" applyFont="1" applyNumberFormat="1">
      <alignment readingOrder="0"/>
    </xf>
    <xf borderId="2" fillId="3" fontId="5" numFmtId="164" xfId="0" applyAlignment="1" applyBorder="1" applyFill="1" applyFont="1" applyNumberFormat="1">
      <alignment readingOrder="0" vertical="bottom"/>
    </xf>
    <xf borderId="2" fillId="3" fontId="5" numFmtId="164" xfId="0" applyAlignment="1" applyBorder="1" applyFill="1" applyFont="1" applyNumberFormat="1">
      <alignment horizontal="right" readingOrder="0" vertical="bottom"/>
    </xf>
    <xf borderId="2" fillId="0" fontId="2" numFmtId="166" xfId="0" applyAlignment="1" applyBorder="1" applyFont="1" applyNumberFormat="1">
      <alignment horizontal="right" readingOrder="0" vertical="bottom"/>
    </xf>
    <xf borderId="2" fillId="2" fontId="2" numFmtId="4" xfId="0" applyAlignment="1" applyBorder="1" applyFill="1" applyFont="1" applyNumberFormat="1">
      <alignment horizontal="right" vertical="bottom"/>
    </xf>
    <xf borderId="2" fillId="0" fontId="5" numFmtId="166" xfId="0" applyAlignment="1" applyBorder="1" applyFont="1" applyNumberFormat="1">
      <alignment horizontal="right" readingOrder="0" vertical="bottom"/>
    </xf>
    <xf borderId="2" fillId="2" fontId="2" numFmtId="164" xfId="0" applyAlignment="1" applyBorder="1" applyFill="1" applyFont="1" applyNumberFormat="1">
      <alignment horizontal="right" vertical="bottom"/>
    </xf>
    <xf borderId="2" fillId="0" fontId="5" numFmtId="166" xfId="0" applyAlignment="1" applyBorder="1" applyFont="1" applyNumberFormat="1">
      <alignment horizontal="right" vertical="bottom"/>
    </xf>
    <xf borderId="2" fillId="0" fontId="5" numFmtId="0" xfId="0" applyAlignment="1" applyBorder="1" applyFont="1">
      <alignment shrinkToFit="0" vertical="bottom" wrapText="1"/>
    </xf>
    <xf borderId="2" fillId="0" fontId="2" numFmtId="168" xfId="0" applyAlignment="1" applyBorder="1" applyFont="1" applyNumberFormat="1">
      <alignment vertical="bottom"/>
    </xf>
    <xf borderId="2" fillId="2" fontId="2" numFmtId="0" xfId="0" applyAlignment="1" applyBorder="1" applyFill="1" applyFont="1">
      <alignment horizontal="right" vertical="bottom"/>
    </xf>
    <xf borderId="2" fillId="0" fontId="5" numFmtId="0" xfId="0" applyAlignment="1" applyBorder="1" applyFont="1">
      <alignment horizontal="right" vertical="bottom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2" fillId="0" fontId="1" numFmtId="168" xfId="0" applyBorder="1" applyFont="1" applyNumberFormat="1"/>
    <xf borderId="2" fillId="0" fontId="1" numFmtId="164" xfId="0" applyBorder="1" applyFont="1" applyNumberFormat="1"/>
    <xf borderId="2" fillId="0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jxXkKP_xd_TbdEJ3ZZb2rn7lRYGMSsN670CuwINbH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_eNbvMgFN7CObWRv63Tn3k5DxAM_ekSMT0jQX6s52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2" t="s">
        <v>0</v>
      </c>
      <c r="C2" s="4"/>
      <c r="D2" s="5"/>
      <c r="E2" s="5"/>
    </row>
    <row r="3">
      <c r="B3" s="7" t="s">
        <v>5</v>
      </c>
      <c r="C3" s="7" t="s">
        <v>7</v>
      </c>
      <c r="D3" s="8"/>
      <c r="E3" s="10"/>
    </row>
    <row r="4">
      <c r="B4" s="11"/>
      <c r="C4" s="13" t="s">
        <v>13</v>
      </c>
      <c r="D4" s="15" t="s">
        <v>16</v>
      </c>
      <c r="E4" s="16" t="s">
        <v>17</v>
      </c>
    </row>
    <row r="5">
      <c r="B5" s="17" t="s">
        <v>18</v>
      </c>
      <c r="C5" s="24">
        <f t="shared" ref="C5:E5" si="1">sum(C6,C12)</f>
        <v>240143</v>
      </c>
      <c r="D5" s="24">
        <f t="shared" si="1"/>
        <v>131215</v>
      </c>
      <c r="E5" s="24">
        <f t="shared" si="1"/>
        <v>108928</v>
      </c>
    </row>
    <row r="6">
      <c r="B6" s="17" t="s">
        <v>21</v>
      </c>
      <c r="C6" s="24">
        <f t="shared" ref="C6:E6" si="2">sum(C7:C11)</f>
        <v>133403</v>
      </c>
      <c r="D6" s="24">
        <f t="shared" si="2"/>
        <v>70875</v>
      </c>
      <c r="E6" s="24">
        <f t="shared" si="2"/>
        <v>62528</v>
      </c>
    </row>
    <row r="7" outlineLevel="1">
      <c r="B7" s="10" t="s">
        <v>23</v>
      </c>
      <c r="C7" s="29">
        <f>District!C3</f>
        <v>131267</v>
      </c>
      <c r="D7" s="39">
        <f>District!B5</f>
        <v>70237</v>
      </c>
      <c r="E7" s="32">
        <f>District!B6</f>
        <v>61030</v>
      </c>
    </row>
    <row r="8" outlineLevel="1">
      <c r="B8" s="10" t="s">
        <v>37</v>
      </c>
      <c r="C8" s="29">
        <f>Hudle!C4</f>
        <v>2136</v>
      </c>
      <c r="D8" s="39">
        <f>Hudle!B6</f>
        <v>638</v>
      </c>
      <c r="E8" s="44">
        <f>Hudle!B7</f>
        <v>1498</v>
      </c>
    </row>
    <row r="9" outlineLevel="1">
      <c r="B9" s="10" t="s">
        <v>38</v>
      </c>
      <c r="C9" s="46">
        <v>0.0</v>
      </c>
      <c r="D9" s="47">
        <v>0.0</v>
      </c>
      <c r="E9" s="48">
        <v>0.0</v>
      </c>
    </row>
    <row r="10" outlineLevel="1">
      <c r="B10" s="50" t="s">
        <v>39</v>
      </c>
      <c r="C10" s="46">
        <v>0.0</v>
      </c>
      <c r="D10" s="47">
        <v>0.0</v>
      </c>
      <c r="E10" s="48">
        <v>0.0</v>
      </c>
    </row>
    <row r="11" outlineLevel="1">
      <c r="B11" s="10" t="s">
        <v>40</v>
      </c>
      <c r="C11" s="46">
        <v>0.0</v>
      </c>
      <c r="D11" s="47">
        <v>0.0</v>
      </c>
      <c r="E11" s="48">
        <v>0.0</v>
      </c>
    </row>
    <row r="12">
      <c r="B12" s="53" t="s">
        <v>41</v>
      </c>
      <c r="C12" s="24">
        <f t="shared" ref="C12:E12" si="3">sum(C13:C14)</f>
        <v>106740</v>
      </c>
      <c r="D12" s="24">
        <f t="shared" si="3"/>
        <v>60340</v>
      </c>
      <c r="E12" s="24">
        <f t="shared" si="3"/>
        <v>46400</v>
      </c>
    </row>
    <row r="13" outlineLevel="1">
      <c r="B13" s="10" t="s">
        <v>42</v>
      </c>
      <c r="C13" s="29">
        <f>'Offline &amp; RG Community'!E33+'Offline &amp; RG Community'!F33</f>
        <v>59940</v>
      </c>
      <c r="D13" s="58">
        <f>'Offline &amp; RG Community'!E33</f>
        <v>22940</v>
      </c>
      <c r="E13" s="58">
        <f>'Offline &amp; RG Community'!F33</f>
        <v>37000</v>
      </c>
    </row>
    <row r="14" outlineLevel="1">
      <c r="B14" s="32" t="s">
        <v>43</v>
      </c>
      <c r="C14" s="46">
        <f>Memberships!E5</f>
        <v>46800</v>
      </c>
      <c r="D14" s="61">
        <f>Memberships!E2+Memberships!E4+(Memberships!E3/2)</f>
        <v>37400</v>
      </c>
      <c r="E14" s="62">
        <f>Memberships!E3/2</f>
        <v>9400</v>
      </c>
    </row>
    <row r="15">
      <c r="B15" s="53" t="s">
        <v>44</v>
      </c>
      <c r="C15" s="24">
        <f t="shared" ref="C15:E15" si="4">sum(C16:C17)</f>
        <v>2400</v>
      </c>
      <c r="D15" s="24">
        <f t="shared" si="4"/>
        <v>2400</v>
      </c>
      <c r="E15" s="24">
        <f t="shared" si="4"/>
        <v>0</v>
      </c>
    </row>
    <row r="16" outlineLevel="1">
      <c r="B16" s="50" t="s">
        <v>45</v>
      </c>
      <c r="C16" s="46">
        <f>'Offline &amp; RG Community'!G33</f>
        <v>2400</v>
      </c>
      <c r="D16" s="61">
        <f>'Offline &amp; RG Community'!G33</f>
        <v>2400</v>
      </c>
      <c r="E16" s="48">
        <v>0.0</v>
      </c>
    </row>
    <row r="17" outlineLevel="1">
      <c r="B17" s="50" t="s">
        <v>46</v>
      </c>
      <c r="C17" s="46">
        <v>0.0</v>
      </c>
      <c r="D17" s="47">
        <v>0.0</v>
      </c>
      <c r="E17" s="47">
        <v>0.0</v>
      </c>
    </row>
    <row r="18">
      <c r="B18" s="53" t="s">
        <v>47</v>
      </c>
      <c r="C18" s="65">
        <v>0.0</v>
      </c>
      <c r="D18" s="65">
        <v>0.0</v>
      </c>
      <c r="E18" s="65">
        <v>0.0</v>
      </c>
    </row>
    <row r="19">
      <c r="B19" s="17" t="s">
        <v>48</v>
      </c>
      <c r="C19" s="24">
        <f t="shared" ref="C19:D19" si="5">sum(C20,C21)</f>
        <v>0</v>
      </c>
      <c r="D19" s="24">
        <f t="shared" si="5"/>
        <v>0</v>
      </c>
      <c r="E19" s="65">
        <v>0.0</v>
      </c>
    </row>
    <row r="20" outlineLevel="1">
      <c r="B20" s="10" t="s">
        <v>49</v>
      </c>
      <c r="C20" s="67">
        <v>0.0</v>
      </c>
      <c r="D20" s="47">
        <v>0.0</v>
      </c>
      <c r="E20" s="47">
        <v>0.0</v>
      </c>
    </row>
    <row r="21" outlineLevel="1">
      <c r="B21" s="50" t="s">
        <v>50</v>
      </c>
      <c r="C21" s="67">
        <v>0.0</v>
      </c>
      <c r="D21" s="47">
        <v>0.0</v>
      </c>
      <c r="E21" s="47">
        <v>0.0</v>
      </c>
    </row>
    <row r="22">
      <c r="B22" s="17" t="s">
        <v>51</v>
      </c>
      <c r="C22" s="24">
        <f t="shared" ref="C22:E22" si="6">sum(C23:C25)</f>
        <v>3925</v>
      </c>
      <c r="D22" s="24">
        <f t="shared" si="6"/>
        <v>3925</v>
      </c>
      <c r="E22" s="24">
        <f t="shared" si="6"/>
        <v>0</v>
      </c>
    </row>
    <row r="23" outlineLevel="1">
      <c r="B23" s="10" t="s">
        <v>52</v>
      </c>
      <c r="C23" s="69">
        <f>'Offline &amp; RG Community'!H33</f>
        <v>3925</v>
      </c>
      <c r="D23" s="58">
        <f>'Offline &amp; RG Community'!H33</f>
        <v>3925</v>
      </c>
      <c r="E23" s="47">
        <v>0.0</v>
      </c>
    </row>
    <row r="24" outlineLevel="1">
      <c r="B24" s="10" t="s">
        <v>53</v>
      </c>
      <c r="C24" s="46">
        <v>0.0</v>
      </c>
      <c r="D24" s="47">
        <v>0.0</v>
      </c>
      <c r="E24" s="47">
        <v>0.0</v>
      </c>
    </row>
    <row r="25" outlineLevel="1">
      <c r="B25" s="10" t="s">
        <v>54</v>
      </c>
      <c r="C25" s="67">
        <v>0.0</v>
      </c>
      <c r="D25" s="47">
        <v>0.0</v>
      </c>
      <c r="E25" s="47">
        <v>0.0</v>
      </c>
    </row>
    <row r="26">
      <c r="B26" s="17" t="s">
        <v>55</v>
      </c>
      <c r="C26" s="24">
        <v>0.0</v>
      </c>
      <c r="D26" s="24">
        <v>0.0</v>
      </c>
      <c r="E26" s="24">
        <v>0.0</v>
      </c>
    </row>
    <row r="27">
      <c r="B27" s="14" t="s">
        <v>56</v>
      </c>
      <c r="C27" s="68">
        <f t="shared" ref="C27:E27" si="7">C6+C12+C15+C18+C19+C22+C26</f>
        <v>246468</v>
      </c>
      <c r="D27" s="68">
        <f t="shared" si="7"/>
        <v>137540</v>
      </c>
      <c r="E27" s="68">
        <f t="shared" si="7"/>
        <v>108928</v>
      </c>
    </row>
    <row r="28">
      <c r="B28" s="70" t="s">
        <v>57</v>
      </c>
      <c r="C28" s="71">
        <f>'Offline &amp; RG Community'!K33+District!F3+Hudle!E4+Memberships!G5</f>
        <v>232567.6325</v>
      </c>
      <c r="D28" s="8"/>
      <c r="E28" s="8"/>
    </row>
    <row r="29">
      <c r="B29" s="17" t="s">
        <v>58</v>
      </c>
      <c r="C29" s="24">
        <f>C28/1.18</f>
        <v>197091.214</v>
      </c>
      <c r="D29" s="8"/>
      <c r="E29" s="8"/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2" max="2" width="16.13"/>
    <col customWidth="1" min="3" max="3" width="18.25"/>
    <col customWidth="1" min="4" max="4" width="13.25"/>
    <col customWidth="1" min="5" max="5" width="15.13"/>
    <col customWidth="1" min="6" max="7" width="19.75"/>
    <col customWidth="1" min="9" max="10" width="15.25"/>
  </cols>
  <sheetData>
    <row r="1">
      <c r="A1" s="3" t="s">
        <v>1</v>
      </c>
      <c r="B1" s="3" t="s">
        <v>2</v>
      </c>
      <c r="C1" s="6" t="s">
        <v>3</v>
      </c>
      <c r="D1" s="3" t="s">
        <v>4</v>
      </c>
      <c r="E1" s="3" t="s">
        <v>6</v>
      </c>
      <c r="F1" s="9" t="s">
        <v>8</v>
      </c>
      <c r="G1" s="3" t="s">
        <v>9</v>
      </c>
      <c r="H1" s="3" t="s">
        <v>10</v>
      </c>
      <c r="I1" s="3" t="s">
        <v>11</v>
      </c>
      <c r="J1" s="12" t="s">
        <v>12</v>
      </c>
      <c r="K1" s="14" t="s">
        <v>15</v>
      </c>
    </row>
    <row r="2">
      <c r="A2" s="18">
        <v>46143.0</v>
      </c>
      <c r="B2" s="19" t="s">
        <v>19</v>
      </c>
      <c r="C2" s="20">
        <v>4.5</v>
      </c>
      <c r="D2" s="21" t="s">
        <v>20</v>
      </c>
      <c r="E2" s="22">
        <v>2880.0</v>
      </c>
      <c r="F2" s="23">
        <v>0.0</v>
      </c>
      <c r="G2" s="23">
        <v>0.0</v>
      </c>
      <c r="H2" s="22">
        <v>550.0</v>
      </c>
      <c r="I2" s="21">
        <f t="shared" ref="I2:I15" si="1">sum(E2:H2)</f>
        <v>3430</v>
      </c>
      <c r="J2" s="25">
        <f t="shared" ref="J2:J32" si="2">I2*1.75%</f>
        <v>60.025</v>
      </c>
      <c r="K2" s="21">
        <f t="shared" ref="K2:K32" si="3">I2-J2</f>
        <v>3369.975</v>
      </c>
    </row>
    <row r="3">
      <c r="A3" s="18">
        <v>46144.0</v>
      </c>
      <c r="B3" s="19" t="s">
        <v>22</v>
      </c>
      <c r="C3" s="26">
        <v>4.0</v>
      </c>
      <c r="D3" s="21" t="s">
        <v>20</v>
      </c>
      <c r="E3" s="23">
        <f>1280+560</f>
        <v>1840</v>
      </c>
      <c r="F3" s="23">
        <v>1800.0</v>
      </c>
      <c r="G3" s="23">
        <v>0.0</v>
      </c>
      <c r="H3" s="23">
        <v>350.0</v>
      </c>
      <c r="I3" s="21">
        <f t="shared" si="1"/>
        <v>3990</v>
      </c>
      <c r="J3" s="25">
        <f t="shared" si="2"/>
        <v>69.825</v>
      </c>
      <c r="K3" s="21">
        <f t="shared" si="3"/>
        <v>3920.175</v>
      </c>
    </row>
    <row r="4">
      <c r="A4" s="18">
        <v>46145.0</v>
      </c>
      <c r="B4" s="19" t="s">
        <v>26</v>
      </c>
      <c r="C4" s="30">
        <v>5.0</v>
      </c>
      <c r="D4" s="21" t="s">
        <v>20</v>
      </c>
      <c r="E4" s="23">
        <v>2560.0</v>
      </c>
      <c r="F4" s="23">
        <v>1920.0</v>
      </c>
      <c r="G4" s="23">
        <v>0.0</v>
      </c>
      <c r="H4" s="23">
        <v>200.0</v>
      </c>
      <c r="I4" s="21">
        <f t="shared" si="1"/>
        <v>4680</v>
      </c>
      <c r="J4" s="25">
        <f t="shared" si="2"/>
        <v>81.9</v>
      </c>
      <c r="K4" s="21">
        <f t="shared" si="3"/>
        <v>4598.1</v>
      </c>
    </row>
    <row r="5">
      <c r="A5" s="18">
        <v>46146.0</v>
      </c>
      <c r="B5" s="19" t="s">
        <v>32</v>
      </c>
      <c r="C5" s="30">
        <v>2.0</v>
      </c>
      <c r="D5" s="21" t="s">
        <v>20</v>
      </c>
      <c r="E5" s="23">
        <v>1280.0</v>
      </c>
      <c r="F5" s="23">
        <v>0.0</v>
      </c>
      <c r="G5" s="23">
        <v>0.0</v>
      </c>
      <c r="H5" s="23">
        <v>150.0</v>
      </c>
      <c r="I5" s="21">
        <f t="shared" si="1"/>
        <v>1430</v>
      </c>
      <c r="J5" s="25">
        <f t="shared" si="2"/>
        <v>25.025</v>
      </c>
      <c r="K5" s="21">
        <f t="shared" si="3"/>
        <v>1404.975</v>
      </c>
    </row>
    <row r="6">
      <c r="A6" s="18">
        <v>46147.0</v>
      </c>
      <c r="B6" s="19" t="s">
        <v>34</v>
      </c>
      <c r="C6" s="30">
        <v>3.0</v>
      </c>
      <c r="D6" s="21" t="s">
        <v>20</v>
      </c>
      <c r="E6" s="23">
        <v>1920.0</v>
      </c>
      <c r="F6" s="23">
        <v>0.0</v>
      </c>
      <c r="G6" s="23">
        <v>0.0</v>
      </c>
      <c r="H6" s="23">
        <v>175.0</v>
      </c>
      <c r="I6" s="21">
        <f t="shared" si="1"/>
        <v>2095</v>
      </c>
      <c r="J6" s="25">
        <f t="shared" si="2"/>
        <v>36.6625</v>
      </c>
      <c r="K6" s="21">
        <f t="shared" si="3"/>
        <v>2058.3375</v>
      </c>
    </row>
    <row r="7">
      <c r="A7" s="18">
        <v>46148.0</v>
      </c>
      <c r="B7" s="19" t="s">
        <v>35</v>
      </c>
      <c r="C7" s="30">
        <v>2.5</v>
      </c>
      <c r="D7" s="21" t="s">
        <v>20</v>
      </c>
      <c r="E7" s="23">
        <v>320.0</v>
      </c>
      <c r="F7" s="23">
        <v>2560.0</v>
      </c>
      <c r="G7" s="23">
        <v>0.0</v>
      </c>
      <c r="H7" s="23">
        <v>50.0</v>
      </c>
      <c r="I7" s="21">
        <f t="shared" si="1"/>
        <v>2930</v>
      </c>
      <c r="J7" s="25">
        <f t="shared" si="2"/>
        <v>51.275</v>
      </c>
      <c r="K7" s="21">
        <f t="shared" si="3"/>
        <v>2878.725</v>
      </c>
    </row>
    <row r="8">
      <c r="A8" s="18">
        <v>46149.0</v>
      </c>
      <c r="B8" s="19" t="s">
        <v>36</v>
      </c>
      <c r="C8" s="30">
        <v>7.0</v>
      </c>
      <c r="D8" s="21" t="s">
        <v>20</v>
      </c>
      <c r="E8" s="23">
        <v>1920.0</v>
      </c>
      <c r="F8" s="23">
        <v>4400.0</v>
      </c>
      <c r="G8" s="23">
        <v>0.0</v>
      </c>
      <c r="H8" s="23">
        <v>150.0</v>
      </c>
      <c r="I8" s="21">
        <f t="shared" si="1"/>
        <v>6470</v>
      </c>
      <c r="J8" s="25">
        <f t="shared" si="2"/>
        <v>113.225</v>
      </c>
      <c r="K8" s="21">
        <f t="shared" si="3"/>
        <v>6356.775</v>
      </c>
    </row>
    <row r="9">
      <c r="A9" s="18">
        <v>46150.0</v>
      </c>
      <c r="B9" s="19" t="s">
        <v>19</v>
      </c>
      <c r="C9" s="30">
        <v>3.0</v>
      </c>
      <c r="D9" s="21" t="s">
        <v>20</v>
      </c>
      <c r="E9" s="23">
        <v>640.0</v>
      </c>
      <c r="F9" s="23">
        <v>2560.0</v>
      </c>
      <c r="G9" s="23">
        <v>0.0</v>
      </c>
      <c r="H9" s="23">
        <v>200.0</v>
      </c>
      <c r="I9" s="21">
        <f t="shared" si="1"/>
        <v>3400</v>
      </c>
      <c r="J9" s="25">
        <f t="shared" si="2"/>
        <v>59.5</v>
      </c>
      <c r="K9" s="21">
        <f t="shared" si="3"/>
        <v>3340.5</v>
      </c>
    </row>
    <row r="10">
      <c r="A10" s="18">
        <v>46151.0</v>
      </c>
      <c r="B10" s="19" t="s">
        <v>22</v>
      </c>
      <c r="C10" s="30">
        <v>1.0</v>
      </c>
      <c r="D10" s="21" t="s">
        <v>20</v>
      </c>
      <c r="E10" s="23">
        <v>640.0</v>
      </c>
      <c r="F10" s="23">
        <v>0.0</v>
      </c>
      <c r="G10" s="23">
        <v>0.0</v>
      </c>
      <c r="H10" s="23">
        <v>400.0</v>
      </c>
      <c r="I10" s="21">
        <f t="shared" si="1"/>
        <v>1040</v>
      </c>
      <c r="J10" s="25">
        <f t="shared" si="2"/>
        <v>18.2</v>
      </c>
      <c r="K10" s="21">
        <f t="shared" si="3"/>
        <v>1021.8</v>
      </c>
    </row>
    <row r="11">
      <c r="A11" s="18">
        <v>46152.0</v>
      </c>
      <c r="B11" s="19" t="s">
        <v>26</v>
      </c>
      <c r="C11" s="38">
        <v>5.0</v>
      </c>
      <c r="D11" s="21" t="s">
        <v>20</v>
      </c>
      <c r="E11" s="22">
        <v>960.0</v>
      </c>
      <c r="F11" s="23">
        <v>1200.0</v>
      </c>
      <c r="G11" s="23">
        <v>800.0</v>
      </c>
      <c r="H11" s="22">
        <v>400.0</v>
      </c>
      <c r="I11" s="21">
        <f t="shared" si="1"/>
        <v>3360</v>
      </c>
      <c r="J11" s="25">
        <f t="shared" si="2"/>
        <v>58.8</v>
      </c>
      <c r="K11" s="21">
        <f t="shared" si="3"/>
        <v>3301.2</v>
      </c>
    </row>
    <row r="12">
      <c r="A12" s="18">
        <v>46153.0</v>
      </c>
      <c r="B12" s="19" t="s">
        <v>32</v>
      </c>
      <c r="C12" s="30">
        <v>0.0</v>
      </c>
      <c r="D12" s="21" t="s">
        <v>20</v>
      </c>
      <c r="E12" s="23">
        <v>0.0</v>
      </c>
      <c r="F12" s="23">
        <v>0.0</v>
      </c>
      <c r="G12" s="23">
        <v>0.0</v>
      </c>
      <c r="H12" s="23">
        <v>0.0</v>
      </c>
      <c r="I12" s="21">
        <f t="shared" si="1"/>
        <v>0</v>
      </c>
      <c r="J12" s="25">
        <f t="shared" si="2"/>
        <v>0</v>
      </c>
      <c r="K12" s="21">
        <f t="shared" si="3"/>
        <v>0</v>
      </c>
    </row>
    <row r="13">
      <c r="A13" s="18">
        <v>46154.0</v>
      </c>
      <c r="B13" s="19" t="s">
        <v>34</v>
      </c>
      <c r="C13" s="30">
        <v>3.0</v>
      </c>
      <c r="D13" s="21" t="s">
        <v>20</v>
      </c>
      <c r="E13" s="23">
        <v>640.0</v>
      </c>
      <c r="F13" s="23">
        <v>1800.0</v>
      </c>
      <c r="G13" s="23">
        <v>800.0</v>
      </c>
      <c r="H13" s="23">
        <v>0.0</v>
      </c>
      <c r="I13" s="21">
        <f t="shared" si="1"/>
        <v>3240</v>
      </c>
      <c r="J13" s="25">
        <f t="shared" si="2"/>
        <v>56.7</v>
      </c>
      <c r="K13" s="21">
        <f t="shared" si="3"/>
        <v>3183.3</v>
      </c>
    </row>
    <row r="14">
      <c r="A14" s="18">
        <v>46155.0</v>
      </c>
      <c r="B14" s="19" t="s">
        <v>35</v>
      </c>
      <c r="C14" s="30">
        <v>2.0</v>
      </c>
      <c r="D14" s="21" t="s">
        <v>20</v>
      </c>
      <c r="E14" s="23">
        <v>1280.0</v>
      </c>
      <c r="F14" s="23">
        <v>0.0</v>
      </c>
      <c r="G14" s="23">
        <v>0.0</v>
      </c>
      <c r="H14" s="23">
        <v>0.0</v>
      </c>
      <c r="I14" s="21">
        <f t="shared" si="1"/>
        <v>1280</v>
      </c>
      <c r="J14" s="25">
        <f t="shared" si="2"/>
        <v>22.4</v>
      </c>
      <c r="K14" s="21">
        <f t="shared" si="3"/>
        <v>1257.6</v>
      </c>
    </row>
    <row r="15">
      <c r="A15" s="18">
        <v>46156.0</v>
      </c>
      <c r="B15" s="19" t="s">
        <v>36</v>
      </c>
      <c r="C15" s="30">
        <v>0.0</v>
      </c>
      <c r="D15" s="21" t="s">
        <v>20</v>
      </c>
      <c r="E15" s="23">
        <v>0.0</v>
      </c>
      <c r="F15" s="23">
        <v>0.0</v>
      </c>
      <c r="G15" s="23">
        <v>0.0</v>
      </c>
      <c r="H15" s="23">
        <v>0.0</v>
      </c>
      <c r="I15" s="21">
        <f t="shared" si="1"/>
        <v>0</v>
      </c>
      <c r="J15" s="25">
        <f t="shared" si="2"/>
        <v>0</v>
      </c>
      <c r="K15" s="21">
        <f t="shared" si="3"/>
        <v>0</v>
      </c>
    </row>
    <row r="16">
      <c r="A16" s="18">
        <v>46157.0</v>
      </c>
      <c r="B16" s="19" t="s">
        <v>19</v>
      </c>
      <c r="C16" s="38">
        <v>3.0</v>
      </c>
      <c r="D16" s="21" t="s">
        <v>20</v>
      </c>
      <c r="E16" s="22">
        <v>300.0</v>
      </c>
      <c r="F16" s="23">
        <v>2400.0</v>
      </c>
      <c r="G16" s="23">
        <v>0.0</v>
      </c>
      <c r="H16" s="22">
        <v>200.0</v>
      </c>
      <c r="I16" s="21">
        <f t="shared" ref="I16:I21" si="4">SUM(E16:H16)</f>
        <v>2900</v>
      </c>
      <c r="J16" s="25">
        <f t="shared" si="2"/>
        <v>50.75</v>
      </c>
      <c r="K16" s="21">
        <f t="shared" si="3"/>
        <v>2849.25</v>
      </c>
    </row>
    <row r="17">
      <c r="A17" s="18">
        <v>46158.0</v>
      </c>
      <c r="B17" s="19" t="s">
        <v>22</v>
      </c>
      <c r="C17" s="30">
        <v>5.5</v>
      </c>
      <c r="D17" s="21" t="s">
        <v>20</v>
      </c>
      <c r="E17" s="23">
        <v>2240.0</v>
      </c>
      <c r="F17" s="23">
        <v>5060.0</v>
      </c>
      <c r="G17" s="23">
        <v>0.0</v>
      </c>
      <c r="H17" s="23">
        <v>350.0</v>
      </c>
      <c r="I17" s="21">
        <f t="shared" si="4"/>
        <v>7650</v>
      </c>
      <c r="J17" s="25">
        <f t="shared" si="2"/>
        <v>133.875</v>
      </c>
      <c r="K17" s="21">
        <f t="shared" si="3"/>
        <v>7516.125</v>
      </c>
    </row>
    <row r="18">
      <c r="A18" s="18">
        <v>46159.0</v>
      </c>
      <c r="B18" s="19" t="s">
        <v>26</v>
      </c>
      <c r="C18" s="38">
        <v>0.0</v>
      </c>
      <c r="D18" s="21" t="s">
        <v>20</v>
      </c>
      <c r="E18" s="22">
        <v>0.0</v>
      </c>
      <c r="F18" s="23">
        <v>0.0</v>
      </c>
      <c r="G18" s="23">
        <v>0.0</v>
      </c>
      <c r="H18" s="22">
        <v>0.0</v>
      </c>
      <c r="I18" s="21">
        <f t="shared" si="4"/>
        <v>0</v>
      </c>
      <c r="J18" s="25">
        <f t="shared" si="2"/>
        <v>0</v>
      </c>
      <c r="K18" s="21">
        <f t="shared" si="3"/>
        <v>0</v>
      </c>
    </row>
    <row r="19">
      <c r="A19" s="18">
        <v>46160.0</v>
      </c>
      <c r="B19" s="19" t="s">
        <v>32</v>
      </c>
      <c r="C19" s="38">
        <v>0.5</v>
      </c>
      <c r="D19" s="21" t="s">
        <v>20</v>
      </c>
      <c r="E19" s="22">
        <v>320.0</v>
      </c>
      <c r="F19" s="23">
        <v>0.0</v>
      </c>
      <c r="G19" s="23">
        <v>0.0</v>
      </c>
      <c r="H19" s="22">
        <v>50.0</v>
      </c>
      <c r="I19" s="21">
        <f t="shared" si="4"/>
        <v>370</v>
      </c>
      <c r="J19" s="25">
        <f t="shared" si="2"/>
        <v>6.475</v>
      </c>
      <c r="K19" s="21">
        <f t="shared" si="3"/>
        <v>363.525</v>
      </c>
    </row>
    <row r="20">
      <c r="A20" s="18">
        <v>46161.0</v>
      </c>
      <c r="B20" s="19" t="s">
        <v>34</v>
      </c>
      <c r="C20" s="30">
        <v>1.0</v>
      </c>
      <c r="D20" s="21" t="s">
        <v>20</v>
      </c>
      <c r="E20" s="23">
        <v>0.0</v>
      </c>
      <c r="F20" s="23">
        <v>0.0</v>
      </c>
      <c r="G20" s="23">
        <v>800.0</v>
      </c>
      <c r="H20" s="23">
        <v>0.0</v>
      </c>
      <c r="I20" s="21">
        <f t="shared" si="4"/>
        <v>800</v>
      </c>
      <c r="J20" s="25">
        <f t="shared" si="2"/>
        <v>14</v>
      </c>
      <c r="K20" s="21">
        <f t="shared" si="3"/>
        <v>786</v>
      </c>
    </row>
    <row r="21">
      <c r="A21" s="18">
        <v>46162.0</v>
      </c>
      <c r="B21" s="19" t="s">
        <v>35</v>
      </c>
      <c r="C21" s="30">
        <v>0.0</v>
      </c>
      <c r="D21" s="21" t="s">
        <v>20</v>
      </c>
      <c r="E21" s="23">
        <v>0.0</v>
      </c>
      <c r="F21" s="23">
        <v>0.0</v>
      </c>
      <c r="G21" s="23">
        <v>0.0</v>
      </c>
      <c r="H21" s="23">
        <v>0.0</v>
      </c>
      <c r="I21" s="21">
        <f t="shared" si="4"/>
        <v>0</v>
      </c>
      <c r="J21" s="25">
        <f t="shared" si="2"/>
        <v>0</v>
      </c>
      <c r="K21" s="21">
        <f t="shared" si="3"/>
        <v>0</v>
      </c>
    </row>
    <row r="22">
      <c r="A22" s="18">
        <v>46163.0</v>
      </c>
      <c r="B22" s="19" t="s">
        <v>36</v>
      </c>
      <c r="C22" s="30">
        <v>1.0</v>
      </c>
      <c r="D22" s="21" t="s">
        <v>20</v>
      </c>
      <c r="E22" s="23">
        <v>0.0</v>
      </c>
      <c r="F22" s="23">
        <v>1800.0</v>
      </c>
      <c r="G22" s="23">
        <v>0.0</v>
      </c>
      <c r="H22" s="23">
        <v>200.0</v>
      </c>
      <c r="I22" s="21">
        <f>sum(E22:H22)</f>
        <v>2000</v>
      </c>
      <c r="J22" s="25">
        <f t="shared" si="2"/>
        <v>35</v>
      </c>
      <c r="K22" s="21">
        <f t="shared" si="3"/>
        <v>1965</v>
      </c>
    </row>
    <row r="23">
      <c r="A23" s="18">
        <v>46164.0</v>
      </c>
      <c r="B23" s="19" t="s">
        <v>19</v>
      </c>
      <c r="C23" s="30">
        <v>0.0</v>
      </c>
      <c r="D23" s="21" t="s">
        <v>20</v>
      </c>
      <c r="E23" s="23">
        <v>0.0</v>
      </c>
      <c r="F23" s="23">
        <v>0.0</v>
      </c>
      <c r="G23" s="23">
        <v>0.0</v>
      </c>
      <c r="H23" s="23">
        <v>0.0</v>
      </c>
      <c r="I23" s="21">
        <f t="shared" ref="I23:I32" si="5">SUM(E23:H23)</f>
        <v>0</v>
      </c>
      <c r="J23" s="25">
        <f t="shared" si="2"/>
        <v>0</v>
      </c>
      <c r="K23" s="21">
        <f t="shared" si="3"/>
        <v>0</v>
      </c>
    </row>
    <row r="24">
      <c r="A24" s="18">
        <v>46165.0</v>
      </c>
      <c r="B24" s="19" t="s">
        <v>22</v>
      </c>
      <c r="C24" s="30">
        <v>3.0</v>
      </c>
      <c r="D24" s="21" t="s">
        <v>20</v>
      </c>
      <c r="E24" s="23">
        <v>1280.0</v>
      </c>
      <c r="F24" s="23">
        <v>2560.0</v>
      </c>
      <c r="G24" s="23">
        <v>0.0</v>
      </c>
      <c r="H24" s="23">
        <v>0.0</v>
      </c>
      <c r="I24" s="21">
        <f t="shared" si="5"/>
        <v>3840</v>
      </c>
      <c r="J24" s="25">
        <f t="shared" si="2"/>
        <v>67.2</v>
      </c>
      <c r="K24" s="21">
        <f t="shared" si="3"/>
        <v>3772.8</v>
      </c>
    </row>
    <row r="25">
      <c r="A25" s="18">
        <v>46166.0</v>
      </c>
      <c r="B25" s="19" t="s">
        <v>26</v>
      </c>
      <c r="C25" s="30">
        <v>1.5</v>
      </c>
      <c r="D25" s="21" t="s">
        <v>20</v>
      </c>
      <c r="E25" s="23">
        <v>960.0</v>
      </c>
      <c r="F25" s="23">
        <v>0.0</v>
      </c>
      <c r="G25" s="23">
        <v>0.0</v>
      </c>
      <c r="H25" s="23">
        <v>450.0</v>
      </c>
      <c r="I25" s="21">
        <f t="shared" si="5"/>
        <v>1410</v>
      </c>
      <c r="J25" s="25">
        <f t="shared" si="2"/>
        <v>24.675</v>
      </c>
      <c r="K25" s="21">
        <f t="shared" si="3"/>
        <v>1385.325</v>
      </c>
    </row>
    <row r="26">
      <c r="A26" s="18">
        <v>46167.0</v>
      </c>
      <c r="B26" s="19" t="s">
        <v>32</v>
      </c>
      <c r="C26" s="30">
        <v>0.0</v>
      </c>
      <c r="D26" s="21" t="s">
        <v>20</v>
      </c>
      <c r="E26" s="23">
        <v>0.0</v>
      </c>
      <c r="F26" s="23">
        <v>0.0</v>
      </c>
      <c r="G26" s="23">
        <v>0.0</v>
      </c>
      <c r="H26" s="23">
        <v>0.0</v>
      </c>
      <c r="I26" s="21">
        <f t="shared" si="5"/>
        <v>0</v>
      </c>
      <c r="J26" s="25">
        <f t="shared" si="2"/>
        <v>0</v>
      </c>
      <c r="K26" s="21">
        <f t="shared" si="3"/>
        <v>0</v>
      </c>
    </row>
    <row r="27">
      <c r="A27" s="18">
        <v>46168.0</v>
      </c>
      <c r="B27" s="19" t="s">
        <v>34</v>
      </c>
      <c r="C27" s="30">
        <v>0.0</v>
      </c>
      <c r="D27" s="21" t="s">
        <v>20</v>
      </c>
      <c r="E27" s="23">
        <v>0.0</v>
      </c>
      <c r="F27" s="23">
        <v>0.0</v>
      </c>
      <c r="G27" s="23">
        <v>0.0</v>
      </c>
      <c r="H27" s="23">
        <v>0.0</v>
      </c>
      <c r="I27" s="21">
        <f t="shared" si="5"/>
        <v>0</v>
      </c>
      <c r="J27" s="25">
        <f t="shared" si="2"/>
        <v>0</v>
      </c>
      <c r="K27" s="21">
        <f t="shared" si="3"/>
        <v>0</v>
      </c>
    </row>
    <row r="28">
      <c r="A28" s="18">
        <v>46169.0</v>
      </c>
      <c r="B28" s="19" t="s">
        <v>35</v>
      </c>
      <c r="C28" s="38">
        <v>0.0</v>
      </c>
      <c r="D28" s="21" t="s">
        <v>20</v>
      </c>
      <c r="E28" s="22">
        <v>0.0</v>
      </c>
      <c r="F28" s="23">
        <v>0.0</v>
      </c>
      <c r="G28" s="23">
        <v>0.0</v>
      </c>
      <c r="H28" s="22">
        <v>0.0</v>
      </c>
      <c r="I28" s="21">
        <f t="shared" si="5"/>
        <v>0</v>
      </c>
      <c r="J28" s="25">
        <f t="shared" si="2"/>
        <v>0</v>
      </c>
      <c r="K28" s="21">
        <f t="shared" si="3"/>
        <v>0</v>
      </c>
    </row>
    <row r="29">
      <c r="A29" s="18">
        <v>46170.0</v>
      </c>
      <c r="B29" s="19" t="s">
        <v>36</v>
      </c>
      <c r="C29" s="38">
        <v>0.0</v>
      </c>
      <c r="D29" s="21" t="s">
        <v>20</v>
      </c>
      <c r="E29" s="22">
        <v>0.0</v>
      </c>
      <c r="F29" s="23">
        <v>0.0</v>
      </c>
      <c r="G29" s="23">
        <v>0.0</v>
      </c>
      <c r="H29" s="22">
        <v>0.0</v>
      </c>
      <c r="I29" s="21">
        <f t="shared" si="5"/>
        <v>0</v>
      </c>
      <c r="J29" s="25">
        <f t="shared" si="2"/>
        <v>0</v>
      </c>
      <c r="K29" s="21">
        <f t="shared" si="3"/>
        <v>0</v>
      </c>
    </row>
    <row r="30">
      <c r="A30" s="18">
        <v>46171.0</v>
      </c>
      <c r="B30" s="19" t="s">
        <v>19</v>
      </c>
      <c r="C30" s="30">
        <v>2.5</v>
      </c>
      <c r="D30" s="21" t="s">
        <v>20</v>
      </c>
      <c r="E30" s="23">
        <v>0.0</v>
      </c>
      <c r="F30" s="23">
        <v>4480.0</v>
      </c>
      <c r="G30" s="23">
        <v>0.0</v>
      </c>
      <c r="H30" s="23">
        <v>0.0</v>
      </c>
      <c r="I30" s="21">
        <f t="shared" si="5"/>
        <v>4480</v>
      </c>
      <c r="J30" s="25">
        <f t="shared" si="2"/>
        <v>78.4</v>
      </c>
      <c r="K30" s="21">
        <f t="shared" si="3"/>
        <v>4401.6</v>
      </c>
    </row>
    <row r="31">
      <c r="A31" s="18">
        <v>46172.0</v>
      </c>
      <c r="B31" s="19" t="s">
        <v>22</v>
      </c>
      <c r="C31" s="20">
        <v>5.0</v>
      </c>
      <c r="D31" s="21" t="s">
        <v>20</v>
      </c>
      <c r="E31" s="63">
        <v>640.0</v>
      </c>
      <c r="F31" s="64">
        <v>4460.0</v>
      </c>
      <c r="G31" s="64">
        <v>0.0</v>
      </c>
      <c r="H31" s="63">
        <v>0.0</v>
      </c>
      <c r="I31" s="21">
        <f t="shared" si="5"/>
        <v>5100</v>
      </c>
      <c r="J31" s="25">
        <f t="shared" si="2"/>
        <v>89.25</v>
      </c>
      <c r="K31" s="21">
        <f t="shared" si="3"/>
        <v>5010.75</v>
      </c>
    </row>
    <row r="32">
      <c r="A32" s="18">
        <v>46173.0</v>
      </c>
      <c r="B32" s="19" t="s">
        <v>26</v>
      </c>
      <c r="C32" s="26">
        <v>0.5</v>
      </c>
      <c r="D32" s="21" t="s">
        <v>20</v>
      </c>
      <c r="E32" s="64">
        <v>320.0</v>
      </c>
      <c r="F32" s="64">
        <v>0.0</v>
      </c>
      <c r="G32" s="64">
        <v>0.0</v>
      </c>
      <c r="H32" s="64">
        <v>50.0</v>
      </c>
      <c r="I32" s="21">
        <f t="shared" si="5"/>
        <v>370</v>
      </c>
      <c r="J32" s="25">
        <f t="shared" si="2"/>
        <v>6.475</v>
      </c>
      <c r="K32" s="21">
        <f t="shared" si="3"/>
        <v>363.525</v>
      </c>
    </row>
    <row r="33">
      <c r="A33" s="45" t="s">
        <v>13</v>
      </c>
      <c r="B33" s="52"/>
      <c r="C33" s="66">
        <f>SUM(C2:C32)</f>
        <v>65.5</v>
      </c>
      <c r="D33" s="52"/>
      <c r="E33" s="68">
        <f t="shared" ref="E33:K33" si="6">SUM(E2:E32)</f>
        <v>22940</v>
      </c>
      <c r="F33" s="68">
        <f t="shared" si="6"/>
        <v>37000</v>
      </c>
      <c r="G33" s="68">
        <f t="shared" si="6"/>
        <v>2400</v>
      </c>
      <c r="H33" s="68">
        <f t="shared" si="6"/>
        <v>3925</v>
      </c>
      <c r="I33" s="68">
        <f t="shared" si="6"/>
        <v>66265</v>
      </c>
      <c r="J33" s="68">
        <f t="shared" si="6"/>
        <v>1159.6375</v>
      </c>
      <c r="K33" s="68">
        <f t="shared" si="6"/>
        <v>65105.3625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27" t="s">
        <v>14</v>
      </c>
      <c r="B1" s="28" t="s">
        <v>1</v>
      </c>
      <c r="C1" s="28" t="s">
        <v>24</v>
      </c>
      <c r="D1" s="28" t="s">
        <v>25</v>
      </c>
      <c r="E1" s="31" t="s">
        <v>28</v>
      </c>
      <c r="F1" s="28" t="s">
        <v>15</v>
      </c>
      <c r="G1" s="28" t="s">
        <v>31</v>
      </c>
      <c r="H1" s="28" t="s">
        <v>30</v>
      </c>
      <c r="I1" s="28" t="s">
        <v>33</v>
      </c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6"/>
      <c r="B2" s="32" t="s">
        <v>0</v>
      </c>
      <c r="C2" s="35">
        <v>131267.0</v>
      </c>
      <c r="D2" s="35">
        <v>10562.0</v>
      </c>
      <c r="E2" s="37">
        <v>1901.0</v>
      </c>
      <c r="F2" s="40">
        <f>C2-D2-E2</f>
        <v>118804</v>
      </c>
      <c r="G2" s="35">
        <v>880.0</v>
      </c>
      <c r="H2" s="35">
        <v>176.0</v>
      </c>
      <c r="I2" s="35">
        <v>117746.0</v>
      </c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42"/>
      <c r="B3" s="45" t="s">
        <v>13</v>
      </c>
      <c r="C3" s="51">
        <f>SUM(C2)</f>
        <v>131267</v>
      </c>
      <c r="D3" s="52"/>
      <c r="E3" s="52"/>
      <c r="F3" s="54">
        <f>SUM(F2)</f>
        <v>118804</v>
      </c>
      <c r="G3" s="52"/>
      <c r="H3" s="52"/>
      <c r="I3" s="51">
        <f>SUM(I2)</f>
        <v>117746</v>
      </c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57" t="s">
        <v>16</v>
      </c>
      <c r="B5" s="57">
        <f>C3-B6</f>
        <v>70237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57" t="s">
        <v>17</v>
      </c>
      <c r="B6" s="59">
        <v>61030.0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60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75"/>
    <col customWidth="1" min="4" max="4" width="23.88"/>
    <col customWidth="1" min="5" max="5" width="11.13"/>
    <col customWidth="1" min="6" max="6" width="6.13"/>
    <col customWidth="1" min="7" max="7" width="7.0"/>
  </cols>
  <sheetData>
    <row r="1">
      <c r="A1" s="27" t="s">
        <v>14</v>
      </c>
      <c r="B1" s="28" t="s">
        <v>1</v>
      </c>
      <c r="C1" s="28" t="s">
        <v>27</v>
      </c>
      <c r="D1" s="28" t="s">
        <v>29</v>
      </c>
      <c r="E1" s="28" t="s">
        <v>15</v>
      </c>
      <c r="F1" s="28" t="s">
        <v>30</v>
      </c>
      <c r="G1" s="28" t="s">
        <v>31</v>
      </c>
      <c r="H1" s="28" t="s">
        <v>7</v>
      </c>
    </row>
    <row r="2">
      <c r="A2" s="32"/>
      <c r="B2" s="34" t="s">
        <v>0</v>
      </c>
      <c r="C2" s="35">
        <v>2136.0</v>
      </c>
      <c r="D2" s="35">
        <v>277.73</v>
      </c>
      <c r="E2" s="40">
        <f>C2-D2</f>
        <v>1858.27</v>
      </c>
      <c r="F2" s="35">
        <v>2.0</v>
      </c>
      <c r="G2" s="35">
        <v>9.0</v>
      </c>
      <c r="H2" s="35">
        <v>1847.0</v>
      </c>
    </row>
    <row r="3">
      <c r="A3" s="41"/>
      <c r="B3" s="29"/>
      <c r="C3" s="29"/>
      <c r="D3" s="29"/>
      <c r="E3" s="29"/>
      <c r="F3" s="29"/>
      <c r="G3" s="29"/>
      <c r="H3" s="2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</row>
    <row r="4">
      <c r="A4" s="29"/>
      <c r="B4" s="49" t="s">
        <v>13</v>
      </c>
      <c r="C4" s="54">
        <f>SUM(C2)</f>
        <v>2136</v>
      </c>
      <c r="D4" s="55"/>
      <c r="E4" s="54">
        <f>SUM(E2)</f>
        <v>1858.27</v>
      </c>
      <c r="F4" s="56"/>
      <c r="G4" s="56"/>
      <c r="H4" s="54">
        <f>SUM(H2)</f>
        <v>1847</v>
      </c>
    </row>
    <row r="6">
      <c r="A6" s="57" t="s">
        <v>16</v>
      </c>
      <c r="B6" s="57">
        <f>C4-B7</f>
        <v>638</v>
      </c>
    </row>
    <row r="7">
      <c r="A7" s="57" t="s">
        <v>17</v>
      </c>
      <c r="B7" s="57">
        <v>1498.0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3" max="3" width="15.0"/>
    <col customWidth="1" min="5" max="6" width="15.25"/>
  </cols>
  <sheetData>
    <row r="1">
      <c r="A1" s="28" t="s">
        <v>59</v>
      </c>
      <c r="B1" s="28" t="s">
        <v>60</v>
      </c>
      <c r="C1" s="28" t="s">
        <v>61</v>
      </c>
      <c r="D1" s="28" t="s">
        <v>62</v>
      </c>
      <c r="E1" s="72" t="s">
        <v>63</v>
      </c>
      <c r="F1" s="14" t="s">
        <v>12</v>
      </c>
      <c r="G1" s="14" t="s">
        <v>15</v>
      </c>
    </row>
    <row r="2">
      <c r="A2" s="48" t="s">
        <v>64</v>
      </c>
      <c r="B2" s="34" t="s">
        <v>16</v>
      </c>
      <c r="C2" s="34" t="s">
        <v>65</v>
      </c>
      <c r="D2" s="73" t="s">
        <v>66</v>
      </c>
      <c r="E2" s="35">
        <v>14000.0</v>
      </c>
      <c r="F2" s="25">
        <v>0.0</v>
      </c>
      <c r="G2" s="21">
        <f t="shared" ref="G2:G4" si="1">E2-F2</f>
        <v>14000</v>
      </c>
    </row>
    <row r="3">
      <c r="A3" s="10" t="s">
        <v>67</v>
      </c>
      <c r="B3" s="10" t="s">
        <v>68</v>
      </c>
      <c r="C3" s="34" t="s">
        <v>69</v>
      </c>
      <c r="D3" s="73" t="s">
        <v>66</v>
      </c>
      <c r="E3" s="35">
        <v>18800.0</v>
      </c>
      <c r="F3" s="25">
        <v>0.0</v>
      </c>
      <c r="G3" s="21">
        <f t="shared" si="1"/>
        <v>18800</v>
      </c>
    </row>
    <row r="4">
      <c r="A4" s="47" t="s">
        <v>70</v>
      </c>
      <c r="B4" s="34" t="s">
        <v>16</v>
      </c>
      <c r="C4" s="34" t="s">
        <v>65</v>
      </c>
      <c r="D4" s="73" t="s">
        <v>66</v>
      </c>
      <c r="E4" s="35">
        <v>14000.0</v>
      </c>
      <c r="F4" s="25">
        <v>0.0</v>
      </c>
      <c r="G4" s="21">
        <f t="shared" si="1"/>
        <v>14000</v>
      </c>
    </row>
    <row r="5">
      <c r="A5" s="74" t="s">
        <v>13</v>
      </c>
      <c r="B5" s="75"/>
      <c r="C5" s="75"/>
      <c r="D5" s="75"/>
      <c r="E5" s="76">
        <f t="shared" ref="E5:G5" si="2">SUM(E2:E4)</f>
        <v>46800</v>
      </c>
      <c r="F5" s="77">
        <f t="shared" si="2"/>
        <v>0</v>
      </c>
      <c r="G5" s="78">
        <f t="shared" si="2"/>
        <v>46800</v>
      </c>
    </row>
  </sheetData>
  <drawing r:id="rId1"/>
</worksheet>
</file>