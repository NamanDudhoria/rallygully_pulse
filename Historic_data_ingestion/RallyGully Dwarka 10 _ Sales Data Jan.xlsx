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Coaching" sheetId="7" r:id="rId11"/>
    <sheet state="visible" name="Misfits" sheetId="8" r:id="rId12"/>
    <sheet state="visible" name="Sportomic" sheetId="9" r:id="rId13"/>
    <sheet state="visible" name="Courtly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Including 640 Playo Gametime
</t>
      </text>
    </comment>
  </commentList>
</comments>
</file>

<file path=xl/sharedStrings.xml><?xml version="1.0" encoding="utf-8"?>
<sst xmlns="http://schemas.openxmlformats.org/spreadsheetml/2006/main" count="172" uniqueCount="87">
  <si>
    <t>Link</t>
  </si>
  <si>
    <t>Date</t>
  </si>
  <si>
    <t>Date: 1 - 31 Jan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</si>
  <si>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</si>
  <si>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</si>
  <si>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</si>
  <si>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</si>
  <si>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</si>
  <si>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</si>
  <si>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F&amp;B</t>
  </si>
  <si>
    <t>Particulars</t>
  </si>
  <si>
    <t>Total Revenue</t>
  </si>
  <si>
    <t>Amount</t>
  </si>
  <si>
    <t>Thursday</t>
  </si>
  <si>
    <t>Offline</t>
  </si>
  <si>
    <t>Paid to Playo (₹)</t>
  </si>
  <si>
    <t>Commissions (₹)</t>
  </si>
  <si>
    <t>GST (₹)</t>
  </si>
  <si>
    <t>Net Revenue</t>
  </si>
  <si>
    <t>TDS (₹)</t>
  </si>
  <si>
    <t>TCS (₹)</t>
  </si>
  <si>
    <t>Final Amount (₹)</t>
  </si>
  <si>
    <t>1 - 13 Jan</t>
  </si>
  <si>
    <t>0% and 10%</t>
  </si>
  <si>
    <t>Paid to Hudle</t>
  </si>
  <si>
    <t>Commisions (Including GST)</t>
  </si>
  <si>
    <t>TDS</t>
  </si>
  <si>
    <t>TCS</t>
  </si>
  <si>
    <t>1 - 5 Jan</t>
  </si>
  <si>
    <t>Friday</t>
  </si>
  <si>
    <t>Rentals</t>
  </si>
  <si>
    <t>Saturday</t>
  </si>
  <si>
    <t>Sunday</t>
  </si>
  <si>
    <t>13 - 19 Jan</t>
  </si>
  <si>
    <t>6 - 12 Jan</t>
  </si>
  <si>
    <t>Monday</t>
  </si>
  <si>
    <t>Tuesday</t>
  </si>
  <si>
    <t>20 - 26 Jan</t>
  </si>
  <si>
    <t>Wednesday</t>
  </si>
  <si>
    <t>20 - 25 Jan</t>
  </si>
  <si>
    <t>27 - 31 Jan</t>
  </si>
  <si>
    <t>26 - 31 Jan</t>
  </si>
  <si>
    <t>Product Sales</t>
  </si>
  <si>
    <t>Bookings</t>
  </si>
  <si>
    <t>Online: Third Party Platform</t>
  </si>
  <si>
    <t>Hudle</t>
  </si>
  <si>
    <t>Playo</t>
  </si>
  <si>
    <t>District</t>
  </si>
  <si>
    <t>Khelomore</t>
  </si>
  <si>
    <t>Total</t>
  </si>
  <si>
    <t>Zplys</t>
  </si>
  <si>
    <t>Community</t>
  </si>
  <si>
    <t>Courtly (Organized by RallyGully)</t>
  </si>
  <si>
    <t>Sportomic (Organized by RallyGully)</t>
  </si>
  <si>
    <t xml:space="preserve">Rallygully Community games </t>
  </si>
  <si>
    <t>Misfits Community</t>
  </si>
  <si>
    <t>Memberships</t>
  </si>
  <si>
    <t>Coaching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</si>
  <si>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</si>
  <si>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</si>
  <si>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</si>
  <si>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</si>
  <si>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</si>
  <si>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</si>
  <si>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Paid to District</t>
  </si>
  <si>
    <t>GST on Commission</t>
  </si>
  <si>
    <t>1 - 12 Jan</t>
  </si>
  <si>
    <t>Paid to Khelomore (₹)</t>
  </si>
  <si>
    <t>Sports Type</t>
  </si>
  <si>
    <t>Coaching Type</t>
  </si>
  <si>
    <t>Start Date</t>
  </si>
  <si>
    <t>Amount Collected</t>
  </si>
  <si>
    <t>Pickleball</t>
  </si>
  <si>
    <t>Kids &amp; Adult</t>
  </si>
  <si>
    <t>Jan</t>
  </si>
  <si>
    <t>20 - 31 Jan</t>
  </si>
  <si>
    <t>14 - 25 Jan</t>
  </si>
  <si>
    <t>Paid to Misfits (₹)</t>
  </si>
  <si>
    <t>Post Comission (20%)</t>
  </si>
  <si>
    <t xml:space="preserve">TDS </t>
  </si>
  <si>
    <t>1 - 31 Jan</t>
  </si>
  <si>
    <t>Paid to Sportomic (₹)</t>
  </si>
  <si>
    <t>Paid to Sportomic</t>
  </si>
  <si>
    <t>Comission</t>
  </si>
  <si>
    <t>Final Amt</t>
  </si>
  <si>
    <t>Notes</t>
  </si>
  <si>
    <t>Dwarka Tournament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</si>
</sst>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₹]#,##0.00"/>
    <numFmt numFmtId="165" formatCode="d mmm"/>
    <numFmt numFmtId="166" formatCode="[&gt;9999999][$₹]##\,##\,##\,##0.00;[&gt;99999][$₹]##\,##\,##0.00;[$₹]##,##0.00"/>
    <numFmt numFmtId="167" formatCode="[&gt;9999999][$₹]##\,##\,##\,##0;[&gt;99999][$₹]##\,##\,##0;[$₹]##,##0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b/>
      <u/>
      <color rgb="FF1155CC"/>
      <name val="Arial"/>
    </font>
    <font>
      <color theme="1"/>
      <name val="Arial"/>
    </font>
    <font>
      <b/>
      <u/>
      <color rgb="FF1155CC"/>
      <name val="Arial"/>
    </font>
    <font>
      <sz val="10.0"/>
      <color theme="1"/>
      <name val="Arial"/>
    </font>
    <font>
      <color theme="1"/>
      <name val="Arial"/>
      <scheme val="minor"/>
    </font>
    <font>
      <b/>
      <u/>
      <color rgb="FF0000FF"/>
      <name val="Arial"/>
    </font>
    <font>
      <b/>
      <sz val="11.0"/>
      <color theme="1"/>
      <name val="Calibri"/>
    </font>
    <font>
      <sz val="10.0"/>
      <color theme="1"/>
      <name val="Arial"/>
      <scheme val="minor"/>
    </font>
    <font>
      <b/>
      <sz val="11.0"/>
      <color theme="1"/>
      <name val="Aptos Narrow"/>
    </font>
    <font>
      <b/>
      <u/>
      <color rgb="FF1155CC"/>
      <name val="Arial"/>
    </font>
    <font>
      <b/>
      <sz val="10.0"/>
      <color theme="1"/>
      <name val="Arial"/>
    </font>
    <font>
      <b/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1" fillId="2" fontId="2" numFmtId="0" xfId="0" applyAlignment="1" applyBorder="1" applyFill="1" applyFont="1">
      <alignment horizontal="center" readingOrder="0" vertical="bottom"/>
    </xf>
    <xf borderId="0" fillId="2" fontId="4" numFmtId="164" xfId="0" applyAlignment="1" applyFill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1" fillId="0" fontId="5" numFmtId="165" xfId="0" applyAlignment="1" applyBorder="1" applyFont="1" applyNumberFormat="1">
      <alignment horizontal="right" vertical="bottom"/>
    </xf>
    <xf borderId="1" fillId="2" fontId="2" numFmtId="164" xfId="0" applyAlignment="1" applyBorder="1" applyFill="1" applyFont="1" applyNumberFormat="1">
      <alignment horizontal="center"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2" fontId="6" numFmtId="164" xfId="0" applyAlignment="1" applyBorder="1" applyFill="1" applyFont="1" applyNumberFormat="1">
      <alignment horizontal="center" vertical="bottom"/>
    </xf>
    <xf borderId="0" fillId="0" fontId="5" numFmtId="164" xfId="0" applyAlignment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0" fontId="5" numFmtId="164" xfId="0" applyAlignment="1" applyBorder="1" applyFont="1" applyNumberFormat="1">
      <alignment vertical="bottom"/>
    </xf>
    <xf borderId="1" fillId="0" fontId="5" numFmtId="9" xfId="0" applyAlignment="1" applyBorder="1" applyFont="1" applyNumberFormat="1">
      <alignment vertical="bottom"/>
    </xf>
    <xf borderId="1" fillId="0" fontId="5" numFmtId="164" xfId="0" applyAlignment="1" applyBorder="1" applyFont="1" applyNumberForma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1" fillId="0" fontId="5" numFmtId="166" xfId="0" applyAlignment="1" applyBorder="1" applyFont="1" applyNumberFormat="1">
      <alignment horizontal="right" readingOrder="0" vertical="bottom"/>
    </xf>
    <xf borderId="1" fillId="0" fontId="2" numFmtId="167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right" vertical="bottom"/>
    </xf>
    <xf borderId="1" fillId="0" fontId="5" numFmtId="166" xfId="0" applyAlignment="1" applyBorder="1" applyFont="1" applyNumberFormat="1">
      <alignment horizontal="right" vertical="bottom"/>
    </xf>
    <xf borderId="0" fillId="0" fontId="5" numFmtId="164" xfId="0" applyAlignment="1" applyFont="1" applyNumberFormat="1">
      <alignment readingOrder="0" vertical="bottom"/>
    </xf>
    <xf borderId="1" fillId="0" fontId="5" numFmtId="164" xfId="0" applyAlignment="1" applyBorder="1" applyFont="1" applyNumberFormat="1">
      <alignment readingOrder="0" vertical="bottom"/>
    </xf>
    <xf borderId="0" fillId="0" fontId="5" numFmtId="164" xfId="0" applyAlignment="1" applyFont="1" applyNumberFormat="1">
      <alignment horizontal="right" vertical="bottom"/>
    </xf>
    <xf borderId="1" fillId="0" fontId="5" numFmtId="167" xfId="0" applyAlignment="1" applyBorder="1" applyFont="1" applyNumberFormat="1">
      <alignment horizontal="right" vertical="bottom"/>
    </xf>
    <xf borderId="1" fillId="0" fontId="7" numFmtId="164" xfId="0" applyAlignment="1" applyBorder="1" applyFont="1" applyNumberFormat="1">
      <alignment readingOrder="0" shrinkToFit="0" vertical="bottom" wrapText="0"/>
    </xf>
    <xf borderId="1" fillId="0" fontId="5" numFmtId="167" xfId="0" applyAlignment="1" applyBorder="1" applyFont="1" applyNumberFormat="1">
      <alignment horizontal="right" readingOrder="0" vertical="bottom"/>
    </xf>
    <xf borderId="1" fillId="0" fontId="8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left" readingOrder="0" vertical="bottom"/>
    </xf>
    <xf borderId="0" fillId="0" fontId="8" numFmtId="164" xfId="0" applyAlignment="1" applyFont="1" applyNumberFormat="1">
      <alignment readingOrder="0"/>
    </xf>
    <xf borderId="1" fillId="0" fontId="5" numFmtId="164" xfId="0" applyAlignment="1" applyBorder="1" applyFont="1" applyNumberFormat="1">
      <alignment horizontal="right" vertical="bottom"/>
    </xf>
    <xf borderId="1" fillId="0" fontId="2" numFmtId="166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1" fillId="0" fontId="5" numFmtId="4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1" fillId="0" fontId="5" numFmtId="4" xfId="0" applyAlignment="1" applyBorder="1" applyFont="1" applyNumberFormat="1">
      <alignment readingOrder="0" vertical="bottom"/>
    </xf>
    <xf borderId="1" fillId="0" fontId="2" numFmtId="4" xfId="0" applyAlignment="1" applyBorder="1" applyFont="1" applyNumberFormat="1">
      <alignment horizontal="right" vertical="bottom"/>
    </xf>
    <xf borderId="0" fillId="0" fontId="1" numFmtId="0" xfId="0" applyFont="1"/>
    <xf borderId="0" fillId="0" fontId="2" numFmtId="0" xfId="0" applyAlignment="1" applyFont="1">
      <alignment readingOrder="0" vertical="bottom"/>
    </xf>
    <xf borderId="1" fillId="0" fontId="5" numFmtId="4" xfId="0" applyAlignment="1" applyBorder="1" applyFont="1" applyNumberForma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5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167" xfId="0" applyAlignment="1" applyBorder="1" applyFont="1" applyNumberFormat="1">
      <alignment horizontal="right" readingOrder="0" vertical="bottom"/>
    </xf>
    <xf borderId="4" fillId="0" fontId="2" numFmtId="0" xfId="0" applyAlignment="1" applyBorder="1" applyFont="1">
      <alignment vertical="bottom"/>
    </xf>
    <xf borderId="4" fillId="0" fontId="5" numFmtId="167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shrinkToFit="0" vertical="bottom" wrapText="1"/>
    </xf>
    <xf borderId="1" fillId="0" fontId="2" numFmtId="164" xfId="0" applyAlignment="1" applyBorder="1" applyFont="1" applyNumberFormat="1">
      <alignment horizontal="right" readingOrder="0" vertical="bottom"/>
    </xf>
    <xf borderId="0" fillId="2" fontId="9" numFmtId="164" xfId="0" applyAlignment="1" applyFill="1" applyFont="1" applyNumberFormat="1">
      <alignment horizontal="center" readingOrder="0" vertical="bottom"/>
    </xf>
    <xf borderId="0" fillId="2" fontId="10" numFmtId="164" xfId="0" applyAlignment="1" applyFill="1" applyFont="1" applyNumberFormat="1">
      <alignment vertical="bottom"/>
    </xf>
    <xf borderId="0" fillId="2" fontId="2" numFmtId="164" xfId="0" applyAlignment="1" applyFill="1" applyFont="1" applyNumberFormat="1">
      <alignment horizontal="center" vertical="bottom"/>
    </xf>
    <xf borderId="0" fillId="0" fontId="5" numFmtId="165" xfId="0" applyAlignment="1" applyFont="1" applyNumberFormat="1">
      <alignment vertical="bottom"/>
    </xf>
    <xf borderId="1" fillId="0" fontId="5" numFmtId="166" xfId="0" applyAlignment="1" applyBorder="1" applyFont="1" applyNumberFormat="1">
      <alignment vertical="bottom"/>
    </xf>
    <xf borderId="1" fillId="2" fontId="2" numFmtId="0" xfId="0" applyAlignment="1" applyBorder="1" applyFill="1" applyFont="1">
      <alignment horizontal="right" vertical="bottom"/>
    </xf>
    <xf borderId="1" fillId="0" fontId="8" numFmtId="0" xfId="0" applyAlignment="1" applyBorder="1" applyFont="1">
      <alignment readingOrder="0"/>
    </xf>
    <xf borderId="1" fillId="0" fontId="7" numFmtId="164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readingOrder="0" vertical="bottom"/>
    </xf>
    <xf borderId="1" fillId="3" fontId="11" numFmtId="164" xfId="0" applyAlignment="1" applyBorder="1" applyFill="1" applyFont="1" applyNumberFormat="1">
      <alignment horizontal="right" vertical="bottom"/>
    </xf>
    <xf borderId="0" fillId="0" fontId="10" numFmtId="1" xfId="0" applyAlignment="1" applyFont="1" applyNumberFormat="1">
      <alignment horizontal="right" vertical="bottom"/>
    </xf>
    <xf borderId="1" fillId="0" fontId="7" numFmtId="0" xfId="0" applyAlignment="1" applyBorder="1" applyFont="1">
      <alignment vertical="bottom"/>
    </xf>
    <xf borderId="1" fillId="0" fontId="7" numFmtId="164" xfId="0" applyAlignment="1" applyBorder="1" applyFont="1" applyNumberFormat="1">
      <alignment horizontal="right" readingOrder="0" vertical="bottom"/>
    </xf>
    <xf borderId="0" fillId="0" fontId="12" numFmtId="1" xfId="0" applyAlignment="1" applyFont="1" applyNumberFormat="1">
      <alignment horizontal="right" vertical="bottom"/>
    </xf>
    <xf borderId="1" fillId="2" fontId="13" numFmtId="0" xfId="0" applyAlignment="1" applyBorder="1" applyFill="1" applyFont="1">
      <alignment horizontal="center" vertical="bottom"/>
    </xf>
    <xf borderId="1" fillId="0" fontId="5" numFmtId="167" xfId="0" applyAlignment="1" applyBorder="1" applyFont="1" applyNumberFormat="1">
      <alignment vertical="bottom"/>
    </xf>
    <xf borderId="1" fillId="0" fontId="14" numFmtId="164" xfId="0" applyAlignment="1" applyBorder="1" applyFont="1" applyNumberFormat="1">
      <alignment horizontal="right" vertical="bottom"/>
    </xf>
    <xf borderId="0" fillId="0" fontId="5" numFmtId="167" xfId="0" applyAlignment="1" applyFont="1" applyNumberFormat="1">
      <alignment vertical="bottom"/>
    </xf>
    <xf borderId="1" fillId="0" fontId="7" numFmtId="1" xfId="0" applyAlignment="1" applyBorder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1" fillId="2" fontId="15" numFmtId="0" xfId="0" applyAlignment="1" applyBorder="1" applyFill="1" applyFont="1">
      <alignment horizontal="center" vertical="bottom"/>
    </xf>
    <xf borderId="0" fillId="0" fontId="5" numFmtId="0" xfId="0" applyAlignment="1" applyFont="1">
      <alignment vertical="bottom"/>
    </xf>
    <xf borderId="1" fillId="0" fontId="5" numFmtId="165" xfId="0" applyAlignment="1" applyBorder="1" applyFont="1" applyNumberFormat="1">
      <alignment readingOrder="0" vertical="bottom"/>
    </xf>
    <xf borderId="1" fillId="0" fontId="5" numFmtId="167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Nn7oF6yyvxxD1fInuWeghKguMRaWhJbY4kCHfAt9eE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bfvaRkPg7hhThd1patetasweQyGsxXNjOhhz2BsXI3w/edit?usp=sharing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2pvBujn3IjAb-R7nOaYEMb8OmgYxmTGC8vXRMXJqBo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FEM3zr61aN80tFHPCcSzqQMWcfFrxrnJGFw0WxmsJc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PhcpXnvxPWBuFy-dmv-PgL_8LPcDKlGu41uwSL3p0E/edit?usp=shari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PhcpXnvxPWBuFy-dmv-PgL_8LPcDKlGu41uwSL3p0E/edit?usp=sharing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PhcpXnvxPWBuFy-dmv-PgL_8LPcDKlGu41uwSL3p0E/edit?usp=sharing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3" t="s">
        <v>2</v>
      </c>
      <c r="C2" s="4"/>
    </row>
    <row r="3">
      <c r="B3" s="7" t="s">
        <v>10</v>
      </c>
      <c r="C3" s="7" t="s">
        <v>12</v>
      </c>
      <c r="E3" s="8"/>
    </row>
    <row r="4">
      <c r="B4" s="15" t="s">
        <v>14</v>
      </c>
      <c r="C4" s="21">
        <f>SUM(C5,C6,C7,, C8)</f>
        <v>59637</v>
      </c>
      <c r="E4" s="8"/>
    </row>
    <row r="5" outlineLevel="1">
      <c r="B5" s="11" t="s">
        <v>30</v>
      </c>
      <c r="C5" s="27">
        <f>'Offline &amp; RG Community'!G33</f>
        <v>15709</v>
      </c>
      <c r="E5" s="8"/>
    </row>
    <row r="6" outlineLevel="1">
      <c r="B6" s="11" t="s">
        <v>9</v>
      </c>
      <c r="C6" s="29">
        <f>'Offline &amp; RG Community'!H33</f>
        <v>3710</v>
      </c>
      <c r="E6" s="8"/>
    </row>
    <row r="7" outlineLevel="1">
      <c r="B7" s="11" t="s">
        <v>42</v>
      </c>
      <c r="C7" s="27">
        <v>0.0</v>
      </c>
      <c r="E7" s="8"/>
    </row>
    <row r="8" outlineLevel="1">
      <c r="B8" s="11" t="s">
        <v>43</v>
      </c>
      <c r="C8" s="27">
        <f>'Offline &amp; RG Community'!E33</f>
        <v>40218</v>
      </c>
      <c r="E8" s="8"/>
    </row>
    <row r="9">
      <c r="B9" s="15" t="s">
        <v>44</v>
      </c>
      <c r="C9" s="21">
        <f>SUM(C10:C14)</f>
        <v>130380</v>
      </c>
      <c r="E9" s="8"/>
    </row>
    <row r="10" outlineLevel="1">
      <c r="B10" s="37" t="s">
        <v>45</v>
      </c>
      <c r="C10" s="27">
        <f>Hudle!C7</f>
        <v>76022</v>
      </c>
      <c r="E10" s="40"/>
    </row>
    <row r="11" outlineLevel="1">
      <c r="B11" s="11" t="s">
        <v>46</v>
      </c>
      <c r="C11" s="27">
        <f>Playo!C8</f>
        <v>20344</v>
      </c>
      <c r="E11" s="40"/>
    </row>
    <row r="12" outlineLevel="1">
      <c r="B12" s="37" t="s">
        <v>47</v>
      </c>
      <c r="C12" s="29">
        <f>District!C5</f>
        <v>24400</v>
      </c>
    </row>
    <row r="13" outlineLevel="1">
      <c r="B13" s="11" t="s">
        <v>48</v>
      </c>
      <c r="C13" s="29">
        <f>Khelomore!C5</f>
        <v>9614</v>
      </c>
    </row>
    <row r="14">
      <c r="B14" s="25" t="s">
        <v>50</v>
      </c>
      <c r="C14" s="29">
        <v>0.0</v>
      </c>
      <c r="E14" s="8"/>
    </row>
    <row r="15">
      <c r="B15" s="48" t="s">
        <v>51</v>
      </c>
      <c r="C15" s="21">
        <f>SUM(C16:C19)</f>
        <v>67200</v>
      </c>
      <c r="E15" s="8"/>
    </row>
    <row r="16" outlineLevel="1">
      <c r="B16" s="37" t="s">
        <v>52</v>
      </c>
      <c r="C16" s="29">
        <f>Courtly!C2</f>
        <v>38300</v>
      </c>
      <c r="E16" s="8"/>
    </row>
    <row r="17" outlineLevel="1">
      <c r="B17" s="37" t="s">
        <v>53</v>
      </c>
      <c r="C17" s="29">
        <f>Sportomic!C2</f>
        <v>13650</v>
      </c>
    </row>
    <row r="18" outlineLevel="1">
      <c r="B18" s="37" t="s">
        <v>54</v>
      </c>
      <c r="C18" s="27">
        <f>'Offline &amp; RG Community'!F33</f>
        <v>15250</v>
      </c>
      <c r="E18" s="8"/>
    </row>
    <row r="19" outlineLevel="1">
      <c r="B19" s="11" t="s">
        <v>55</v>
      </c>
      <c r="C19" s="29">
        <f>Misfits!C2</f>
        <v>0</v>
      </c>
    </row>
    <row r="20">
      <c r="B20" s="15" t="s">
        <v>56</v>
      </c>
      <c r="C20" s="49">
        <v>0.0</v>
      </c>
    </row>
    <row r="21">
      <c r="B21" s="48" t="s">
        <v>57</v>
      </c>
      <c r="C21" s="29">
        <f>Coaching!D2</f>
        <v>44000</v>
      </c>
    </row>
    <row r="22">
      <c r="B22" s="15" t="s">
        <v>58</v>
      </c>
      <c r="C22" s="29">
        <v>0.0</v>
      </c>
    </row>
    <row r="23">
      <c r="B23" s="15" t="s">
        <v>59</v>
      </c>
      <c r="C23" s="29">
        <f>0</f>
        <v>0</v>
      </c>
    </row>
    <row r="24">
      <c r="B24" s="50" t="s">
        <v>60</v>
      </c>
      <c r="C24" s="51">
        <v>0.0</v>
      </c>
    </row>
    <row r="25">
      <c r="B25" s="15" t="s">
        <v>61</v>
      </c>
      <c r="C25" s="21">
        <f>sum(C4,C9,C20,C22,C23,C24,C15, C21)</f>
        <v>301217</v>
      </c>
    </row>
    <row r="26">
      <c r="B26" s="52" t="s">
        <v>62</v>
      </c>
      <c r="C26" s="53">
        <f>'Offline &amp; RG Community'!I33+Hudle!E7+Playo!F8+District!F5+Khelomore!E5+Coaching!D2+Sportomic!C2+Courtly!F2</f>
        <v>286550.8</v>
      </c>
    </row>
    <row r="27">
      <c r="B27" s="15" t="s">
        <v>63</v>
      </c>
      <c r="C27" s="21">
        <f>C26/1.18</f>
        <v>242839.661</v>
      </c>
    </row>
    <row r="28">
      <c r="B28" s="15"/>
      <c r="C28" s="21"/>
    </row>
    <row r="29">
      <c r="B29" s="15"/>
      <c r="C29" s="21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8.25"/>
    <col customWidth="1" min="5" max="5" width="15.13"/>
    <col customWidth="1" min="6" max="6" width="17.63"/>
    <col customWidth="1" min="8" max="8" width="13.63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5" t="s">
        <v>9</v>
      </c>
      <c r="I1" s="2" t="s">
        <v>11</v>
      </c>
    </row>
    <row r="2">
      <c r="A2" s="9">
        <v>46023.0</v>
      </c>
      <c r="B2" s="11" t="s">
        <v>13</v>
      </c>
      <c r="C2" s="12">
        <v>1.0</v>
      </c>
      <c r="D2" s="17" t="s">
        <v>23</v>
      </c>
      <c r="E2" s="12">
        <v>720.0</v>
      </c>
      <c r="F2" s="12">
        <v>0.0</v>
      </c>
      <c r="G2" s="12">
        <v>600.0</v>
      </c>
      <c r="H2" s="12">
        <v>455.0</v>
      </c>
      <c r="I2" s="12">
        <f t="shared" ref="I2:I32" si="1">SUM(E2:H2)</f>
        <v>1775</v>
      </c>
    </row>
    <row r="3">
      <c r="A3" s="9">
        <v>46024.0</v>
      </c>
      <c r="B3" s="11" t="s">
        <v>29</v>
      </c>
      <c r="C3" s="22">
        <v>0.5</v>
      </c>
      <c r="D3" s="17" t="s">
        <v>23</v>
      </c>
      <c r="E3" s="22">
        <v>400.0</v>
      </c>
      <c r="F3" s="22">
        <v>0.0</v>
      </c>
      <c r="G3" s="22">
        <v>350.0</v>
      </c>
      <c r="H3" s="12">
        <v>70.0</v>
      </c>
      <c r="I3" s="12">
        <f t="shared" si="1"/>
        <v>820</v>
      </c>
    </row>
    <row r="4">
      <c r="A4" s="9">
        <v>46025.0</v>
      </c>
      <c r="B4" s="11" t="s">
        <v>31</v>
      </c>
      <c r="C4" s="12">
        <v>4.5</v>
      </c>
      <c r="D4" s="17" t="s">
        <v>23</v>
      </c>
      <c r="E4" s="12">
        <v>3440.0</v>
      </c>
      <c r="F4" s="12">
        <v>0.0</v>
      </c>
      <c r="G4" s="12">
        <v>700.0</v>
      </c>
      <c r="H4" s="12">
        <v>70.0</v>
      </c>
      <c r="I4" s="12">
        <f t="shared" si="1"/>
        <v>4210</v>
      </c>
    </row>
    <row r="5">
      <c r="A5" s="9">
        <v>46026.0</v>
      </c>
      <c r="B5" s="11" t="s">
        <v>32</v>
      </c>
      <c r="C5" s="12">
        <v>1.5</v>
      </c>
      <c r="D5" s="17" t="s">
        <v>23</v>
      </c>
      <c r="E5" s="12">
        <v>1200.0</v>
      </c>
      <c r="F5" s="12">
        <v>0.0</v>
      </c>
      <c r="G5" s="12">
        <v>600.0</v>
      </c>
      <c r="H5" s="12">
        <v>140.0</v>
      </c>
      <c r="I5" s="12">
        <f t="shared" si="1"/>
        <v>1940</v>
      </c>
    </row>
    <row r="6">
      <c r="A6" s="9">
        <v>46027.0</v>
      </c>
      <c r="B6" s="11" t="s">
        <v>35</v>
      </c>
      <c r="C6" s="12">
        <v>1.0</v>
      </c>
      <c r="D6" s="17" t="s">
        <v>23</v>
      </c>
      <c r="E6" s="12">
        <v>800.0</v>
      </c>
      <c r="F6" s="12">
        <v>0.0</v>
      </c>
      <c r="G6" s="12">
        <v>100.0</v>
      </c>
      <c r="H6" s="22">
        <v>175.0</v>
      </c>
      <c r="I6" s="12">
        <f t="shared" si="1"/>
        <v>1075</v>
      </c>
    </row>
    <row r="7">
      <c r="A7" s="9">
        <v>46028.0</v>
      </c>
      <c r="B7" s="11" t="s">
        <v>36</v>
      </c>
      <c r="C7" s="22">
        <v>0.0</v>
      </c>
      <c r="D7" s="17" t="s">
        <v>23</v>
      </c>
      <c r="E7" s="22">
        <v>0.0</v>
      </c>
      <c r="F7" s="22">
        <v>400.0</v>
      </c>
      <c r="G7" s="22">
        <v>300.0</v>
      </c>
      <c r="H7" s="22">
        <v>70.0</v>
      </c>
      <c r="I7" s="12">
        <f t="shared" si="1"/>
        <v>770</v>
      </c>
    </row>
    <row r="8">
      <c r="A8" s="9">
        <v>46029.0</v>
      </c>
      <c r="B8" s="11" t="s">
        <v>38</v>
      </c>
      <c r="C8" s="22">
        <v>1.0</v>
      </c>
      <c r="D8" s="17" t="s">
        <v>23</v>
      </c>
      <c r="E8" s="22">
        <v>800.0</v>
      </c>
      <c r="F8" s="22">
        <v>0.0</v>
      </c>
      <c r="G8" s="22">
        <v>100.0</v>
      </c>
      <c r="H8" s="22">
        <v>70.0</v>
      </c>
      <c r="I8" s="12">
        <f t="shared" si="1"/>
        <v>970</v>
      </c>
    </row>
    <row r="9">
      <c r="A9" s="9">
        <v>46030.0</v>
      </c>
      <c r="B9" s="11" t="s">
        <v>13</v>
      </c>
      <c r="C9" s="12">
        <v>0.0</v>
      </c>
      <c r="D9" s="17" t="s">
        <v>23</v>
      </c>
      <c r="E9" s="12">
        <v>0.0</v>
      </c>
      <c r="F9" s="12">
        <v>0.0</v>
      </c>
      <c r="G9" s="12">
        <v>300.0</v>
      </c>
      <c r="H9" s="12">
        <v>0.0</v>
      </c>
      <c r="I9" s="12">
        <f t="shared" si="1"/>
        <v>300</v>
      </c>
    </row>
    <row r="10">
      <c r="A10" s="9">
        <v>46031.0</v>
      </c>
      <c r="B10" s="11" t="s">
        <v>29</v>
      </c>
      <c r="C10" s="22">
        <v>0.5</v>
      </c>
      <c r="D10" s="17" t="s">
        <v>23</v>
      </c>
      <c r="E10" s="22">
        <v>400.0</v>
      </c>
      <c r="F10" s="22">
        <v>0.0</v>
      </c>
      <c r="G10" s="22">
        <v>200.0</v>
      </c>
      <c r="H10" s="12">
        <v>205.0</v>
      </c>
      <c r="I10" s="12">
        <f t="shared" si="1"/>
        <v>805</v>
      </c>
    </row>
    <row r="11">
      <c r="A11" s="9">
        <v>46032.0</v>
      </c>
      <c r="B11" s="11" t="s">
        <v>31</v>
      </c>
      <c r="C11" s="12">
        <v>4.5</v>
      </c>
      <c r="D11" s="17" t="s">
        <v>23</v>
      </c>
      <c r="E11" s="12">
        <v>3520.0</v>
      </c>
      <c r="F11" s="12">
        <v>3000.0</v>
      </c>
      <c r="G11" s="12">
        <v>700.0</v>
      </c>
      <c r="H11" s="12">
        <v>235.0</v>
      </c>
      <c r="I11" s="12">
        <f t="shared" si="1"/>
        <v>7455</v>
      </c>
    </row>
    <row r="12">
      <c r="A12" s="9">
        <v>46033.0</v>
      </c>
      <c r="B12" s="11" t="s">
        <v>32</v>
      </c>
      <c r="C12" s="12">
        <v>2.0</v>
      </c>
      <c r="D12" s="17" t="s">
        <v>23</v>
      </c>
      <c r="E12" s="12">
        <v>1050.0</v>
      </c>
      <c r="F12" s="12">
        <v>0.0</v>
      </c>
      <c r="G12" s="12">
        <v>500.0</v>
      </c>
      <c r="H12" s="12">
        <v>210.0</v>
      </c>
      <c r="I12" s="12">
        <f t="shared" si="1"/>
        <v>1760</v>
      </c>
    </row>
    <row r="13">
      <c r="A13" s="9">
        <v>46034.0</v>
      </c>
      <c r="B13" s="11" t="s">
        <v>35</v>
      </c>
      <c r="C13" s="12">
        <v>0.0</v>
      </c>
      <c r="D13" s="17" t="s">
        <v>23</v>
      </c>
      <c r="E13" s="12">
        <v>0.0</v>
      </c>
      <c r="F13" s="12">
        <v>0.0</v>
      </c>
      <c r="G13" s="12">
        <v>400.0</v>
      </c>
      <c r="H13" s="12">
        <v>245.0</v>
      </c>
      <c r="I13" s="12">
        <f t="shared" si="1"/>
        <v>645</v>
      </c>
    </row>
    <row r="14">
      <c r="A14" s="9">
        <v>46035.0</v>
      </c>
      <c r="B14" s="11" t="s">
        <v>36</v>
      </c>
      <c r="C14" s="12">
        <v>0.0</v>
      </c>
      <c r="D14" s="17" t="s">
        <v>23</v>
      </c>
      <c r="E14" s="12">
        <v>0.0</v>
      </c>
      <c r="F14" s="12">
        <v>0.0</v>
      </c>
      <c r="G14" s="12">
        <v>0.0</v>
      </c>
      <c r="H14" s="12">
        <v>105.0</v>
      </c>
      <c r="I14" s="12">
        <f t="shared" si="1"/>
        <v>105</v>
      </c>
    </row>
    <row r="15">
      <c r="A15" s="9">
        <v>46036.0</v>
      </c>
      <c r="B15" s="11" t="s">
        <v>38</v>
      </c>
      <c r="C15" s="12">
        <v>3.0</v>
      </c>
      <c r="D15" s="17" t="s">
        <v>23</v>
      </c>
      <c r="E15" s="12">
        <v>2240.0</v>
      </c>
      <c r="F15" s="12">
        <v>0.0</v>
      </c>
      <c r="G15" s="12">
        <v>9.0</v>
      </c>
      <c r="H15" s="12">
        <v>120.0</v>
      </c>
      <c r="I15" s="12">
        <f t="shared" si="1"/>
        <v>2369</v>
      </c>
    </row>
    <row r="16">
      <c r="A16" s="9">
        <v>46037.0</v>
      </c>
      <c r="B16" s="11" t="s">
        <v>13</v>
      </c>
      <c r="C16" s="12">
        <v>3.0</v>
      </c>
      <c r="D16" s="17" t="s">
        <v>23</v>
      </c>
      <c r="E16" s="12">
        <v>2400.0</v>
      </c>
      <c r="F16" s="12">
        <v>0.0</v>
      </c>
      <c r="G16" s="12">
        <v>900.0</v>
      </c>
      <c r="H16" s="12">
        <v>70.0</v>
      </c>
      <c r="I16" s="12">
        <f t="shared" si="1"/>
        <v>3370</v>
      </c>
    </row>
    <row r="17">
      <c r="A17" s="9">
        <v>46038.0</v>
      </c>
      <c r="B17" s="11" t="s">
        <v>29</v>
      </c>
      <c r="C17" s="12">
        <v>2.5</v>
      </c>
      <c r="D17" s="17" t="s">
        <v>23</v>
      </c>
      <c r="E17" s="12">
        <v>400.0</v>
      </c>
      <c r="F17" s="12">
        <v>3200.0</v>
      </c>
      <c r="G17" s="12">
        <v>550.0</v>
      </c>
      <c r="H17" s="12">
        <v>140.0</v>
      </c>
      <c r="I17" s="12">
        <f t="shared" si="1"/>
        <v>4290</v>
      </c>
    </row>
    <row r="18">
      <c r="A18" s="9">
        <v>46039.0</v>
      </c>
      <c r="B18" s="11" t="s">
        <v>31</v>
      </c>
      <c r="C18" s="22">
        <v>2.5</v>
      </c>
      <c r="D18" s="17" t="s">
        <v>23</v>
      </c>
      <c r="E18" s="22">
        <v>1920.0</v>
      </c>
      <c r="F18" s="22">
        <v>0.0</v>
      </c>
      <c r="G18" s="22">
        <v>900.0</v>
      </c>
      <c r="H18" s="12">
        <v>0.0</v>
      </c>
      <c r="I18" s="12">
        <f t="shared" si="1"/>
        <v>2820</v>
      </c>
    </row>
    <row r="19">
      <c r="A19" s="9">
        <v>46040.0</v>
      </c>
      <c r="B19" s="11" t="s">
        <v>32</v>
      </c>
      <c r="C19" s="12">
        <v>4.0</v>
      </c>
      <c r="D19" s="17" t="s">
        <v>23</v>
      </c>
      <c r="E19" s="12">
        <v>0.0</v>
      </c>
      <c r="F19" s="12">
        <v>2400.0</v>
      </c>
      <c r="G19" s="12">
        <v>1100.0</v>
      </c>
      <c r="H19" s="12">
        <v>0.0</v>
      </c>
      <c r="I19" s="12">
        <f t="shared" si="1"/>
        <v>3500</v>
      </c>
    </row>
    <row r="20">
      <c r="A20" s="9">
        <v>46041.0</v>
      </c>
      <c r="B20" s="11" t="s">
        <v>35</v>
      </c>
      <c r="C20" s="12">
        <v>1.5</v>
      </c>
      <c r="D20" s="17" t="s">
        <v>23</v>
      </c>
      <c r="E20" s="12">
        <v>1200.0</v>
      </c>
      <c r="F20" s="12">
        <v>0.0</v>
      </c>
      <c r="G20" s="12">
        <v>150.0</v>
      </c>
      <c r="H20" s="12">
        <v>0.0</v>
      </c>
      <c r="I20" s="12">
        <f t="shared" si="1"/>
        <v>1350</v>
      </c>
    </row>
    <row r="21">
      <c r="A21" s="9">
        <v>46042.0</v>
      </c>
      <c r="B21" s="11" t="s">
        <v>36</v>
      </c>
      <c r="C21" s="12">
        <v>3.0</v>
      </c>
      <c r="D21" s="17" t="s">
        <v>23</v>
      </c>
      <c r="E21" s="12">
        <v>2800.0</v>
      </c>
      <c r="F21" s="12">
        <v>0.0</v>
      </c>
      <c r="G21" s="12">
        <v>300.0</v>
      </c>
      <c r="H21" s="12">
        <v>0.0</v>
      </c>
      <c r="I21" s="12">
        <f t="shared" si="1"/>
        <v>3100</v>
      </c>
    </row>
    <row r="22">
      <c r="A22" s="9">
        <v>46043.0</v>
      </c>
      <c r="B22" s="11" t="s">
        <v>38</v>
      </c>
      <c r="C22" s="12">
        <v>4.0</v>
      </c>
      <c r="D22" s="17" t="s">
        <v>23</v>
      </c>
      <c r="E22" s="12">
        <v>2320.0</v>
      </c>
      <c r="F22" s="12">
        <v>800.0</v>
      </c>
      <c r="G22" s="12">
        <v>1000.0</v>
      </c>
      <c r="H22" s="12">
        <v>0.0</v>
      </c>
      <c r="I22" s="12">
        <f t="shared" si="1"/>
        <v>4120</v>
      </c>
    </row>
    <row r="23">
      <c r="A23" s="9">
        <v>46044.0</v>
      </c>
      <c r="B23" s="11" t="s">
        <v>13</v>
      </c>
      <c r="C23" s="12">
        <v>3.0</v>
      </c>
      <c r="D23" s="17" t="s">
        <v>23</v>
      </c>
      <c r="E23" s="12">
        <v>800.0</v>
      </c>
      <c r="F23" s="12">
        <v>1800.0</v>
      </c>
      <c r="G23" s="12">
        <v>600.0</v>
      </c>
      <c r="H23" s="12">
        <v>0.0</v>
      </c>
      <c r="I23" s="12">
        <f t="shared" si="1"/>
        <v>3200</v>
      </c>
      <c r="J23" s="8"/>
    </row>
    <row r="24">
      <c r="A24" s="9">
        <v>46045.0</v>
      </c>
      <c r="B24" s="11" t="s">
        <v>29</v>
      </c>
      <c r="C24" s="12">
        <v>0.0</v>
      </c>
      <c r="D24" s="17" t="s">
        <v>23</v>
      </c>
      <c r="E24" s="12">
        <v>0.0</v>
      </c>
      <c r="F24" s="12">
        <v>0.0</v>
      </c>
      <c r="G24" s="12">
        <v>0.0</v>
      </c>
      <c r="H24" s="12">
        <v>0.0</v>
      </c>
      <c r="I24" s="12">
        <f t="shared" si="1"/>
        <v>0</v>
      </c>
      <c r="J24" s="8"/>
      <c r="K24" s="8"/>
    </row>
    <row r="25">
      <c r="A25" s="9">
        <v>46046.0</v>
      </c>
      <c r="B25" s="11" t="s">
        <v>31</v>
      </c>
      <c r="C25" s="12">
        <v>2.0</v>
      </c>
      <c r="D25" s="17" t="s">
        <v>23</v>
      </c>
      <c r="E25" s="12">
        <v>1480.0</v>
      </c>
      <c r="F25" s="12">
        <v>0.0</v>
      </c>
      <c r="G25" s="12">
        <v>700.0</v>
      </c>
      <c r="H25" s="12">
        <v>315.0</v>
      </c>
      <c r="I25" s="12">
        <f t="shared" si="1"/>
        <v>2495</v>
      </c>
    </row>
    <row r="26">
      <c r="A26" s="9">
        <v>46047.0</v>
      </c>
      <c r="B26" s="11" t="s">
        <v>32</v>
      </c>
      <c r="C26" s="12">
        <v>3.0</v>
      </c>
      <c r="D26" s="17" t="s">
        <v>23</v>
      </c>
      <c r="E26" s="12">
        <v>2320.0</v>
      </c>
      <c r="F26" s="12">
        <v>0.0</v>
      </c>
      <c r="G26" s="12">
        <v>1100.0</v>
      </c>
      <c r="H26" s="12">
        <v>280.0</v>
      </c>
      <c r="I26" s="12">
        <f t="shared" si="1"/>
        <v>3700</v>
      </c>
    </row>
    <row r="27">
      <c r="A27" s="9">
        <v>46048.0</v>
      </c>
      <c r="B27" s="11" t="s">
        <v>35</v>
      </c>
      <c r="C27" s="12">
        <v>6.5</v>
      </c>
      <c r="D27" s="17" t="s">
        <v>23</v>
      </c>
      <c r="E27" s="12">
        <v>3848.0</v>
      </c>
      <c r="F27" s="12">
        <v>0.0</v>
      </c>
      <c r="G27" s="12">
        <v>1200.0</v>
      </c>
      <c r="H27" s="12">
        <v>105.0</v>
      </c>
      <c r="I27" s="12">
        <f t="shared" si="1"/>
        <v>5153</v>
      </c>
    </row>
    <row r="28">
      <c r="A28" s="9">
        <v>46049.0</v>
      </c>
      <c r="B28" s="11" t="s">
        <v>36</v>
      </c>
      <c r="C28" s="12">
        <v>4.5</v>
      </c>
      <c r="D28" s="17" t="s">
        <v>23</v>
      </c>
      <c r="E28" s="12">
        <v>3440.0</v>
      </c>
      <c r="F28" s="12">
        <v>0.0</v>
      </c>
      <c r="G28" s="12">
        <v>600.0</v>
      </c>
      <c r="H28" s="12">
        <v>70.0</v>
      </c>
      <c r="I28" s="12">
        <f t="shared" si="1"/>
        <v>4110</v>
      </c>
    </row>
    <row r="29">
      <c r="A29" s="9">
        <v>46050.0</v>
      </c>
      <c r="B29" s="11" t="s">
        <v>38</v>
      </c>
      <c r="C29" s="12">
        <v>3.5</v>
      </c>
      <c r="D29" s="17" t="s">
        <v>23</v>
      </c>
      <c r="E29" s="12">
        <v>1200.0</v>
      </c>
      <c r="F29" s="12">
        <v>1600.0</v>
      </c>
      <c r="G29" s="12">
        <v>450.0</v>
      </c>
      <c r="H29" s="12">
        <v>140.0</v>
      </c>
      <c r="I29" s="12">
        <f t="shared" si="1"/>
        <v>3390</v>
      </c>
    </row>
    <row r="30">
      <c r="A30" s="9">
        <v>46051.0</v>
      </c>
      <c r="B30" s="11" t="s">
        <v>13</v>
      </c>
      <c r="C30" s="12">
        <v>3.0</v>
      </c>
      <c r="D30" s="17" t="s">
        <v>23</v>
      </c>
      <c r="E30" s="12">
        <v>800.0</v>
      </c>
      <c r="F30" s="12">
        <v>1400.0</v>
      </c>
      <c r="G30" s="12">
        <v>350.0</v>
      </c>
      <c r="H30" s="12">
        <v>210.0</v>
      </c>
      <c r="I30" s="12">
        <f t="shared" si="1"/>
        <v>2760</v>
      </c>
      <c r="J30" s="8"/>
    </row>
    <row r="31">
      <c r="A31" s="9">
        <v>46052.0</v>
      </c>
      <c r="B31" s="11" t="s">
        <v>29</v>
      </c>
      <c r="C31" s="12">
        <v>1.0</v>
      </c>
      <c r="D31" s="17" t="s">
        <v>23</v>
      </c>
      <c r="E31" s="12">
        <v>720.0</v>
      </c>
      <c r="F31" s="12">
        <v>0.0</v>
      </c>
      <c r="G31" s="12">
        <v>400.0</v>
      </c>
      <c r="H31" s="12">
        <v>210.0</v>
      </c>
      <c r="I31" s="12">
        <f t="shared" si="1"/>
        <v>1330</v>
      </c>
      <c r="J31" s="8"/>
    </row>
    <row r="32">
      <c r="A32" s="9">
        <v>46053.0</v>
      </c>
      <c r="B32" s="11" t="s">
        <v>31</v>
      </c>
      <c r="C32" s="22">
        <v>1.0</v>
      </c>
      <c r="D32" s="17" t="s">
        <v>23</v>
      </c>
      <c r="E32" s="22">
        <v>0.0</v>
      </c>
      <c r="F32" s="22">
        <v>650.0</v>
      </c>
      <c r="G32" s="22">
        <v>550.0</v>
      </c>
      <c r="H32" s="22">
        <v>0.0</v>
      </c>
      <c r="I32" s="22">
        <f t="shared" si="1"/>
        <v>1200</v>
      </c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4"/>
    </row>
    <row r="33">
      <c r="A33" s="46" t="s">
        <v>49</v>
      </c>
      <c r="B33" s="47"/>
      <c r="C33" s="2">
        <f>SUM(C2:C32)</f>
        <v>67.5</v>
      </c>
      <c r="D33" s="47"/>
      <c r="E33" s="2">
        <f t="shared" ref="E33:I33" si="2">SUM(E2:E32)</f>
        <v>40218</v>
      </c>
      <c r="F33" s="2">
        <f t="shared" si="2"/>
        <v>15250</v>
      </c>
      <c r="G33" s="2">
        <f t="shared" si="2"/>
        <v>15709</v>
      </c>
      <c r="H33" s="2">
        <f t="shared" si="2"/>
        <v>3710</v>
      </c>
      <c r="I33" s="2">
        <f t="shared" si="2"/>
        <v>74887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13" t="s">
        <v>0</v>
      </c>
      <c r="B1" s="10" t="s">
        <v>1</v>
      </c>
      <c r="C1" s="10" t="s">
        <v>24</v>
      </c>
      <c r="D1" s="10" t="s">
        <v>25</v>
      </c>
      <c r="E1" s="10" t="s">
        <v>18</v>
      </c>
      <c r="F1" s="10" t="s">
        <v>26</v>
      </c>
      <c r="G1" s="10" t="s">
        <v>27</v>
      </c>
      <c r="H1" s="10" t="s">
        <v>12</v>
      </c>
    </row>
    <row r="2">
      <c r="A2" s="16"/>
      <c r="B2" s="16" t="s">
        <v>28</v>
      </c>
      <c r="C2" s="20">
        <v>9940.0</v>
      </c>
      <c r="D2" s="20">
        <v>1435.2</v>
      </c>
      <c r="E2" s="23">
        <f t="shared" ref="E2:E6" si="1">C2 - D2</f>
        <v>8504.8</v>
      </c>
      <c r="F2" s="20">
        <v>9.35</v>
      </c>
      <c r="G2" s="20">
        <v>46.77</v>
      </c>
      <c r="H2" s="18">
        <v>9548.67</v>
      </c>
    </row>
    <row r="3">
      <c r="A3" s="16"/>
      <c r="B3" s="16" t="s">
        <v>34</v>
      </c>
      <c r="C3" s="20">
        <v>13800.0</v>
      </c>
      <c r="D3" s="20">
        <v>1794.0</v>
      </c>
      <c r="E3" s="23">
        <f t="shared" si="1"/>
        <v>12006</v>
      </c>
      <c r="F3" s="20">
        <v>11.69</v>
      </c>
      <c r="G3" s="20">
        <v>58.47</v>
      </c>
      <c r="H3" s="18">
        <v>11935.83</v>
      </c>
    </row>
    <row r="4">
      <c r="A4" s="14"/>
      <c r="B4" s="25" t="s">
        <v>33</v>
      </c>
      <c r="C4" s="25">
        <v>15890.0</v>
      </c>
      <c r="D4" s="25">
        <v>2072.2</v>
      </c>
      <c r="E4" s="23">
        <f t="shared" si="1"/>
        <v>13817.8</v>
      </c>
      <c r="F4" s="25">
        <v>13.5</v>
      </c>
      <c r="G4" s="25">
        <v>67.5</v>
      </c>
      <c r="H4" s="25">
        <v>13786.73</v>
      </c>
    </row>
    <row r="5">
      <c r="A5" s="14"/>
      <c r="B5" s="25" t="s">
        <v>37</v>
      </c>
      <c r="C5" s="25">
        <v>18272.0</v>
      </c>
      <c r="D5" s="25">
        <v>2375.6</v>
      </c>
      <c r="E5" s="23">
        <f t="shared" si="1"/>
        <v>15896.4</v>
      </c>
      <c r="F5" s="25">
        <v>15.48</v>
      </c>
      <c r="G5" s="25">
        <v>77.42</v>
      </c>
      <c r="H5" s="25">
        <v>15803.73</v>
      </c>
    </row>
    <row r="6">
      <c r="A6" s="24"/>
      <c r="B6" s="25" t="s">
        <v>40</v>
      </c>
      <c r="C6" s="18">
        <v>18120.0</v>
      </c>
      <c r="D6" s="25">
        <v>2355.6</v>
      </c>
      <c r="E6" s="23">
        <f t="shared" si="1"/>
        <v>15764.4</v>
      </c>
      <c r="F6" s="25">
        <v>15.35</v>
      </c>
      <c r="G6" s="25">
        <v>76.77</v>
      </c>
      <c r="H6" s="18">
        <v>15672.25</v>
      </c>
    </row>
    <row r="7">
      <c r="A7" s="14"/>
      <c r="B7" s="16"/>
      <c r="C7" s="31">
        <f>SUM(C2:C6)</f>
        <v>76022</v>
      </c>
      <c r="D7" s="16"/>
      <c r="E7" s="31">
        <f>SUM(E2:E6)</f>
        <v>65989.4</v>
      </c>
      <c r="F7" s="16"/>
      <c r="G7" s="16"/>
      <c r="H7" s="31">
        <f>SUM(H2:H6)</f>
        <v>66747.21</v>
      </c>
    </row>
    <row r="8">
      <c r="E8" s="35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6" t="s">
        <v>0</v>
      </c>
      <c r="B1" s="10" t="s">
        <v>1</v>
      </c>
      <c r="C1" s="10" t="s">
        <v>15</v>
      </c>
      <c r="D1" s="10" t="s">
        <v>16</v>
      </c>
      <c r="E1" s="10" t="s">
        <v>17</v>
      </c>
      <c r="F1" s="10" t="s">
        <v>18</v>
      </c>
      <c r="G1" s="10" t="s">
        <v>19</v>
      </c>
      <c r="H1" s="10" t="s">
        <v>20</v>
      </c>
      <c r="I1" s="10" t="s">
        <v>21</v>
      </c>
    </row>
    <row r="2">
      <c r="A2" s="14"/>
      <c r="B2" s="16" t="s">
        <v>22</v>
      </c>
      <c r="C2" s="18">
        <v>8800.0</v>
      </c>
      <c r="D2" s="19">
        <v>616.0</v>
      </c>
      <c r="E2" s="19">
        <v>110.88</v>
      </c>
      <c r="F2" s="23">
        <f t="shared" ref="F2:F5" si="1">C2 -D2-E2</f>
        <v>8073.12</v>
      </c>
      <c r="G2" s="19">
        <v>8.8</v>
      </c>
      <c r="H2" s="19">
        <v>44.0</v>
      </c>
      <c r="I2" s="19">
        <v>8020.32</v>
      </c>
    </row>
    <row r="3">
      <c r="A3" s="24"/>
      <c r="B3" s="25" t="s">
        <v>33</v>
      </c>
      <c r="C3" s="26">
        <v>2400.0</v>
      </c>
      <c r="D3" s="26">
        <v>168.0</v>
      </c>
      <c r="E3" s="26">
        <v>30.24</v>
      </c>
      <c r="F3" s="23">
        <f t="shared" si="1"/>
        <v>2201.76</v>
      </c>
      <c r="G3" s="26">
        <v>2.4</v>
      </c>
      <c r="H3" s="26">
        <v>12.0</v>
      </c>
      <c r="I3" s="26">
        <v>2187.36</v>
      </c>
    </row>
    <row r="4">
      <c r="A4" s="24"/>
      <c r="B4" s="25" t="s">
        <v>39</v>
      </c>
      <c r="C4" s="28">
        <v>3720.0</v>
      </c>
      <c r="D4" s="25">
        <v>280.0</v>
      </c>
      <c r="E4" s="25">
        <v>50.4</v>
      </c>
      <c r="F4" s="23">
        <f t="shared" si="1"/>
        <v>3389.6</v>
      </c>
      <c r="G4" s="25">
        <v>3.72</v>
      </c>
      <c r="H4" s="25">
        <v>18.6</v>
      </c>
      <c r="I4" s="30">
        <v>3367.28</v>
      </c>
    </row>
    <row r="5">
      <c r="A5" s="24"/>
      <c r="B5" s="32" t="s">
        <v>41</v>
      </c>
      <c r="C5" s="33">
        <v>5424.0</v>
      </c>
      <c r="D5" s="28">
        <v>364.0</v>
      </c>
      <c r="E5" s="28">
        <v>65.52</v>
      </c>
      <c r="F5" s="23">
        <f t="shared" si="1"/>
        <v>4994.48</v>
      </c>
      <c r="G5" s="28">
        <v>4.78</v>
      </c>
      <c r="H5" s="28">
        <v>23.92</v>
      </c>
      <c r="I5" s="28">
        <v>4325.78</v>
      </c>
    </row>
    <row r="6">
      <c r="A6" s="24"/>
      <c r="B6" s="25"/>
      <c r="C6" s="18"/>
      <c r="D6" s="25"/>
      <c r="E6" s="25"/>
      <c r="F6" s="34"/>
      <c r="G6" s="25"/>
      <c r="H6" s="25"/>
      <c r="I6" s="18"/>
    </row>
    <row r="7">
      <c r="A7" s="36"/>
      <c r="B7" s="38"/>
      <c r="C7" s="39"/>
      <c r="D7" s="41"/>
      <c r="E7" s="11"/>
      <c r="F7" s="23"/>
      <c r="G7" s="38"/>
      <c r="H7" s="11"/>
      <c r="I7" s="42"/>
    </row>
    <row r="8">
      <c r="A8" s="8"/>
      <c r="B8" s="11"/>
      <c r="C8" s="42">
        <f>SUM(C2:C7)</f>
        <v>20344</v>
      </c>
      <c r="D8" s="45"/>
      <c r="E8" s="11"/>
      <c r="F8" s="35">
        <f>SUM(F2:F7)</f>
        <v>18658.96</v>
      </c>
      <c r="G8" s="38"/>
      <c r="H8" s="11"/>
      <c r="I8" s="42">
        <f>SUM(I2:I6)</f>
        <v>17900.74</v>
      </c>
    </row>
  </sheetData>
  <hyperlinks>
    <hyperlink r:id="rId2" ref="A1"/>
  </hyperlin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54" t="s">
        <v>0</v>
      </c>
      <c r="B1" s="10" t="s">
        <v>1</v>
      </c>
      <c r="C1" s="10" t="s">
        <v>64</v>
      </c>
      <c r="D1" s="10" t="s">
        <v>16</v>
      </c>
      <c r="E1" s="55" t="s">
        <v>65</v>
      </c>
      <c r="F1" s="10" t="s">
        <v>18</v>
      </c>
      <c r="G1" s="56" t="s">
        <v>27</v>
      </c>
      <c r="H1" s="56" t="s">
        <v>26</v>
      </c>
      <c r="I1" s="10" t="s">
        <v>21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57"/>
      <c r="B2" s="25" t="s">
        <v>66</v>
      </c>
      <c r="C2" s="25">
        <v>12400.0</v>
      </c>
      <c r="D2" s="25">
        <f t="shared" ref="D2:D4" si="1">C2*2%</f>
        <v>248</v>
      </c>
      <c r="E2" s="58">
        <f t="shared" ref="E2:E4" si="2">D2*18%</f>
        <v>44.64</v>
      </c>
      <c r="F2" s="58">
        <f t="shared" ref="F2:F4" si="3">C2-D2-E2</f>
        <v>12107.36</v>
      </c>
      <c r="G2" s="16">
        <f t="shared" ref="G2:G4" si="4">C2*0.5%</f>
        <v>62</v>
      </c>
      <c r="H2" s="16">
        <f t="shared" ref="H2:H4" si="5">D2*0.1%</f>
        <v>0.248</v>
      </c>
      <c r="I2" s="16">
        <f t="shared" ref="I2:I4" si="6">F2-G2-H2</f>
        <v>12045.112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38" t="s">
        <v>33</v>
      </c>
      <c r="C3" s="25">
        <v>4800.0</v>
      </c>
      <c r="D3" s="25">
        <f t="shared" si="1"/>
        <v>96</v>
      </c>
      <c r="E3" s="58">
        <f t="shared" si="2"/>
        <v>17.28</v>
      </c>
      <c r="F3" s="58">
        <f t="shared" si="3"/>
        <v>4686.72</v>
      </c>
      <c r="G3" s="16">
        <f t="shared" si="4"/>
        <v>24</v>
      </c>
      <c r="H3" s="16">
        <f t="shared" si="5"/>
        <v>0.096</v>
      </c>
      <c r="I3" s="16">
        <f t="shared" si="6"/>
        <v>4662.624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38" t="s">
        <v>75</v>
      </c>
      <c r="C4" s="18">
        <v>7200.0</v>
      </c>
      <c r="D4" s="25">
        <f t="shared" si="1"/>
        <v>144</v>
      </c>
      <c r="E4" s="58">
        <f t="shared" si="2"/>
        <v>25.92</v>
      </c>
      <c r="F4" s="58">
        <f t="shared" si="3"/>
        <v>7030.08</v>
      </c>
      <c r="G4" s="16">
        <f t="shared" si="4"/>
        <v>36</v>
      </c>
      <c r="H4" s="16">
        <f t="shared" si="5"/>
        <v>0.144</v>
      </c>
      <c r="I4" s="16">
        <f t="shared" si="6"/>
        <v>6993.936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15" t="s">
        <v>49</v>
      </c>
      <c r="C5" s="31">
        <f>SUM(C2:C4)</f>
        <v>24400</v>
      </c>
      <c r="D5" s="11"/>
      <c r="E5" s="58"/>
      <c r="F5" s="35">
        <f>SUM(F2:F4)</f>
        <v>23824.16</v>
      </c>
      <c r="G5" s="16"/>
      <c r="H5" s="16"/>
      <c r="I5" s="31">
        <f>SUM(I2:I4)</f>
        <v>23701.672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13" t="s">
        <v>0</v>
      </c>
      <c r="B1" s="10" t="s">
        <v>1</v>
      </c>
      <c r="C1" s="10" t="s">
        <v>67</v>
      </c>
      <c r="D1" s="10" t="s">
        <v>16</v>
      </c>
      <c r="E1" s="10" t="s">
        <v>21</v>
      </c>
    </row>
    <row r="2">
      <c r="A2" s="16"/>
      <c r="B2" s="16" t="s">
        <v>22</v>
      </c>
      <c r="C2" s="18">
        <v>2394.0</v>
      </c>
      <c r="D2" s="16">
        <f t="shared" ref="D2:D4" si="1">C2*5%</f>
        <v>119.7</v>
      </c>
      <c r="E2" s="61">
        <f t="shared" ref="E2:E4" si="2">C2-D2</f>
        <v>2274.3</v>
      </c>
    </row>
    <row r="3">
      <c r="A3" s="62"/>
      <c r="B3" s="62" t="s">
        <v>76</v>
      </c>
      <c r="C3" s="63">
        <v>3800.0</v>
      </c>
      <c r="D3" s="16">
        <f t="shared" si="1"/>
        <v>190</v>
      </c>
      <c r="E3" s="61">
        <f t="shared" si="2"/>
        <v>3610</v>
      </c>
      <c r="F3" s="8"/>
      <c r="G3" s="8"/>
      <c r="H3" s="8"/>
      <c r="I3" s="8"/>
      <c r="J3" s="8"/>
      <c r="K3" s="64"/>
      <c r="L3" s="8"/>
      <c r="M3" s="64"/>
      <c r="N3" s="64"/>
    </row>
    <row r="4">
      <c r="A4" s="65"/>
      <c r="B4" s="62" t="s">
        <v>41</v>
      </c>
      <c r="C4" s="66">
        <v>3420.0</v>
      </c>
      <c r="D4" s="16">
        <f t="shared" si="1"/>
        <v>171</v>
      </c>
      <c r="E4" s="61">
        <f t="shared" si="2"/>
        <v>3249</v>
      </c>
      <c r="F4" s="8"/>
      <c r="G4" s="8"/>
      <c r="H4" s="8"/>
      <c r="I4" s="67"/>
      <c r="J4" s="8"/>
      <c r="K4" s="67"/>
      <c r="L4" s="67"/>
    </row>
    <row r="5">
      <c r="A5" s="65"/>
      <c r="B5" s="62"/>
      <c r="C5" s="70">
        <f>SUM(C2:C4)</f>
        <v>9614</v>
      </c>
      <c r="D5" s="72"/>
      <c r="E5" s="70">
        <f>SUM(E2:E4)</f>
        <v>9133.3</v>
      </c>
      <c r="F5" s="8"/>
      <c r="G5" s="8"/>
      <c r="H5" s="8"/>
      <c r="I5" s="67"/>
      <c r="J5" s="8"/>
      <c r="K5" s="67"/>
      <c r="L5" s="67"/>
    </row>
    <row r="6">
      <c r="A6" s="73"/>
      <c r="B6" s="74"/>
      <c r="C6" s="75"/>
      <c r="D6" s="73"/>
      <c r="E6" s="76"/>
    </row>
    <row r="7">
      <c r="A7" s="73"/>
      <c r="B7" s="73"/>
      <c r="D7" s="73"/>
      <c r="E7" s="76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15.25"/>
  </cols>
  <sheetData>
    <row r="1">
      <c r="A1" s="2" t="s">
        <v>68</v>
      </c>
      <c r="B1" s="2" t="s">
        <v>69</v>
      </c>
      <c r="C1" s="2" t="s">
        <v>70</v>
      </c>
      <c r="D1" s="59" t="s">
        <v>71</v>
      </c>
    </row>
    <row r="2">
      <c r="A2" s="60" t="s">
        <v>72</v>
      </c>
      <c r="B2" s="60" t="s">
        <v>73</v>
      </c>
      <c r="C2" s="60" t="s">
        <v>74</v>
      </c>
      <c r="D2" s="30">
        <v>44000.0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88"/>
    <col customWidth="1" min="2" max="2" width="9.38"/>
    <col customWidth="1" min="3" max="3" width="14.75"/>
    <col customWidth="1" min="4" max="4" width="18.5"/>
    <col customWidth="1" min="5" max="5" width="7.0"/>
    <col customWidth="1" min="6" max="6" width="14.13"/>
  </cols>
  <sheetData>
    <row r="1">
      <c r="A1" s="68" t="s">
        <v>0</v>
      </c>
      <c r="B1" s="2" t="s">
        <v>1</v>
      </c>
      <c r="C1" s="2" t="s">
        <v>77</v>
      </c>
      <c r="D1" s="46" t="s">
        <v>78</v>
      </c>
      <c r="E1" s="46" t="s">
        <v>79</v>
      </c>
      <c r="F1" s="2" t="s">
        <v>21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37"/>
      <c r="B2" s="16" t="s">
        <v>80</v>
      </c>
      <c r="C2" s="21">
        <v>0.0</v>
      </c>
      <c r="D2" s="37"/>
      <c r="E2" s="17"/>
      <c r="F2" s="69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8"/>
      <c r="B3" s="57"/>
      <c r="C3" s="8"/>
      <c r="D3" s="8"/>
      <c r="E3" s="8"/>
      <c r="F3" s="7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8"/>
      <c r="B4" s="5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57"/>
      <c r="B5" s="5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8"/>
      <c r="B6" s="8"/>
      <c r="C6" s="71"/>
      <c r="D6" s="8"/>
      <c r="E6" s="8"/>
      <c r="F6" s="71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5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5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5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5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5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</sheetData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75"/>
    <col customWidth="1" min="4" max="4" width="14.13"/>
  </cols>
  <sheetData>
    <row r="1">
      <c r="A1" s="77" t="s">
        <v>0</v>
      </c>
      <c r="B1" s="2" t="s">
        <v>1</v>
      </c>
      <c r="C1" s="46" t="s">
        <v>81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11"/>
      <c r="B2" s="25" t="s">
        <v>80</v>
      </c>
      <c r="C2" s="29">
        <v>13650.0</v>
      </c>
      <c r="D2" s="7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>
      <c r="A3" s="8"/>
      <c r="B3" s="36"/>
      <c r="C3" s="36"/>
      <c r="D3" s="7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>
      <c r="A4" s="8"/>
      <c r="B4" s="57"/>
      <c r="C4" s="78"/>
      <c r="D4" s="7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57"/>
      <c r="B5" s="5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5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5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5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</sheetData>
  <hyperlinks>
    <hyperlink r:id="rId1" ref="A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75"/>
    <col customWidth="1" min="4" max="7" width="15.88"/>
  </cols>
  <sheetData>
    <row r="1">
      <c r="A1" s="77" t="s">
        <v>0</v>
      </c>
      <c r="B1" s="2" t="s">
        <v>1</v>
      </c>
      <c r="C1" s="5" t="s">
        <v>82</v>
      </c>
      <c r="D1" s="5" t="s">
        <v>83</v>
      </c>
      <c r="E1" s="5" t="s">
        <v>26</v>
      </c>
      <c r="F1" s="5" t="s">
        <v>84</v>
      </c>
      <c r="G1" s="5" t="s">
        <v>85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1"/>
      <c r="B2" s="79">
        <v>46053.0</v>
      </c>
      <c r="C2" s="29">
        <v>38300.0</v>
      </c>
      <c r="D2" s="38">
        <f>C2*3%</f>
        <v>1149</v>
      </c>
      <c r="E2" s="38">
        <f>(C2-D2)*2%</f>
        <v>743.02</v>
      </c>
      <c r="F2" s="80">
        <f>C2-D2-E2</f>
        <v>36407.98</v>
      </c>
      <c r="G2" s="38" t="s">
        <v>86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11"/>
      <c r="B3" s="38"/>
      <c r="C3" s="38"/>
      <c r="D3" s="37"/>
      <c r="E3" s="37"/>
      <c r="F3" s="37"/>
      <c r="G3" s="3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5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5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5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</sheetData>
  <hyperlinks>
    <hyperlink r:id="rId1" ref="A1"/>
  </hyperlinks>
  <drawing r:id="rId2"/>
</worksheet>
</file>