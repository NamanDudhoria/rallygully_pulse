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Hudle" sheetId="4" r:id="rId8"/>
    <sheet state="visible" name="Memberships" sheetId="5" r:id="rId9"/>
    <sheet state="visible" name="B2B" sheetId="6" r:id="rId10"/>
    <sheet state="visible" name="Academy" sheetId="7" r:id="rId11"/>
    <sheet state="visible" name="Social EventsTournament" sheetId="8" r:id="rId12"/>
    <sheet state="visible" name="Corporate Events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1">
      <text>
        <t xml:space="preserve">Ball box sales
</t>
      </text>
    </comment>
    <comment authorId="0" ref="H13">
      <text>
        <t xml:space="preserve">600 - Babolat balls sales
</t>
      </text>
    </comment>
  </commentList>
</comments>
</file>

<file path=xl/sharedStrings.xml><?xml version="1.0" encoding="utf-8"?>
<sst xmlns="http://schemas.openxmlformats.org/spreadsheetml/2006/main" count="199" uniqueCount="97">
  <si>
    <t>Date</t>
  </si>
  <si>
    <t>1 - 31 May</t>
  </si>
  <si>
    <t>Day</t>
  </si>
  <si>
    <t>Offline booking hours</t>
  </si>
  <si>
    <t>Link</t>
  </si>
  <si>
    <t>Discount Given</t>
  </si>
  <si>
    <t>Booking Revenue</t>
  </si>
  <si>
    <t>Amount</t>
  </si>
  <si>
    <t xml:space="preserve">Paddle Rental </t>
  </si>
  <si>
    <t>Padel Rental</t>
  </si>
  <si>
    <t>Total Revenue</t>
  </si>
  <si>
    <t>Particulars</t>
  </si>
  <si>
    <t>Payment Gateway</t>
  </si>
  <si>
    <t>Net Revenue</t>
  </si>
  <si>
    <t>Total</t>
  </si>
  <si>
    <t>Pickleball</t>
  </si>
  <si>
    <t>Padel</t>
  </si>
  <si>
    <t>Turf</t>
  </si>
  <si>
    <t>Razorpay Collection Amount</t>
  </si>
  <si>
    <t>Friday</t>
  </si>
  <si>
    <t>Paid to District</t>
  </si>
  <si>
    <t>20% and 25%</t>
  </si>
  <si>
    <t>Paid to Hudle</t>
  </si>
  <si>
    <t>Commissions (₹)</t>
  </si>
  <si>
    <t>GST on Commission</t>
  </si>
  <si>
    <t>Commisions (Including GST)</t>
  </si>
  <si>
    <t>TDS</t>
  </si>
  <si>
    <t>TCS</t>
  </si>
  <si>
    <t>Final Amount (₹)</t>
  </si>
  <si>
    <t>Pay &amp; Play</t>
  </si>
  <si>
    <t>1 - 5 May</t>
  </si>
  <si>
    <t>5 - 12 May</t>
  </si>
  <si>
    <t>Cash</t>
  </si>
  <si>
    <t>Saturday</t>
  </si>
  <si>
    <t xml:space="preserve">Online </t>
  </si>
  <si>
    <t>Sunday</t>
  </si>
  <si>
    <t>Monday</t>
  </si>
  <si>
    <t>District</t>
  </si>
  <si>
    <t>Tuesday</t>
  </si>
  <si>
    <t>Wednesday</t>
  </si>
  <si>
    <t>Thursday</t>
  </si>
  <si>
    <t>Hudle</t>
  </si>
  <si>
    <t>Playo</t>
  </si>
  <si>
    <t>Khelomore</t>
  </si>
  <si>
    <t>Zplys</t>
  </si>
  <si>
    <t>Offline</t>
  </si>
  <si>
    <t>Bookings</t>
  </si>
  <si>
    <t xml:space="preserve"> 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</si>
  <si>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</si>
  <si>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</si>
  <si>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</si>
  <si>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</si>
  <si>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</si>
  <si>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</si>
  <si>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</si>
  <si>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Member Name</t>
  </si>
  <si>
    <t>Sports Type</t>
  </si>
  <si>
    <t>Membership Type</t>
  </si>
  <si>
    <t>Start Date</t>
  </si>
  <si>
    <t>All B2B partnerships</t>
  </si>
  <si>
    <t>Amount Collected</t>
  </si>
  <si>
    <t>Commerce</t>
  </si>
  <si>
    <t>Nikhil</t>
  </si>
  <si>
    <t>Football</t>
  </si>
  <si>
    <t xml:space="preserve">18 Slots </t>
  </si>
  <si>
    <t>Brand</t>
  </si>
  <si>
    <t>May</t>
  </si>
  <si>
    <t>Product rental</t>
  </si>
  <si>
    <t>Type</t>
  </si>
  <si>
    <t>Amt</t>
  </si>
  <si>
    <t>Savikalpa</t>
  </si>
  <si>
    <t>Activation</t>
  </si>
  <si>
    <t>Product sales</t>
  </si>
  <si>
    <t>F&amp;B</t>
  </si>
  <si>
    <t>Other Income</t>
  </si>
  <si>
    <t>Total Gross Revenue</t>
  </si>
  <si>
    <t>Total Net Revenue (Post Commissions)</t>
  </si>
  <si>
    <t>Total Revenue post GST</t>
  </si>
  <si>
    <t>SD Vidya School's Share (60%)</t>
  </si>
  <si>
    <t>Sport</t>
  </si>
  <si>
    <t>RG &amp; DPC's Share (40%)</t>
  </si>
  <si>
    <t>Tournament</t>
  </si>
  <si>
    <t>Hybrid Social</t>
  </si>
  <si>
    <t>Mini Hyrox</t>
  </si>
  <si>
    <t>Name</t>
  </si>
  <si>
    <t>Deliverables</t>
  </si>
  <si>
    <t>Recess Club</t>
  </si>
  <si>
    <t>Community Event</t>
  </si>
  <si>
    <t>2.5  hours of Turf</t>
  </si>
  <si>
    <t>30 &amp; 31 May</t>
  </si>
  <si>
    <t>Akribiz</t>
  </si>
  <si>
    <t>Corporate Event</t>
  </si>
  <si>
    <t>Turf &amp; Pickleball</t>
  </si>
  <si>
    <t>2 Days (6-10 pm)</t>
  </si>
  <si>
    <t>Fakiha</t>
  </si>
  <si>
    <t>Bday Event</t>
  </si>
  <si>
    <t>2 hours of Courts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</si>
</sst>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₹]#,##0"/>
    <numFmt numFmtId="165" formatCode="[$₹]#,##0.0"/>
    <numFmt numFmtId="166" formatCode="[$₹]#,##0.00"/>
    <numFmt numFmtId="167" formatCode="d mmmm"/>
    <numFmt numFmtId="168" formatCode="d mmm"/>
    <numFmt numFmtId="169" formatCode="[&gt;9999999][$₹]##\,##\,##\,##0.00;[&gt;99999][$₹]##\,##\,##0.00;[$₹]##,##0.00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vertical="bottom"/>
    </xf>
    <xf borderId="1" fillId="2" fontId="1" numFmtId="164" xfId="0" applyAlignment="1" applyBorder="1" applyFill="1" applyFont="1" applyNumberFormat="1">
      <alignment horizontal="center" readingOrder="0" vertical="bottom"/>
    </xf>
    <xf borderId="1" fillId="2" fontId="1" numFmtId="1" xfId="0" applyAlignment="1" applyBorder="1" applyFill="1" applyFont="1" applyNumberFormat="1">
      <alignment horizontal="right" vertical="bottom"/>
    </xf>
    <xf borderId="1" fillId="2" fontId="2" numFmtId="164" xfId="0" applyBorder="1" applyFill="1" applyFont="1" applyNumberFormat="1"/>
    <xf borderId="1" fillId="2" fontId="2" numFmtId="0" xfId="0" applyBorder="1" applyFill="1" applyFont="1"/>
    <xf borderId="0" fillId="0" fontId="2" numFmtId="165" xfId="0" applyFont="1" applyNumberFormat="1"/>
    <xf borderId="1" fillId="2" fontId="3" numFmtId="1" xfId="0" applyAlignment="1" applyBorder="1" applyFill="1" applyFont="1" applyNumberFormat="1">
      <alignment horizontal="center" readingOrder="0"/>
    </xf>
    <xf borderId="1" fillId="0" fontId="2" numFmtId="164" xfId="0" applyBorder="1" applyFont="1" applyNumberFormat="1"/>
    <xf borderId="1" fillId="0" fontId="1" numFmtId="164" xfId="0" applyAlignment="1" applyBorder="1" applyFont="1" applyNumberFormat="1">
      <alignment horizontal="center" vertical="bottom"/>
    </xf>
    <xf borderId="1" fillId="2" fontId="1" numFmtId="1" xfId="0" applyAlignment="1" applyBorder="1" applyFill="1" applyFont="1" applyNumberFormat="1">
      <alignment horizontal="center" readingOrder="0" vertical="bottom"/>
    </xf>
    <xf borderId="1" fillId="2" fontId="1" numFmtId="164" xfId="0" applyAlignment="1" applyBorder="1" applyFill="1" applyFont="1" applyNumberFormat="1">
      <alignment horizontal="center" vertical="bottom"/>
    </xf>
    <xf borderId="1" fillId="2" fontId="1" numFmtId="0" xfId="0" applyAlignment="1" applyBorder="1" applyFill="1" applyFont="1">
      <alignment vertical="bottom"/>
    </xf>
    <xf borderId="1" fillId="2" fontId="3" numFmtId="164" xfId="0" applyAlignment="1" applyBorder="1" applyFill="1" applyFont="1" applyNumberFormat="1">
      <alignment horizontal="center" readingOrder="0"/>
    </xf>
    <xf borderId="1" fillId="2" fontId="4" numFmtId="1" xfId="0" applyAlignment="1" applyBorder="1" applyFill="1" applyFont="1" applyNumberFormat="1">
      <alignment horizontal="center" readingOrder="0" vertical="bottom"/>
    </xf>
    <xf borderId="0" fillId="0" fontId="3" numFmtId="0" xfId="0" applyAlignment="1" applyFont="1">
      <alignment readingOrder="0"/>
    </xf>
    <xf borderId="1" fillId="2" fontId="2" numFmtId="1" xfId="0" applyAlignment="1" applyBorder="1" applyFill="1" applyFont="1" applyNumberFormat="1">
      <alignment readingOrder="0"/>
    </xf>
    <xf borderId="1" fillId="2" fontId="4" numFmtId="1" xfId="0" applyAlignment="1" applyBorder="1" applyFill="1" applyFont="1" applyNumberFormat="1">
      <alignment horizontal="right" vertical="bottom"/>
    </xf>
    <xf borderId="1" fillId="2" fontId="4" numFmtId="164" xfId="0" applyAlignment="1" applyBorder="1" applyFill="1" applyFont="1" applyNumberFormat="1">
      <alignment horizontal="right" vertical="bottom"/>
    </xf>
    <xf borderId="1" fillId="2" fontId="6" numFmtId="0" xfId="0" applyAlignment="1" applyBorder="1" applyFill="1" applyFont="1">
      <alignment horizontal="center" readingOrder="0" vertical="bottom"/>
    </xf>
    <xf borderId="1" fillId="2" fontId="5" numFmtId="166" xfId="0" applyAlignment="1" applyBorder="1" applyFill="1" applyFont="1" applyNumberFormat="1">
      <alignment horizontal="center" readingOrder="0" vertical="bottom"/>
    </xf>
    <xf borderId="1" fillId="3" fontId="4" numFmtId="167" xfId="0" applyAlignment="1" applyBorder="1" applyFill="1" applyFont="1" applyNumberFormat="1">
      <alignment horizontal="right" vertical="bottom"/>
    </xf>
    <xf borderId="1" fillId="3" fontId="4" numFmtId="164" xfId="0" applyAlignment="1" applyBorder="1" applyFill="1" applyFont="1" applyNumberForma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4" numFmtId="1" xfId="0" applyAlignment="1" applyBorder="1" applyFont="1" applyNumberFormat="1">
      <alignment horizontal="right" readingOrder="0" vertical="bottom"/>
    </xf>
    <xf borderId="1" fillId="2" fontId="1" numFmtId="166" xfId="0" applyAlignment="1" applyBorder="1" applyFill="1" applyFont="1" applyNumberFormat="1">
      <alignment horizontal="center" vertical="bottom"/>
    </xf>
    <xf borderId="1" fillId="0" fontId="2" numFmtId="1" xfId="0" applyAlignment="1" applyBorder="1" applyFont="1" applyNumberFormat="1">
      <alignment readingOrder="0"/>
    </xf>
    <xf borderId="1" fillId="2" fontId="7" numFmtId="166" xfId="0" applyAlignment="1" applyBorder="1" applyFill="1" applyFont="1" applyNumberFormat="1">
      <alignment vertical="bottom"/>
    </xf>
    <xf borderId="0" fillId="0" fontId="2" numFmtId="166" xfId="0" applyFont="1" applyNumberFormat="1"/>
    <xf borderId="1" fillId="0" fontId="4" numFmtId="168" xfId="0" applyAlignment="1" applyBorder="1" applyFont="1" applyNumberFormat="1">
      <alignment vertical="bottom"/>
    </xf>
    <xf borderId="1" fillId="0" fontId="4" numFmtId="166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readingOrder="0" vertical="bottom"/>
    </xf>
    <xf borderId="1" fillId="0" fontId="4" numFmtId="166" xfId="0" applyAlignment="1" applyBorder="1" applyFont="1" applyNumberFormat="1">
      <alignment readingOrder="0" vertical="bottom"/>
    </xf>
    <xf borderId="1" fillId="0" fontId="4" numFmtId="1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0" fontId="4" numFmtId="169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9" xfId="0" applyAlignment="1" applyBorder="1" applyFont="1" applyNumberFormat="1">
      <alignment horizontal="right" vertical="bottom"/>
    </xf>
    <xf borderId="1" fillId="0" fontId="1" numFmtId="164" xfId="0" applyAlignment="1" applyBorder="1" applyFont="1" applyNumberFormat="1">
      <alignment horizontal="right" vertical="bottom"/>
    </xf>
    <xf borderId="1" fillId="3" fontId="4" numFmtId="0" xfId="0" applyAlignment="1" applyBorder="1" applyFill="1" applyFont="1">
      <alignment vertical="bottom"/>
    </xf>
    <xf borderId="1" fillId="0" fontId="4" numFmtId="0" xfId="0" applyAlignment="1" applyBorder="1" applyFont="1">
      <alignment vertical="bottom"/>
    </xf>
    <xf borderId="1" fillId="3" fontId="4" numFmtId="0" xfId="0" applyAlignment="1" applyBorder="1" applyFill="1" applyFont="1">
      <alignment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3" fontId="4" numFmtId="166" xfId="0" applyAlignment="1" applyBorder="1" applyFill="1" applyFont="1" applyNumberFormat="1">
      <alignment horizontal="right" readingOrder="0" vertical="bottom"/>
    </xf>
    <xf borderId="1" fillId="3" fontId="4" numFmtId="166" xfId="0" applyAlignment="1" applyBorder="1" applyFill="1" applyFont="1" applyNumberFormat="1">
      <alignment readingOrder="0" vertical="bottom"/>
    </xf>
    <xf borderId="0" fillId="0" fontId="2" numFmtId="0" xfId="0" applyAlignment="1" applyFont="1">
      <alignment readingOrder="0"/>
    </xf>
    <xf borderId="1" fillId="0" fontId="4" numFmtId="166" xfId="0" applyAlignment="1" applyBorder="1" applyFont="1" applyNumberFormat="1">
      <alignment horizontal="right" vertical="bottom"/>
    </xf>
    <xf borderId="1" fillId="2" fontId="1" numFmtId="166" xfId="0" applyAlignment="1" applyBorder="1" applyFill="1" applyFont="1" applyNumberFormat="1">
      <alignment horizontal="right" vertical="bottom"/>
    </xf>
    <xf borderId="1" fillId="2" fontId="4" numFmtId="0" xfId="0" applyAlignment="1" applyBorder="1" applyFill="1" applyFont="1">
      <alignment vertical="bottom"/>
    </xf>
    <xf borderId="1" fillId="0" fontId="2" numFmtId="0" xfId="0" applyBorder="1" applyFont="1"/>
    <xf borderId="1" fillId="0" fontId="3" numFmtId="164" xfId="0" applyAlignment="1" applyBorder="1" applyFont="1" applyNumberFormat="1">
      <alignment readingOrder="0"/>
    </xf>
    <xf borderId="1" fillId="3" fontId="4" numFmtId="1" xfId="0" applyAlignment="1" applyBorder="1" applyFill="1" applyFont="1" applyNumberFormat="1">
      <alignment horizontal="right" readingOrder="0" vertical="bottom"/>
    </xf>
    <xf borderId="1" fillId="2" fontId="1" numFmtId="169" xfId="0" applyAlignment="1" applyBorder="1" applyFill="1" applyFont="1" applyNumberFormat="1">
      <alignment horizontal="right" vertical="bottom"/>
    </xf>
    <xf borderId="1" fillId="0" fontId="2" numFmtId="1" xfId="0" applyAlignment="1" applyBorder="1" applyFont="1" applyNumberFormat="1">
      <alignment horizontal="right" readingOrder="0"/>
    </xf>
    <xf borderId="1" fillId="0" fontId="1" numFmtId="165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readingOrder="0" vertical="bottom"/>
    </xf>
    <xf borderId="1" fillId="0" fontId="1" numFmtId="165" xfId="0" applyAlignment="1" applyBorder="1" applyFont="1" applyNumberFormat="1">
      <alignment horizontal="right" vertical="bottom"/>
    </xf>
    <xf borderId="1" fillId="0" fontId="1" numFmtId="165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readingOrder="0"/>
    </xf>
    <xf borderId="1" fillId="0" fontId="3" numFmtId="166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readingOrder="0"/>
    </xf>
    <xf borderId="0" fillId="3" fontId="2" numFmtId="0" xfId="0" applyFill="1" applyFont="1"/>
    <xf borderId="1" fillId="2" fontId="3" numFmtId="0" xfId="0" applyAlignment="1" applyBorder="1" applyFill="1" applyFont="1">
      <alignment readingOrder="0"/>
    </xf>
    <xf borderId="1" fillId="2" fontId="3" numFmtId="0" xfId="0" applyBorder="1" applyFill="1" applyFont="1"/>
    <xf borderId="1" fillId="2" fontId="1" numFmtId="0" xfId="0" applyAlignment="1" applyBorder="1" applyFill="1" applyFont="1">
      <alignment horizontal="right" vertical="bottom"/>
    </xf>
    <xf borderId="0" fillId="0" fontId="4" numFmtId="0" xfId="0" applyAlignment="1" applyFont="1">
      <alignment vertical="bottom"/>
    </xf>
    <xf borderId="1" fillId="2" fontId="3" numFmtId="1" xfId="0" applyBorder="1" applyFill="1" applyFont="1" applyNumberFormat="1"/>
    <xf borderId="1" fillId="2" fontId="3" numFmtId="166" xfId="0" applyBorder="1" applyFill="1" applyFont="1" applyNumberFormat="1"/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right" readingOrder="0" vertical="bottom"/>
    </xf>
    <xf borderId="1" fillId="2" fontId="1" numFmtId="0" xfId="0" applyAlignment="1" applyBorder="1" applyFill="1" applyFont="1">
      <alignment horizontal="center" readingOrder="0" vertical="bottom"/>
    </xf>
    <xf borderId="1" fillId="0" fontId="1" numFmtId="166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vertical="bottom"/>
    </xf>
    <xf borderId="1" fillId="2" fontId="1" numFmtId="164" xfId="0" applyAlignment="1" applyBorder="1" applyFill="1" applyFont="1" applyNumberFormat="1">
      <alignment vertical="bottom"/>
    </xf>
    <xf borderId="1" fillId="2" fontId="1" numFmtId="164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shrinkToFit="0" vertical="bottom" wrapText="1"/>
    </xf>
    <xf borderId="0" fillId="0" fontId="2" numFmtId="169" xfId="0" applyFont="1" applyNumberFormat="1"/>
    <xf borderId="1" fillId="0" fontId="4" numFmtId="167" xfId="0" applyAlignment="1" applyBorder="1" applyFont="1" applyNumberFormat="1">
      <alignment readingOrder="0" vertical="bottom"/>
    </xf>
    <xf borderId="1" fillId="0" fontId="2" numFmtId="167" xfId="0" applyAlignment="1" applyBorder="1" applyFont="1" applyNumberFormat="1">
      <alignment readingOrder="0"/>
    </xf>
    <xf borderId="1" fillId="2" fontId="3" numFmtId="0" xfId="0" applyAlignment="1" applyBorder="1" applyFill="1" applyFont="1">
      <alignment horizontal="right" readingOrder="0"/>
    </xf>
    <xf borderId="1" fillId="2" fontId="3" numFmtId="164" xfId="0" applyBorder="1" applyFill="1" applyFont="1" applyNumberFormat="1"/>
    <xf borderId="1" fillId="2" fontId="3" numFmtId="164" xfId="0" applyBorder="1" applyFill="1" applyFont="1" applyNumberFormat="1"/>
    <xf borderId="1" fillId="0" fontId="4" numFmtId="167" xfId="0" applyAlignment="1" applyBorder="1" applyFont="1" applyNumberFormat="1">
      <alignment horizontal="left" readingOrder="0" vertical="bottom"/>
    </xf>
    <xf borderId="1" fillId="0" fontId="2" numFmtId="166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jxXkKP_xd_TbdEJ3ZZb2rn7lRYGMSsN670CuwINbH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_eNbvMgFN7CObWRv63Tn3k5DxAM_ekSMT0jQX6s52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2"/>
  <cols>
    <col customWidth="1" min="1" max="1" width="3.75"/>
    <col customWidth="1" min="2" max="2" width="34.0"/>
    <col min="4" max="6" width="12.63" outlineLevel="1"/>
    <col customWidth="1" min="8" max="8" width="23.75"/>
  </cols>
  <sheetData>
    <row r="2">
      <c r="B2" s="2" t="s">
        <v>1</v>
      </c>
      <c r="C2" s="4"/>
      <c r="D2" s="2"/>
      <c r="E2" s="4"/>
      <c r="F2" s="4"/>
      <c r="G2" s="6"/>
    </row>
    <row r="3">
      <c r="B3" s="8"/>
      <c r="C3" s="9" t="s">
        <v>7</v>
      </c>
      <c r="D3" s="9"/>
      <c r="E3" s="9"/>
      <c r="F3" s="9"/>
      <c r="G3" s="6"/>
    </row>
    <row r="4">
      <c r="B4" s="11" t="s">
        <v>11</v>
      </c>
      <c r="C4" s="13" t="s">
        <v>14</v>
      </c>
      <c r="D4" s="2" t="s">
        <v>15</v>
      </c>
      <c r="E4" s="13" t="s">
        <v>16</v>
      </c>
      <c r="F4" s="13" t="s">
        <v>17</v>
      </c>
      <c r="G4" s="6"/>
      <c r="H4" s="15" t="s">
        <v>18</v>
      </c>
      <c r="I4" s="28">
        <f>'Offline &amp; RG Community'!L34+'Social EventsTournament'!F2+'Social EventsTournament'!F3+'Corporate Events'!H4</f>
        <v>191092.32</v>
      </c>
    </row>
    <row r="5">
      <c r="B5" s="31" t="s">
        <v>29</v>
      </c>
      <c r="C5" s="38">
        <f t="shared" ref="C5:F5" si="1">sum(C6,C12)</f>
        <v>363668</v>
      </c>
      <c r="D5" s="38">
        <f t="shared" si="1"/>
        <v>91770</v>
      </c>
      <c r="E5" s="38">
        <f t="shared" si="1"/>
        <v>64907</v>
      </c>
      <c r="F5" s="38">
        <f t="shared" si="1"/>
        <v>206991</v>
      </c>
      <c r="G5" s="6"/>
      <c r="H5" s="15" t="s">
        <v>32</v>
      </c>
      <c r="I5" s="28">
        <f>I4-172960</f>
        <v>18132.32</v>
      </c>
    </row>
    <row r="6" outlineLevel="1">
      <c r="B6" s="50" t="s">
        <v>34</v>
      </c>
      <c r="C6" s="38">
        <f t="shared" ref="C6:F6" si="2">sum(C7:C11)</f>
        <v>175870</v>
      </c>
      <c r="D6" s="38">
        <f t="shared" si="2"/>
        <v>63403</v>
      </c>
      <c r="E6" s="38">
        <f t="shared" si="2"/>
        <v>43024</v>
      </c>
      <c r="F6" s="38">
        <f t="shared" si="2"/>
        <v>69443</v>
      </c>
      <c r="G6" s="6"/>
    </row>
    <row r="7" outlineLevel="2">
      <c r="B7" s="55" t="s">
        <v>37</v>
      </c>
      <c r="C7" s="8">
        <f>District!C3</f>
        <v>127314</v>
      </c>
      <c r="D7" s="58">
        <f>District!B5</f>
        <v>51713</v>
      </c>
      <c r="E7" s="8">
        <f>District!B7</f>
        <v>26245</v>
      </c>
      <c r="F7" s="8">
        <f>District!B6</f>
        <v>49356</v>
      </c>
      <c r="G7" s="6"/>
    </row>
    <row r="8" outlineLevel="2">
      <c r="B8" s="55" t="s">
        <v>41</v>
      </c>
      <c r="C8" s="8">
        <f>Hudle!C5</f>
        <v>48556</v>
      </c>
      <c r="D8" s="58">
        <f>Hudle!B7</f>
        <v>11690</v>
      </c>
      <c r="E8" s="8">
        <f>Hudle!B9</f>
        <v>16779</v>
      </c>
      <c r="F8" s="8">
        <f>Hudle!B8</f>
        <v>20087</v>
      </c>
      <c r="G8" s="6"/>
    </row>
    <row r="9" outlineLevel="2">
      <c r="B9" s="55" t="s">
        <v>42</v>
      </c>
      <c r="C9" s="61">
        <v>0.0</v>
      </c>
      <c r="D9" s="58">
        <v>0.0</v>
      </c>
      <c r="E9" s="61">
        <v>0.0</v>
      </c>
      <c r="F9" s="61">
        <v>0.0</v>
      </c>
      <c r="G9" s="6"/>
    </row>
    <row r="10" outlineLevel="2">
      <c r="B10" s="55" t="s">
        <v>43</v>
      </c>
      <c r="C10" s="61">
        <v>0.0</v>
      </c>
      <c r="D10" s="58">
        <v>0.0</v>
      </c>
      <c r="E10" s="61">
        <v>0.0</v>
      </c>
      <c r="F10" s="61">
        <v>0.0</v>
      </c>
      <c r="G10" s="6"/>
    </row>
    <row r="11" outlineLevel="2">
      <c r="B11" s="55" t="s">
        <v>44</v>
      </c>
      <c r="C11" s="61">
        <v>0.0</v>
      </c>
      <c r="D11" s="58">
        <v>0.0</v>
      </c>
      <c r="E11" s="61">
        <v>0.0</v>
      </c>
      <c r="F11" s="61">
        <v>0.0</v>
      </c>
      <c r="G11" s="6"/>
    </row>
    <row r="12" outlineLevel="1">
      <c r="B12" s="50" t="s">
        <v>45</v>
      </c>
      <c r="C12" s="38">
        <f t="shared" ref="C12:F12" si="3">sum(C13:C14)</f>
        <v>187798</v>
      </c>
      <c r="D12" s="38">
        <f t="shared" si="3"/>
        <v>28367</v>
      </c>
      <c r="E12" s="38">
        <f t="shared" si="3"/>
        <v>21883</v>
      </c>
      <c r="F12" s="38">
        <f t="shared" si="3"/>
        <v>137548</v>
      </c>
      <c r="G12" s="6"/>
    </row>
    <row r="13" outlineLevel="2">
      <c r="B13" s="61" t="s">
        <v>46</v>
      </c>
      <c r="C13" s="8">
        <f>'Offline &amp; RG Community'!E34+'Offline &amp; RG Community'!F34+'Offline &amp; RG Community'!G34</f>
        <v>137798</v>
      </c>
      <c r="D13" s="42">
        <f>'Offline &amp; RG Community'!E34</f>
        <v>28367</v>
      </c>
      <c r="E13" s="8">
        <f>'Offline &amp; RG Community'!F34</f>
        <v>21883</v>
      </c>
      <c r="F13" s="8">
        <f>'Offline &amp; RG Community'!G34</f>
        <v>87548</v>
      </c>
      <c r="G13" s="6"/>
    </row>
    <row r="14" outlineLevel="2">
      <c r="B14" s="61" t="s">
        <v>48</v>
      </c>
      <c r="C14" s="61">
        <f>Memberships!E2</f>
        <v>50000</v>
      </c>
      <c r="D14" s="58">
        <v>0.0</v>
      </c>
      <c r="E14" s="61">
        <v>0.0</v>
      </c>
      <c r="F14" s="61">
        <f>Memberships!E2</f>
        <v>50000</v>
      </c>
      <c r="G14" s="6"/>
    </row>
    <row r="15">
      <c r="B15" s="50" t="s">
        <v>49</v>
      </c>
      <c r="C15" s="38">
        <f t="shared" ref="C15:F15" si="4">sum(C16:C17)</f>
        <v>34560</v>
      </c>
      <c r="D15" s="38">
        <f t="shared" si="4"/>
        <v>0</v>
      </c>
      <c r="E15" s="38">
        <f t="shared" si="4"/>
        <v>0</v>
      </c>
      <c r="F15" s="38">
        <f t="shared" si="4"/>
        <v>34560</v>
      </c>
      <c r="G15" s="6"/>
    </row>
    <row r="16" outlineLevel="1">
      <c r="B16" s="61" t="s">
        <v>50</v>
      </c>
      <c r="C16" s="61">
        <v>0.0</v>
      </c>
      <c r="D16" s="58">
        <v>0.0</v>
      </c>
      <c r="E16" s="61">
        <v>0.0</v>
      </c>
      <c r="F16" s="61">
        <v>0.0</v>
      </c>
      <c r="G16" s="6"/>
    </row>
    <row r="17" outlineLevel="1">
      <c r="B17" s="61" t="s">
        <v>51</v>
      </c>
      <c r="C17" s="8">
        <f>'Social EventsTournament'!D4</f>
        <v>34560</v>
      </c>
      <c r="D17" s="58">
        <v>0.0</v>
      </c>
      <c r="E17" s="61">
        <v>0.0</v>
      </c>
      <c r="F17" s="61">
        <f>'Social EventsTournament'!D4</f>
        <v>34560</v>
      </c>
      <c r="G17" s="6"/>
    </row>
    <row r="18">
      <c r="B18" s="50" t="s">
        <v>52</v>
      </c>
      <c r="C18" s="62">
        <f>Academy!D2</f>
        <v>47200</v>
      </c>
      <c r="D18" s="62">
        <v>0.0</v>
      </c>
      <c r="E18" s="62">
        <v>0.0</v>
      </c>
      <c r="F18" s="62">
        <f>Academy!D2</f>
        <v>47200</v>
      </c>
      <c r="G18" s="6"/>
    </row>
    <row r="19">
      <c r="B19" s="50" t="s">
        <v>53</v>
      </c>
      <c r="C19" s="38">
        <f t="shared" ref="C19:D19" si="5">sum(C20,C21)</f>
        <v>98663</v>
      </c>
      <c r="D19" s="38">
        <f t="shared" si="5"/>
        <v>41202.5</v>
      </c>
      <c r="E19" s="38">
        <f>sum(E20)</f>
        <v>0</v>
      </c>
      <c r="F19" s="38">
        <f>sum(F20,F21)</f>
        <v>57460.5</v>
      </c>
      <c r="G19" s="6"/>
    </row>
    <row r="20" outlineLevel="1">
      <c r="B20" s="61" t="s">
        <v>54</v>
      </c>
      <c r="C20" s="61">
        <f>'Corporate Events'!F5</f>
        <v>83663</v>
      </c>
      <c r="D20" s="58">
        <f>'Corporate Events'!F4+'Corporate Events'!F3/2</f>
        <v>41202.5</v>
      </c>
      <c r="E20" s="61">
        <v>0.0</v>
      </c>
      <c r="F20" s="61">
        <f>'Corporate Events'!F2+'Corporate Events'!F3/2</f>
        <v>42460.5</v>
      </c>
      <c r="G20" s="6"/>
    </row>
    <row r="21" outlineLevel="1">
      <c r="B21" s="61" t="s">
        <v>59</v>
      </c>
      <c r="C21" s="61">
        <f>B2B!D2</f>
        <v>15000</v>
      </c>
      <c r="D21" s="58">
        <v>0.0</v>
      </c>
      <c r="E21" s="61">
        <v>0.0</v>
      </c>
      <c r="F21" s="61">
        <f>B2B!D2</f>
        <v>15000</v>
      </c>
      <c r="G21" s="6"/>
    </row>
    <row r="22">
      <c r="B22" s="50" t="s">
        <v>61</v>
      </c>
      <c r="C22" s="38">
        <f t="shared" ref="C22:F22" si="6">sum(C23:C25)</f>
        <v>19150</v>
      </c>
      <c r="D22" s="38">
        <f t="shared" si="6"/>
        <v>12225</v>
      </c>
      <c r="E22" s="38">
        <f t="shared" si="6"/>
        <v>6925</v>
      </c>
      <c r="F22" s="38">
        <f t="shared" si="6"/>
        <v>0</v>
      </c>
      <c r="G22" s="6"/>
    </row>
    <row r="23" outlineLevel="1">
      <c r="B23" s="61" t="s">
        <v>67</v>
      </c>
      <c r="C23" s="8">
        <f>'Offline &amp; RG Community'!H34+'Offline &amp; RG Community'!I34-1200</f>
        <v>17950</v>
      </c>
      <c r="D23" s="58">
        <f>'Offline &amp; RG Community'!H34</f>
        <v>12225</v>
      </c>
      <c r="E23" s="61">
        <f>'Offline &amp; RG Community'!I34-1200</f>
        <v>5725</v>
      </c>
      <c r="F23" s="61">
        <v>0.0</v>
      </c>
      <c r="G23" s="6"/>
    </row>
    <row r="24" outlineLevel="1">
      <c r="B24" s="61" t="s">
        <v>72</v>
      </c>
      <c r="C24" s="61">
        <f>600+600</f>
        <v>1200</v>
      </c>
      <c r="D24" s="58">
        <v>0.0</v>
      </c>
      <c r="E24" s="61">
        <v>1200.0</v>
      </c>
      <c r="F24" s="61">
        <v>0.0</v>
      </c>
      <c r="G24" s="6"/>
    </row>
    <row r="25" outlineLevel="1">
      <c r="B25" s="61" t="s">
        <v>73</v>
      </c>
      <c r="C25" s="61">
        <v>0.0</v>
      </c>
      <c r="D25" s="58">
        <v>0.0</v>
      </c>
      <c r="E25" s="61">
        <v>0.0</v>
      </c>
      <c r="F25" s="61">
        <v>0.0</v>
      </c>
      <c r="G25" s="6"/>
    </row>
    <row r="26">
      <c r="B26" s="76" t="s">
        <v>74</v>
      </c>
      <c r="C26" s="62">
        <v>0.0</v>
      </c>
      <c r="D26" s="62">
        <v>0.0</v>
      </c>
      <c r="E26" s="62">
        <v>0.0</v>
      </c>
      <c r="F26" s="62">
        <v>0.0</v>
      </c>
      <c r="G26" s="6"/>
    </row>
    <row r="27">
      <c r="B27" s="77" t="s">
        <v>75</v>
      </c>
      <c r="C27" s="78">
        <f>sum(C5,C15,C18,C19,C22)</f>
        <v>563241</v>
      </c>
      <c r="D27" s="78">
        <f t="shared" ref="D27:F27" si="7">D5+D15+D22+D18+D19+D26</f>
        <v>145197.5</v>
      </c>
      <c r="E27" s="78">
        <f t="shared" si="7"/>
        <v>71832</v>
      </c>
      <c r="F27" s="78">
        <f t="shared" si="7"/>
        <v>346211.5</v>
      </c>
      <c r="G27" s="6"/>
    </row>
    <row r="28">
      <c r="B28" s="79" t="s">
        <v>76</v>
      </c>
      <c r="C28" s="50">
        <f>'Offline &amp; RG Community'!L34+District!F3+Hudle!E5+Memberships!G2+B2B!D2+Academy!D2+'Social EventsTournament'!F4+'Corporate Events'!H5</f>
        <v>543571.32</v>
      </c>
      <c r="D28" s="62"/>
      <c r="E28" s="62"/>
      <c r="F28" s="62"/>
      <c r="G28" s="6"/>
    </row>
    <row r="29">
      <c r="B29" s="76" t="s">
        <v>77</v>
      </c>
      <c r="C29" s="38">
        <f>C28/1.18</f>
        <v>460653.661</v>
      </c>
      <c r="D29" s="38"/>
      <c r="E29" s="38"/>
      <c r="F29" s="38"/>
      <c r="G29" s="6"/>
    </row>
    <row r="30">
      <c r="B30" s="61" t="s">
        <v>78</v>
      </c>
      <c r="C30" s="8">
        <f>C29*60%</f>
        <v>276392.1966</v>
      </c>
      <c r="D30" s="8"/>
      <c r="E30" s="8"/>
      <c r="F30" s="8"/>
    </row>
    <row r="31">
      <c r="B31" s="61" t="s">
        <v>80</v>
      </c>
      <c r="C31" s="8">
        <f>C29*40%</f>
        <v>184261.4644</v>
      </c>
      <c r="D31" s="8"/>
      <c r="E31" s="8"/>
      <c r="F31" s="8"/>
    </row>
    <row r="32">
      <c r="C32" s="80"/>
    </row>
    <row r="33">
      <c r="C33" s="80"/>
    </row>
    <row r="34">
      <c r="C34" s="80"/>
    </row>
    <row r="35">
      <c r="C35" s="80"/>
    </row>
    <row r="36">
      <c r="C36" s="80"/>
    </row>
    <row r="37">
      <c r="C37" s="80"/>
    </row>
    <row r="38">
      <c r="C38" s="8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2"/>
  <cols>
    <col customWidth="1" min="1" max="1" width="15.13"/>
    <col customWidth="1" min="3" max="3" width="18.25"/>
    <col customWidth="1" min="4" max="4" width="13.25"/>
    <col customWidth="1" min="5" max="5" width="15.13"/>
    <col customWidth="1" min="6" max="7" width="17.63"/>
    <col customWidth="1" min="11" max="11" width="15.25"/>
  </cols>
  <sheetData>
    <row r="1">
      <c r="A1" s="1" t="s">
        <v>0</v>
      </c>
      <c r="B1" s="1" t="s">
        <v>2</v>
      </c>
      <c r="C1" s="3" t="s">
        <v>3</v>
      </c>
      <c r="D1" s="1" t="s">
        <v>5</v>
      </c>
      <c r="E1" s="5"/>
      <c r="F1" s="7" t="s">
        <v>6</v>
      </c>
      <c r="G1" s="1"/>
      <c r="H1" s="1" t="s">
        <v>8</v>
      </c>
      <c r="I1" s="10" t="s">
        <v>9</v>
      </c>
      <c r="J1" s="1" t="s">
        <v>10</v>
      </c>
      <c r="K1" s="12" t="s">
        <v>12</v>
      </c>
      <c r="L1" s="12" t="s">
        <v>13</v>
      </c>
    </row>
    <row r="2">
      <c r="A2" s="14"/>
      <c r="B2" s="14"/>
      <c r="C2" s="14"/>
      <c r="D2" s="14"/>
      <c r="E2" s="7" t="s">
        <v>15</v>
      </c>
      <c r="F2" s="7" t="s">
        <v>16</v>
      </c>
      <c r="G2" s="7" t="s">
        <v>17</v>
      </c>
      <c r="H2" s="16"/>
      <c r="I2" s="16"/>
      <c r="J2" s="17"/>
      <c r="K2" s="18"/>
      <c r="L2" s="18"/>
    </row>
    <row r="3">
      <c r="A3" s="21">
        <v>46143.0</v>
      </c>
      <c r="B3" s="22" t="s">
        <v>19</v>
      </c>
      <c r="C3" s="24">
        <v>3.0</v>
      </c>
      <c r="D3" s="24" t="s">
        <v>21</v>
      </c>
      <c r="E3" s="26">
        <v>399.0</v>
      </c>
      <c r="F3" s="26">
        <v>0.0</v>
      </c>
      <c r="G3" s="26">
        <v>3999.0</v>
      </c>
      <c r="H3" s="26">
        <v>200.0</v>
      </c>
      <c r="I3" s="26">
        <v>500.0</v>
      </c>
      <c r="J3" s="33">
        <f t="shared" ref="J3:J33" si="1">sum(E3:I3)</f>
        <v>5098</v>
      </c>
      <c r="K3" s="36">
        <f t="shared" ref="K3:K33" si="2">J3*1.75%</f>
        <v>89.215</v>
      </c>
      <c r="L3" s="42">
        <f t="shared" ref="L3:L33" si="3">J3-K3</f>
        <v>5008.785</v>
      </c>
    </row>
    <row r="4">
      <c r="A4" s="21">
        <v>46144.0</v>
      </c>
      <c r="B4" s="22" t="s">
        <v>33</v>
      </c>
      <c r="C4" s="24">
        <v>7.0</v>
      </c>
      <c r="D4" s="24" t="s">
        <v>21</v>
      </c>
      <c r="E4" s="26">
        <v>600.0</v>
      </c>
      <c r="F4" s="45">
        <v>0.0</v>
      </c>
      <c r="G4" s="26">
        <v>10956.0</v>
      </c>
      <c r="H4" s="26">
        <v>650.0</v>
      </c>
      <c r="I4" s="24">
        <v>0.0</v>
      </c>
      <c r="J4" s="33">
        <f t="shared" si="1"/>
        <v>12206</v>
      </c>
      <c r="K4" s="36">
        <f t="shared" si="2"/>
        <v>213.605</v>
      </c>
      <c r="L4" s="42">
        <f t="shared" si="3"/>
        <v>11992.395</v>
      </c>
    </row>
    <row r="5">
      <c r="A5" s="21">
        <v>46145.0</v>
      </c>
      <c r="B5" s="22" t="s">
        <v>35</v>
      </c>
      <c r="C5" s="51">
        <v>4.5</v>
      </c>
      <c r="D5" s="24" t="s">
        <v>21</v>
      </c>
      <c r="E5" s="26">
        <v>0.0</v>
      </c>
      <c r="F5" s="26">
        <v>1452.0</v>
      </c>
      <c r="G5" s="26">
        <v>7842.0</v>
      </c>
      <c r="H5" s="26">
        <v>300.0</v>
      </c>
      <c r="I5" s="24">
        <v>375.0</v>
      </c>
      <c r="J5" s="33">
        <f t="shared" si="1"/>
        <v>9969</v>
      </c>
      <c r="K5" s="36">
        <f t="shared" si="2"/>
        <v>174.4575</v>
      </c>
      <c r="L5" s="42">
        <f t="shared" si="3"/>
        <v>9794.5425</v>
      </c>
    </row>
    <row r="6">
      <c r="A6" s="21">
        <v>46146.0</v>
      </c>
      <c r="B6" s="22" t="s">
        <v>36</v>
      </c>
      <c r="C6" s="53">
        <v>5.0</v>
      </c>
      <c r="D6" s="24" t="s">
        <v>21</v>
      </c>
      <c r="E6" s="26">
        <v>2399.0</v>
      </c>
      <c r="F6" s="26">
        <v>2176.0</v>
      </c>
      <c r="G6" s="26">
        <v>0.0</v>
      </c>
      <c r="H6" s="26">
        <v>100.0</v>
      </c>
      <c r="I6" s="24">
        <v>225.0</v>
      </c>
      <c r="J6" s="33">
        <f t="shared" si="1"/>
        <v>4900</v>
      </c>
      <c r="K6" s="36">
        <f t="shared" si="2"/>
        <v>85.75</v>
      </c>
      <c r="L6" s="42">
        <f t="shared" si="3"/>
        <v>4814.25</v>
      </c>
    </row>
    <row r="7">
      <c r="A7" s="21">
        <v>46147.0</v>
      </c>
      <c r="B7" s="22" t="s">
        <v>38</v>
      </c>
      <c r="C7" s="53">
        <v>1.5</v>
      </c>
      <c r="D7" s="24" t="s">
        <v>21</v>
      </c>
      <c r="E7" s="26">
        <v>400.0</v>
      </c>
      <c r="F7" s="26">
        <v>1050.0</v>
      </c>
      <c r="G7" s="26">
        <v>0.0</v>
      </c>
      <c r="H7" s="26">
        <v>300.0</v>
      </c>
      <c r="I7" s="24">
        <v>400.0</v>
      </c>
      <c r="J7" s="33">
        <f t="shared" si="1"/>
        <v>2150</v>
      </c>
      <c r="K7" s="36">
        <f t="shared" si="2"/>
        <v>37.625</v>
      </c>
      <c r="L7" s="42">
        <f t="shared" si="3"/>
        <v>2112.375</v>
      </c>
    </row>
    <row r="8">
      <c r="A8" s="21">
        <v>46148.0</v>
      </c>
      <c r="B8" s="22" t="s">
        <v>39</v>
      </c>
      <c r="C8" s="53">
        <v>6.0</v>
      </c>
      <c r="D8" s="24" t="s">
        <v>21</v>
      </c>
      <c r="E8" s="26">
        <v>2496.0</v>
      </c>
      <c r="F8" s="26">
        <v>0.0</v>
      </c>
      <c r="G8" s="26">
        <v>5697.0</v>
      </c>
      <c r="H8" s="26">
        <v>200.0</v>
      </c>
      <c r="I8" s="24">
        <v>0.0</v>
      </c>
      <c r="J8" s="33">
        <f t="shared" si="1"/>
        <v>8393</v>
      </c>
      <c r="K8" s="36">
        <f t="shared" si="2"/>
        <v>146.8775</v>
      </c>
      <c r="L8" s="42">
        <f t="shared" si="3"/>
        <v>8246.1225</v>
      </c>
    </row>
    <row r="9">
      <c r="A9" s="21">
        <v>46149.0</v>
      </c>
      <c r="B9" s="22" t="s">
        <v>40</v>
      </c>
      <c r="C9" s="53">
        <v>4.5</v>
      </c>
      <c r="D9" s="24" t="s">
        <v>21</v>
      </c>
      <c r="E9" s="26">
        <v>1800.0</v>
      </c>
      <c r="F9" s="26">
        <v>1575.0</v>
      </c>
      <c r="G9" s="26">
        <v>0.0</v>
      </c>
      <c r="H9" s="26">
        <v>650.0</v>
      </c>
      <c r="I9" s="26">
        <v>275.0</v>
      </c>
      <c r="J9" s="33">
        <f t="shared" si="1"/>
        <v>4300</v>
      </c>
      <c r="K9" s="36">
        <f t="shared" si="2"/>
        <v>75.25</v>
      </c>
      <c r="L9" s="42">
        <f t="shared" si="3"/>
        <v>4224.75</v>
      </c>
    </row>
    <row r="10">
      <c r="A10" s="21">
        <v>46150.0</v>
      </c>
      <c r="B10" s="22" t="s">
        <v>19</v>
      </c>
      <c r="C10" s="53">
        <v>7.0</v>
      </c>
      <c r="D10" s="24" t="s">
        <v>21</v>
      </c>
      <c r="E10" s="26">
        <v>3000.0</v>
      </c>
      <c r="F10" s="26">
        <v>0.0</v>
      </c>
      <c r="G10" s="26">
        <v>5547.0</v>
      </c>
      <c r="H10" s="26">
        <v>700.0</v>
      </c>
      <c r="I10" s="24">
        <v>0.0</v>
      </c>
      <c r="J10" s="33">
        <f t="shared" si="1"/>
        <v>9247</v>
      </c>
      <c r="K10" s="36">
        <f t="shared" si="2"/>
        <v>161.8225</v>
      </c>
      <c r="L10" s="42">
        <f t="shared" si="3"/>
        <v>9085.1775</v>
      </c>
    </row>
    <row r="11">
      <c r="A11" s="21">
        <v>46151.0</v>
      </c>
      <c r="B11" s="22" t="s">
        <v>33</v>
      </c>
      <c r="C11" s="53">
        <v>7.5</v>
      </c>
      <c r="D11" s="24" t="s">
        <v>21</v>
      </c>
      <c r="E11" s="26">
        <v>1600.0</v>
      </c>
      <c r="F11" s="26">
        <v>0.0</v>
      </c>
      <c r="G11" s="26">
        <v>10195.0</v>
      </c>
      <c r="H11" s="26">
        <v>900.0</v>
      </c>
      <c r="I11" s="26">
        <v>200.0</v>
      </c>
      <c r="J11" s="33">
        <f t="shared" si="1"/>
        <v>12895</v>
      </c>
      <c r="K11" s="36">
        <f t="shared" si="2"/>
        <v>225.6625</v>
      </c>
      <c r="L11" s="42">
        <f t="shared" si="3"/>
        <v>12669.3375</v>
      </c>
    </row>
    <row r="12">
      <c r="A12" s="21">
        <v>46152.0</v>
      </c>
      <c r="B12" s="22" t="s">
        <v>35</v>
      </c>
      <c r="C12" s="53">
        <v>6.0</v>
      </c>
      <c r="D12" s="24" t="s">
        <v>21</v>
      </c>
      <c r="E12" s="26">
        <v>2397.0</v>
      </c>
      <c r="F12" s="26">
        <v>0.0</v>
      </c>
      <c r="G12" s="26">
        <v>3000.0</v>
      </c>
      <c r="H12" s="26">
        <v>1050.0</v>
      </c>
      <c r="I12" s="24">
        <v>300.0</v>
      </c>
      <c r="J12" s="33">
        <f t="shared" si="1"/>
        <v>6747</v>
      </c>
      <c r="K12" s="36">
        <f t="shared" si="2"/>
        <v>118.0725</v>
      </c>
      <c r="L12" s="42">
        <f t="shared" si="3"/>
        <v>6628.9275</v>
      </c>
    </row>
    <row r="13">
      <c r="A13" s="21">
        <v>46153.0</v>
      </c>
      <c r="B13" s="22" t="s">
        <v>36</v>
      </c>
      <c r="C13" s="53">
        <v>6.0</v>
      </c>
      <c r="D13" s="24" t="s">
        <v>21</v>
      </c>
      <c r="E13" s="26">
        <v>2298.0</v>
      </c>
      <c r="F13" s="26">
        <v>2200.0</v>
      </c>
      <c r="G13" s="26">
        <v>3230.0</v>
      </c>
      <c r="H13" s="26">
        <f>550+600</f>
        <v>1150</v>
      </c>
      <c r="I13" s="24">
        <v>750.0</v>
      </c>
      <c r="J13" s="33">
        <f t="shared" si="1"/>
        <v>9628</v>
      </c>
      <c r="K13" s="36">
        <f t="shared" si="2"/>
        <v>168.49</v>
      </c>
      <c r="L13" s="42">
        <f t="shared" si="3"/>
        <v>9459.51</v>
      </c>
    </row>
    <row r="14">
      <c r="A14" s="21">
        <v>46154.0</v>
      </c>
      <c r="B14" s="22" t="s">
        <v>38</v>
      </c>
      <c r="C14" s="53">
        <v>2.5</v>
      </c>
      <c r="D14" s="24" t="s">
        <v>21</v>
      </c>
      <c r="E14" s="26">
        <v>1501.0</v>
      </c>
      <c r="F14" s="26">
        <v>0.0</v>
      </c>
      <c r="G14" s="26">
        <v>0.0</v>
      </c>
      <c r="H14" s="26">
        <v>100.0</v>
      </c>
      <c r="I14" s="24">
        <v>0.0</v>
      </c>
      <c r="J14" s="33">
        <f t="shared" si="1"/>
        <v>1601</v>
      </c>
      <c r="K14" s="36">
        <f t="shared" si="2"/>
        <v>28.0175</v>
      </c>
      <c r="L14" s="42">
        <f t="shared" si="3"/>
        <v>1572.9825</v>
      </c>
    </row>
    <row r="15">
      <c r="A15" s="21">
        <v>46155.0</v>
      </c>
      <c r="B15" s="22" t="s">
        <v>39</v>
      </c>
      <c r="C15" s="53">
        <v>2.0</v>
      </c>
      <c r="D15" s="24" t="s">
        <v>21</v>
      </c>
      <c r="E15" s="26">
        <v>0.0</v>
      </c>
      <c r="F15" s="26">
        <v>0.0</v>
      </c>
      <c r="G15" s="26">
        <v>3000.0</v>
      </c>
      <c r="H15" s="26">
        <v>225.0</v>
      </c>
      <c r="I15" s="24">
        <v>300.0</v>
      </c>
      <c r="J15" s="33">
        <f t="shared" si="1"/>
        <v>3525</v>
      </c>
      <c r="K15" s="36">
        <f t="shared" si="2"/>
        <v>61.6875</v>
      </c>
      <c r="L15" s="42">
        <f t="shared" si="3"/>
        <v>3463.3125</v>
      </c>
    </row>
    <row r="16">
      <c r="A16" s="21">
        <v>46156.0</v>
      </c>
      <c r="B16" s="22" t="s">
        <v>40</v>
      </c>
      <c r="C16" s="53">
        <v>0.0</v>
      </c>
      <c r="D16" s="24" t="s">
        <v>21</v>
      </c>
      <c r="E16" s="26">
        <v>0.0</v>
      </c>
      <c r="F16" s="26">
        <v>0.0</v>
      </c>
      <c r="G16" s="26">
        <v>0.0</v>
      </c>
      <c r="H16" s="26">
        <v>0.0</v>
      </c>
      <c r="I16" s="24">
        <v>200.0</v>
      </c>
      <c r="J16" s="33">
        <f t="shared" si="1"/>
        <v>200</v>
      </c>
      <c r="K16" s="36">
        <f t="shared" si="2"/>
        <v>3.5</v>
      </c>
      <c r="L16" s="42">
        <f t="shared" si="3"/>
        <v>196.5</v>
      </c>
      <c r="M16" s="45" t="s">
        <v>47</v>
      </c>
    </row>
    <row r="17">
      <c r="A17" s="21">
        <v>46157.0</v>
      </c>
      <c r="B17" s="22" t="s">
        <v>19</v>
      </c>
      <c r="C17" s="53">
        <v>4.0</v>
      </c>
      <c r="D17" s="24" t="s">
        <v>21</v>
      </c>
      <c r="E17" s="26">
        <v>1200.0</v>
      </c>
      <c r="F17" s="26">
        <v>0.0</v>
      </c>
      <c r="G17" s="26">
        <v>270.0</v>
      </c>
      <c r="H17" s="26">
        <v>300.0</v>
      </c>
      <c r="I17" s="24">
        <v>100.0</v>
      </c>
      <c r="J17" s="33">
        <f t="shared" si="1"/>
        <v>1870</v>
      </c>
      <c r="K17" s="36">
        <f t="shared" si="2"/>
        <v>32.725</v>
      </c>
      <c r="L17" s="42">
        <f t="shared" si="3"/>
        <v>1837.275</v>
      </c>
    </row>
    <row r="18">
      <c r="A18" s="21">
        <v>46158.0</v>
      </c>
      <c r="B18" s="22" t="s">
        <v>33</v>
      </c>
      <c r="C18" s="53">
        <v>5.0</v>
      </c>
      <c r="D18" s="24" t="s">
        <v>21</v>
      </c>
      <c r="E18" s="26">
        <v>400.0</v>
      </c>
      <c r="F18" s="26">
        <v>0.0</v>
      </c>
      <c r="G18" s="26">
        <v>6950.0</v>
      </c>
      <c r="H18" s="26">
        <v>0.0</v>
      </c>
      <c r="I18" s="24">
        <v>750.0</v>
      </c>
      <c r="J18" s="33">
        <f t="shared" si="1"/>
        <v>8100</v>
      </c>
      <c r="K18" s="36">
        <f t="shared" si="2"/>
        <v>141.75</v>
      </c>
      <c r="L18" s="42">
        <f t="shared" si="3"/>
        <v>7958.25</v>
      </c>
    </row>
    <row r="19">
      <c r="A19" s="21">
        <v>46159.0</v>
      </c>
      <c r="B19" s="22" t="s">
        <v>35</v>
      </c>
      <c r="C19" s="53">
        <v>0.0</v>
      </c>
      <c r="D19" s="24" t="s">
        <v>21</v>
      </c>
      <c r="E19" s="26">
        <v>0.0</v>
      </c>
      <c r="F19" s="26">
        <v>0.0</v>
      </c>
      <c r="G19" s="26">
        <v>0.0</v>
      </c>
      <c r="H19" s="26">
        <v>150.0</v>
      </c>
      <c r="I19" s="24">
        <v>200.0</v>
      </c>
      <c r="J19" s="33">
        <f t="shared" si="1"/>
        <v>350</v>
      </c>
      <c r="K19" s="36">
        <f t="shared" si="2"/>
        <v>6.125</v>
      </c>
      <c r="L19" s="42">
        <f t="shared" si="3"/>
        <v>343.875</v>
      </c>
    </row>
    <row r="20">
      <c r="A20" s="21">
        <v>46160.0</v>
      </c>
      <c r="B20" s="22" t="s">
        <v>36</v>
      </c>
      <c r="C20" s="53">
        <v>2.0</v>
      </c>
      <c r="D20" s="24" t="s">
        <v>21</v>
      </c>
      <c r="E20" s="26">
        <v>0.0</v>
      </c>
      <c r="F20" s="26">
        <v>1400.0</v>
      </c>
      <c r="G20" s="26">
        <v>3230.0</v>
      </c>
      <c r="H20" s="26">
        <v>150.0</v>
      </c>
      <c r="I20" s="24">
        <v>0.0</v>
      </c>
      <c r="J20" s="33">
        <f t="shared" si="1"/>
        <v>4780</v>
      </c>
      <c r="K20" s="36">
        <f t="shared" si="2"/>
        <v>83.65</v>
      </c>
      <c r="L20" s="42">
        <f t="shared" si="3"/>
        <v>4696.35</v>
      </c>
    </row>
    <row r="21">
      <c r="A21" s="21">
        <v>46161.0</v>
      </c>
      <c r="B21" s="22" t="s">
        <v>38</v>
      </c>
      <c r="C21" s="53">
        <v>4.0</v>
      </c>
      <c r="D21" s="24" t="s">
        <v>21</v>
      </c>
      <c r="E21" s="26">
        <v>1362.0</v>
      </c>
      <c r="F21" s="26">
        <v>2075.0</v>
      </c>
      <c r="G21" s="26">
        <v>0.0</v>
      </c>
      <c r="H21" s="26">
        <v>200.0</v>
      </c>
      <c r="I21" s="24">
        <v>400.0</v>
      </c>
      <c r="J21" s="33">
        <f t="shared" si="1"/>
        <v>4037</v>
      </c>
      <c r="K21" s="36">
        <f t="shared" si="2"/>
        <v>70.6475</v>
      </c>
      <c r="L21" s="42">
        <f t="shared" si="3"/>
        <v>3966.3525</v>
      </c>
    </row>
    <row r="22">
      <c r="A22" s="21">
        <v>46162.0</v>
      </c>
      <c r="B22" s="22" t="s">
        <v>39</v>
      </c>
      <c r="C22" s="53">
        <v>1.5</v>
      </c>
      <c r="D22" s="24" t="s">
        <v>21</v>
      </c>
      <c r="E22" s="26">
        <v>0.0</v>
      </c>
      <c r="F22" s="26">
        <v>0.0</v>
      </c>
      <c r="G22" s="26">
        <v>2500.0</v>
      </c>
      <c r="H22" s="26">
        <v>150.0</v>
      </c>
      <c r="I22" s="24">
        <v>300.0</v>
      </c>
      <c r="J22" s="33">
        <f t="shared" si="1"/>
        <v>2950</v>
      </c>
      <c r="K22" s="36">
        <f t="shared" si="2"/>
        <v>51.625</v>
      </c>
      <c r="L22" s="42">
        <f t="shared" si="3"/>
        <v>2898.375</v>
      </c>
    </row>
    <row r="23">
      <c r="A23" s="21">
        <v>46163.0</v>
      </c>
      <c r="B23" s="22" t="s">
        <v>40</v>
      </c>
      <c r="C23" s="53">
        <v>0.0</v>
      </c>
      <c r="D23" s="24" t="s">
        <v>21</v>
      </c>
      <c r="E23" s="26">
        <v>0.0</v>
      </c>
      <c r="F23" s="26">
        <v>0.0</v>
      </c>
      <c r="G23" s="26">
        <v>0.0</v>
      </c>
      <c r="H23" s="26">
        <v>650.0</v>
      </c>
      <c r="I23" s="24">
        <v>75.0</v>
      </c>
      <c r="J23" s="33">
        <f t="shared" si="1"/>
        <v>725</v>
      </c>
      <c r="K23" s="36">
        <f t="shared" si="2"/>
        <v>12.6875</v>
      </c>
      <c r="L23" s="42">
        <f t="shared" si="3"/>
        <v>712.3125</v>
      </c>
    </row>
    <row r="24">
      <c r="A24" s="21">
        <v>46164.0</v>
      </c>
      <c r="B24" s="22" t="s">
        <v>19</v>
      </c>
      <c r="C24" s="53">
        <v>5.0</v>
      </c>
      <c r="D24" s="24" t="s">
        <v>21</v>
      </c>
      <c r="E24" s="26">
        <v>3080.0</v>
      </c>
      <c r="F24" s="26">
        <v>0.0</v>
      </c>
      <c r="G24" s="26">
        <v>0.0</v>
      </c>
      <c r="H24" s="26">
        <v>1250.0</v>
      </c>
      <c r="I24" s="24">
        <v>450.0</v>
      </c>
      <c r="J24" s="33">
        <f t="shared" si="1"/>
        <v>4780</v>
      </c>
      <c r="K24" s="36">
        <f t="shared" si="2"/>
        <v>83.65</v>
      </c>
      <c r="L24" s="42">
        <f t="shared" si="3"/>
        <v>4696.35</v>
      </c>
    </row>
    <row r="25">
      <c r="A25" s="21">
        <v>46165.0</v>
      </c>
      <c r="B25" s="22" t="s">
        <v>33</v>
      </c>
      <c r="C25" s="53">
        <v>4.0</v>
      </c>
      <c r="D25" s="24" t="s">
        <v>21</v>
      </c>
      <c r="E25" s="26">
        <v>945.0</v>
      </c>
      <c r="F25" s="26">
        <v>0.0</v>
      </c>
      <c r="G25" s="26">
        <v>8190.0</v>
      </c>
      <c r="H25" s="26">
        <v>800.0</v>
      </c>
      <c r="I25" s="24">
        <v>0.0</v>
      </c>
      <c r="J25" s="33">
        <f t="shared" si="1"/>
        <v>9935</v>
      </c>
      <c r="K25" s="36">
        <f t="shared" si="2"/>
        <v>173.8625</v>
      </c>
      <c r="L25" s="42">
        <f t="shared" si="3"/>
        <v>9761.1375</v>
      </c>
    </row>
    <row r="26">
      <c r="A26" s="21">
        <v>46166.0</v>
      </c>
      <c r="B26" s="22" t="s">
        <v>35</v>
      </c>
      <c r="C26" s="53">
        <v>0.0</v>
      </c>
      <c r="D26" s="24" t="s">
        <v>21</v>
      </c>
      <c r="E26" s="26">
        <v>0.0</v>
      </c>
      <c r="F26" s="26">
        <v>0.0</v>
      </c>
      <c r="G26" s="26">
        <v>0.0</v>
      </c>
      <c r="H26" s="26">
        <v>0.0</v>
      </c>
      <c r="I26" s="24">
        <v>0.0</v>
      </c>
      <c r="J26" s="33">
        <f t="shared" si="1"/>
        <v>0</v>
      </c>
      <c r="K26" s="36">
        <f t="shared" si="2"/>
        <v>0</v>
      </c>
      <c r="L26" s="42">
        <f t="shared" si="3"/>
        <v>0</v>
      </c>
    </row>
    <row r="27">
      <c r="A27" s="21">
        <v>46167.0</v>
      </c>
      <c r="B27" s="22" t="s">
        <v>36</v>
      </c>
      <c r="C27" s="53">
        <v>2.0</v>
      </c>
      <c r="D27" s="24" t="s">
        <v>21</v>
      </c>
      <c r="E27" s="26">
        <v>1090.0</v>
      </c>
      <c r="F27" s="26">
        <v>0.0</v>
      </c>
      <c r="G27" s="26">
        <v>0.0</v>
      </c>
      <c r="H27" s="26">
        <v>950.0</v>
      </c>
      <c r="I27" s="24">
        <v>0.0</v>
      </c>
      <c r="J27" s="33">
        <f t="shared" si="1"/>
        <v>2040</v>
      </c>
      <c r="K27" s="36">
        <f t="shared" si="2"/>
        <v>35.7</v>
      </c>
      <c r="L27" s="42">
        <f t="shared" si="3"/>
        <v>2004.3</v>
      </c>
    </row>
    <row r="28">
      <c r="A28" s="21">
        <v>46168.0</v>
      </c>
      <c r="B28" s="22" t="s">
        <v>38</v>
      </c>
      <c r="C28" s="53">
        <v>3.0</v>
      </c>
      <c r="D28" s="24" t="s">
        <v>21</v>
      </c>
      <c r="E28" s="26">
        <v>0.0</v>
      </c>
      <c r="F28" s="26">
        <v>1800.0</v>
      </c>
      <c r="G28" s="26">
        <v>2247.0</v>
      </c>
      <c r="H28" s="26">
        <v>250.0</v>
      </c>
      <c r="I28" s="24">
        <v>0.0</v>
      </c>
      <c r="J28" s="33">
        <f t="shared" si="1"/>
        <v>4297</v>
      </c>
      <c r="K28" s="36">
        <f t="shared" si="2"/>
        <v>75.1975</v>
      </c>
      <c r="L28" s="42">
        <f t="shared" si="3"/>
        <v>4221.8025</v>
      </c>
    </row>
    <row r="29">
      <c r="A29" s="21">
        <v>46169.0</v>
      </c>
      <c r="B29" s="22" t="s">
        <v>39</v>
      </c>
      <c r="C29" s="53">
        <v>1.5</v>
      </c>
      <c r="D29" s="24" t="s">
        <v>21</v>
      </c>
      <c r="E29" s="26">
        <v>0.0</v>
      </c>
      <c r="F29" s="26">
        <v>3230.0</v>
      </c>
      <c r="G29" s="26">
        <v>0.0</v>
      </c>
      <c r="H29" s="26">
        <v>0.0</v>
      </c>
      <c r="I29" s="24">
        <v>0.0</v>
      </c>
      <c r="J29" s="33">
        <f t="shared" si="1"/>
        <v>3230</v>
      </c>
      <c r="K29" s="36">
        <f t="shared" si="2"/>
        <v>56.525</v>
      </c>
      <c r="L29" s="42">
        <f t="shared" si="3"/>
        <v>3173.475</v>
      </c>
    </row>
    <row r="30">
      <c r="A30" s="21">
        <v>46170.0</v>
      </c>
      <c r="B30" s="22" t="s">
        <v>40</v>
      </c>
      <c r="C30" s="53">
        <v>0.0</v>
      </c>
      <c r="D30" s="24" t="s">
        <v>21</v>
      </c>
      <c r="E30" s="26">
        <v>0.0</v>
      </c>
      <c r="F30" s="26">
        <v>0.0</v>
      </c>
      <c r="G30" s="26">
        <v>0.0</v>
      </c>
      <c r="H30" s="26">
        <v>0.0</v>
      </c>
      <c r="I30" s="24">
        <v>0.0</v>
      </c>
      <c r="J30" s="33">
        <f t="shared" si="1"/>
        <v>0</v>
      </c>
      <c r="K30" s="36">
        <f t="shared" si="2"/>
        <v>0</v>
      </c>
      <c r="L30" s="42">
        <f t="shared" si="3"/>
        <v>0</v>
      </c>
    </row>
    <row r="31">
      <c r="A31" s="21">
        <v>46171.0</v>
      </c>
      <c r="B31" s="22" t="s">
        <v>19</v>
      </c>
      <c r="C31" s="53">
        <v>8.5</v>
      </c>
      <c r="D31" s="24" t="s">
        <v>21</v>
      </c>
      <c r="E31" s="45">
        <v>500.0</v>
      </c>
      <c r="F31" s="63">
        <v>4125.0</v>
      </c>
      <c r="G31" s="26">
        <v>7695.0</v>
      </c>
      <c r="H31" s="26">
        <v>100.0</v>
      </c>
      <c r="I31" s="24">
        <f>600+225</f>
        <v>825</v>
      </c>
      <c r="J31" s="33">
        <f t="shared" si="1"/>
        <v>13245</v>
      </c>
      <c r="K31" s="36">
        <f t="shared" si="2"/>
        <v>231.7875</v>
      </c>
      <c r="L31" s="42">
        <f t="shared" si="3"/>
        <v>13013.2125</v>
      </c>
    </row>
    <row r="32">
      <c r="A32" s="21">
        <v>46172.0</v>
      </c>
      <c r="B32" s="22" t="s">
        <v>33</v>
      </c>
      <c r="C32" s="53">
        <v>3.5</v>
      </c>
      <c r="D32" s="24" t="s">
        <v>21</v>
      </c>
      <c r="E32" s="26">
        <v>900.0</v>
      </c>
      <c r="F32" s="26">
        <v>0.0</v>
      </c>
      <c r="G32" s="26">
        <v>3000.0</v>
      </c>
      <c r="H32" s="26">
        <v>750.0</v>
      </c>
      <c r="I32" s="24">
        <v>0.0</v>
      </c>
      <c r="J32" s="33">
        <f t="shared" si="1"/>
        <v>4650</v>
      </c>
      <c r="K32" s="36">
        <f t="shared" si="2"/>
        <v>81.375</v>
      </c>
      <c r="L32" s="42">
        <f t="shared" si="3"/>
        <v>4568.625</v>
      </c>
    </row>
    <row r="33">
      <c r="A33" s="21">
        <v>46173.0</v>
      </c>
      <c r="B33" s="22" t="s">
        <v>35</v>
      </c>
      <c r="C33" s="51">
        <v>0.5</v>
      </c>
      <c r="D33" s="24" t="s">
        <v>21</v>
      </c>
      <c r="E33" s="43">
        <v>0.0</v>
      </c>
      <c r="F33" s="43">
        <v>800.0</v>
      </c>
      <c r="G33" s="43">
        <v>0.0</v>
      </c>
      <c r="H33" s="43">
        <v>0.0</v>
      </c>
      <c r="I33" s="43">
        <v>300.0</v>
      </c>
      <c r="J33" s="33">
        <f t="shared" si="1"/>
        <v>1100</v>
      </c>
      <c r="K33" s="36">
        <f t="shared" si="2"/>
        <v>19.25</v>
      </c>
      <c r="L33" s="42">
        <f t="shared" si="3"/>
        <v>1080.75</v>
      </c>
      <c r="M33" s="64"/>
      <c r="N33" s="64"/>
      <c r="O33" s="64"/>
      <c r="P33" s="64"/>
      <c r="Q33" s="64"/>
      <c r="R33" s="64"/>
      <c r="S33" s="64"/>
      <c r="T33" s="64"/>
      <c r="U33" s="64"/>
      <c r="V33" s="64"/>
    </row>
    <row r="34">
      <c r="A34" s="65" t="s">
        <v>14</v>
      </c>
      <c r="B34" s="66"/>
      <c r="C34" s="69">
        <f>SUM(C2:C33)</f>
        <v>107</v>
      </c>
      <c r="D34" s="70"/>
      <c r="E34" s="70">
        <f t="shared" ref="E34:L34" si="4">SUM(E2:E33)</f>
        <v>28367</v>
      </c>
      <c r="F34" s="70">
        <f t="shared" si="4"/>
        <v>21883</v>
      </c>
      <c r="G34" s="70">
        <f t="shared" si="4"/>
        <v>87548</v>
      </c>
      <c r="H34" s="70">
        <f t="shared" si="4"/>
        <v>12225</v>
      </c>
      <c r="I34" s="70">
        <f t="shared" si="4"/>
        <v>6925</v>
      </c>
      <c r="J34" s="70">
        <f t="shared" si="4"/>
        <v>156948</v>
      </c>
      <c r="K34" s="70">
        <f t="shared" si="4"/>
        <v>2746.59</v>
      </c>
      <c r="L34" s="70">
        <f t="shared" si="4"/>
        <v>154201.41</v>
      </c>
      <c r="M34" s="28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3" max="3" width="12.75"/>
    <col customWidth="1" min="4" max="4" width="14.38"/>
    <col customWidth="1" min="5" max="5" width="16.0"/>
    <col customWidth="1" min="6" max="6" width="11.13"/>
    <col customWidth="1" min="7" max="8" width="7.0"/>
    <col customWidth="1" min="9" max="9" width="14.13"/>
  </cols>
  <sheetData>
    <row r="1">
      <c r="A1" s="20" t="s">
        <v>4</v>
      </c>
      <c r="B1" s="25" t="s">
        <v>0</v>
      </c>
      <c r="C1" s="25" t="s">
        <v>20</v>
      </c>
      <c r="D1" s="25" t="s">
        <v>23</v>
      </c>
      <c r="E1" s="27" t="s">
        <v>24</v>
      </c>
      <c r="F1" s="25" t="s">
        <v>13</v>
      </c>
      <c r="G1" s="25" t="s">
        <v>27</v>
      </c>
      <c r="H1" s="25" t="s">
        <v>26</v>
      </c>
      <c r="I1" s="25" t="s">
        <v>28</v>
      </c>
    </row>
    <row r="2">
      <c r="A2" s="29"/>
      <c r="B2" s="32" t="s">
        <v>1</v>
      </c>
      <c r="C2" s="34">
        <v>127314.0</v>
      </c>
      <c r="D2" s="34">
        <v>8338.0</v>
      </c>
      <c r="E2" s="35">
        <v>1500.0</v>
      </c>
      <c r="F2" s="37">
        <f>C2-D2-E2</f>
        <v>117476</v>
      </c>
      <c r="G2" s="34">
        <v>694.0</v>
      </c>
      <c r="H2" s="34">
        <v>138.0</v>
      </c>
      <c r="I2" s="34">
        <v>116642.0</v>
      </c>
    </row>
    <row r="3">
      <c r="A3" s="40"/>
      <c r="B3" s="12" t="s">
        <v>14</v>
      </c>
      <c r="C3" s="47">
        <f>SUM(C2)</f>
        <v>127314</v>
      </c>
      <c r="D3" s="48"/>
      <c r="E3" s="48"/>
      <c r="F3" s="52">
        <f>SUM(F2)</f>
        <v>117476</v>
      </c>
      <c r="G3" s="48"/>
      <c r="H3" s="48"/>
      <c r="I3" s="47">
        <f>SUM(I2)</f>
        <v>116642</v>
      </c>
    </row>
    <row r="5">
      <c r="A5" s="54" t="s">
        <v>15</v>
      </c>
      <c r="B5" s="56">
        <f>C3-B6-B7</f>
        <v>51713</v>
      </c>
    </row>
    <row r="6">
      <c r="A6" s="54" t="s">
        <v>17</v>
      </c>
      <c r="B6" s="57">
        <v>49356.0</v>
      </c>
    </row>
    <row r="7">
      <c r="A7" s="59" t="s">
        <v>16</v>
      </c>
      <c r="B7" s="60">
        <v>26245.0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4" max="4" width="23.88"/>
  </cols>
  <sheetData>
    <row r="1">
      <c r="A1" s="19" t="s">
        <v>4</v>
      </c>
      <c r="B1" s="23" t="s">
        <v>0</v>
      </c>
      <c r="C1" s="23" t="s">
        <v>22</v>
      </c>
      <c r="D1" s="25" t="s">
        <v>25</v>
      </c>
      <c r="E1" s="23" t="s">
        <v>13</v>
      </c>
      <c r="F1" s="23" t="s">
        <v>26</v>
      </c>
      <c r="G1" s="23" t="s">
        <v>27</v>
      </c>
      <c r="H1" s="25" t="s">
        <v>7</v>
      </c>
    </row>
    <row r="2">
      <c r="A2" s="30"/>
      <c r="B2" s="32" t="s">
        <v>30</v>
      </c>
      <c r="C2" s="32">
        <v>13777.0</v>
      </c>
      <c r="D2" s="32">
        <v>1894.0</v>
      </c>
      <c r="E2" s="37">
        <f t="shared" ref="E2:E3" si="1">C2-D2</f>
        <v>11883</v>
      </c>
      <c r="F2" s="32">
        <v>12.0</v>
      </c>
      <c r="G2" s="32">
        <v>61.0</v>
      </c>
      <c r="H2" s="32">
        <v>12607.0</v>
      </c>
    </row>
    <row r="3">
      <c r="A3" s="39"/>
      <c r="B3" s="41" t="s">
        <v>31</v>
      </c>
      <c r="C3" s="43">
        <v>34779.0</v>
      </c>
      <c r="D3" s="44">
        <v>4534.0</v>
      </c>
      <c r="E3" s="46">
        <f t="shared" si="1"/>
        <v>30245</v>
      </c>
      <c r="F3" s="44">
        <v>29.0</v>
      </c>
      <c r="G3" s="44">
        <v>147.0</v>
      </c>
      <c r="H3" s="43">
        <v>30167.0</v>
      </c>
    </row>
    <row r="4">
      <c r="A4" s="39"/>
      <c r="B4" s="49"/>
      <c r="C4" s="49"/>
      <c r="D4" s="49"/>
      <c r="E4" s="49"/>
      <c r="F4" s="49"/>
      <c r="G4" s="49"/>
      <c r="H4" s="49"/>
    </row>
    <row r="5">
      <c r="A5" s="40"/>
      <c r="B5" s="12" t="s">
        <v>14</v>
      </c>
      <c r="C5" s="52">
        <f t="shared" ref="C5:E5" si="2">SUM(C2:C3)</f>
        <v>48556</v>
      </c>
      <c r="D5" s="52">
        <f t="shared" si="2"/>
        <v>6428</v>
      </c>
      <c r="E5" s="52">
        <f t="shared" si="2"/>
        <v>42128</v>
      </c>
      <c r="F5" s="48"/>
      <c r="G5" s="48"/>
      <c r="H5" s="52">
        <f>SUM(H2:H3)</f>
        <v>42774</v>
      </c>
    </row>
    <row r="7">
      <c r="A7" s="54" t="s">
        <v>15</v>
      </c>
      <c r="B7" s="56">
        <f>C5-B8-B9</f>
        <v>11690</v>
      </c>
    </row>
    <row r="8">
      <c r="A8" s="54" t="s">
        <v>17</v>
      </c>
      <c r="B8" s="57">
        <v>20087.0</v>
      </c>
    </row>
    <row r="9">
      <c r="A9" s="59" t="s">
        <v>16</v>
      </c>
      <c r="B9" s="60">
        <v>16779.0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2" max="2" width="13.13"/>
    <col customWidth="1" min="3" max="3" width="17.88"/>
    <col customWidth="1" min="5" max="6" width="15.25"/>
  </cols>
  <sheetData>
    <row r="1">
      <c r="A1" s="25" t="s">
        <v>55</v>
      </c>
      <c r="B1" s="25" t="s">
        <v>56</v>
      </c>
      <c r="C1" s="25" t="s">
        <v>57</v>
      </c>
      <c r="D1" s="25" t="s">
        <v>58</v>
      </c>
      <c r="E1" s="67" t="s">
        <v>60</v>
      </c>
      <c r="F1" s="12" t="s">
        <v>12</v>
      </c>
      <c r="G1" s="12" t="s">
        <v>13</v>
      </c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</row>
    <row r="2">
      <c r="A2" s="71" t="s">
        <v>62</v>
      </c>
      <c r="B2" s="32" t="s">
        <v>63</v>
      </c>
      <c r="C2" s="32" t="s">
        <v>64</v>
      </c>
      <c r="D2" s="72" t="s">
        <v>66</v>
      </c>
      <c r="E2" s="74">
        <v>50000.0</v>
      </c>
      <c r="F2" s="75">
        <v>0.0</v>
      </c>
      <c r="G2" s="42">
        <f>E2-F2</f>
        <v>50000</v>
      </c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</row>
    <row r="4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</row>
    <row r="5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</row>
    <row r="6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</row>
    <row r="7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</row>
    <row r="8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</row>
    <row r="9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</row>
    <row r="10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</row>
    <row r="1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</row>
    <row r="12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</row>
    <row r="13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</row>
    <row r="14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</row>
    <row r="1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</row>
    <row r="16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</row>
    <row r="17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</row>
    <row r="18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</row>
    <row r="19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</row>
    <row r="20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</row>
    <row r="2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</row>
    <row r="22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</row>
    <row r="23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</row>
    <row r="24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</row>
    <row r="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</row>
    <row r="26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</row>
    <row r="27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</row>
    <row r="28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</row>
    <row r="29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</row>
    <row r="30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</row>
    <row r="3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</row>
    <row r="32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</row>
    <row r="33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</row>
    <row r="34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</row>
    <row r="3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</row>
    <row r="36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</row>
    <row r="37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</row>
    <row r="38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</row>
    <row r="39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</row>
    <row r="40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</row>
    <row r="4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</row>
    <row r="42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</row>
    <row r="43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</row>
    <row r="44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</row>
    <row r="4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</row>
    <row r="46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</row>
    <row r="47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</row>
    <row r="48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</row>
    <row r="49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</row>
    <row r="50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</row>
    <row r="52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</row>
    <row r="53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</row>
    <row r="5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</row>
    <row r="56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</row>
    <row r="57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</row>
    <row r="58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</row>
    <row r="59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</row>
    <row r="60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</row>
    <row r="6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</row>
    <row r="62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</row>
    <row r="63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</row>
    <row r="64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</row>
    <row r="6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</row>
    <row r="66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</row>
    <row r="67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</row>
    <row r="69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</row>
    <row r="70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</row>
    <row r="7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</row>
    <row r="73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</row>
    <row r="74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</row>
    <row r="7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</row>
    <row r="76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</row>
    <row r="77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</row>
    <row r="78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</row>
    <row r="80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</row>
    <row r="8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</row>
    <row r="82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sheetData>
    <row r="1">
      <c r="A1" s="23" t="s">
        <v>0</v>
      </c>
      <c r="B1" s="73" t="s">
        <v>65</v>
      </c>
      <c r="C1" s="23" t="s">
        <v>68</v>
      </c>
      <c r="D1" s="23" t="s">
        <v>69</v>
      </c>
    </row>
    <row r="2">
      <c r="A2" s="71" t="s">
        <v>66</v>
      </c>
      <c r="B2" s="63" t="s">
        <v>70</v>
      </c>
      <c r="C2" s="71" t="s">
        <v>71</v>
      </c>
      <c r="D2" s="34">
        <v>15000.0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sheetData>
    <row r="1">
      <c r="A1" s="23" t="s">
        <v>0</v>
      </c>
      <c r="B1" s="73" t="s">
        <v>79</v>
      </c>
      <c r="C1" s="23" t="s">
        <v>68</v>
      </c>
      <c r="D1" s="23" t="s">
        <v>69</v>
      </c>
    </row>
    <row r="2">
      <c r="A2" s="71" t="s">
        <v>66</v>
      </c>
      <c r="B2" s="63" t="s">
        <v>63</v>
      </c>
      <c r="C2" s="71" t="s">
        <v>52</v>
      </c>
      <c r="D2" s="34">
        <v>47200.0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5" max="5" width="15.25"/>
    <col customWidth="1" min="6" max="6" width="11.13"/>
  </cols>
  <sheetData>
    <row r="1">
      <c r="A1" s="23" t="s">
        <v>0</v>
      </c>
      <c r="B1" s="73" t="s">
        <v>79</v>
      </c>
      <c r="C1" s="23" t="s">
        <v>68</v>
      </c>
      <c r="D1" s="23" t="s">
        <v>69</v>
      </c>
      <c r="E1" s="12" t="s">
        <v>12</v>
      </c>
      <c r="F1" s="12" t="s">
        <v>13</v>
      </c>
    </row>
    <row r="2">
      <c r="A2" s="81">
        <v>46166.0</v>
      </c>
      <c r="B2" s="63" t="s">
        <v>63</v>
      </c>
      <c r="C2" s="71" t="s">
        <v>81</v>
      </c>
      <c r="D2" s="34">
        <v>32000.0</v>
      </c>
      <c r="E2" s="36">
        <f t="shared" ref="E2:E3" si="1">D2*1.75%</f>
        <v>560</v>
      </c>
      <c r="F2" s="42">
        <f t="shared" ref="F2:F3" si="2">D2-E2</f>
        <v>31440</v>
      </c>
    </row>
    <row r="3">
      <c r="A3" s="82">
        <v>46159.0</v>
      </c>
      <c r="B3" s="63" t="s">
        <v>82</v>
      </c>
      <c r="C3" s="63" t="s">
        <v>83</v>
      </c>
      <c r="D3" s="34">
        <v>2560.0</v>
      </c>
      <c r="E3" s="36">
        <f t="shared" si="1"/>
        <v>44.8</v>
      </c>
      <c r="F3" s="42">
        <f t="shared" si="2"/>
        <v>2515.2</v>
      </c>
    </row>
    <row r="4">
      <c r="A4" s="83" t="s">
        <v>14</v>
      </c>
      <c r="B4" s="66"/>
      <c r="C4" s="66"/>
      <c r="D4" s="70">
        <f t="shared" ref="D4:F4" si="3">SUM(D2:D3)</f>
        <v>34560</v>
      </c>
      <c r="E4" s="84">
        <f t="shared" si="3"/>
        <v>604.8</v>
      </c>
      <c r="F4" s="85">
        <f t="shared" si="3"/>
        <v>33955.2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3" max="3" width="14.13"/>
    <col customWidth="1" min="4" max="4" width="13.0"/>
    <col customWidth="1" min="5" max="5" width="13.75"/>
    <col customWidth="1" min="6" max="7" width="15.25"/>
  </cols>
  <sheetData>
    <row r="1">
      <c r="A1" s="23" t="s">
        <v>0</v>
      </c>
      <c r="B1" s="23" t="s">
        <v>84</v>
      </c>
      <c r="C1" s="23" t="s">
        <v>68</v>
      </c>
      <c r="D1" s="23" t="s">
        <v>56</v>
      </c>
      <c r="E1" s="23" t="s">
        <v>85</v>
      </c>
      <c r="F1" s="23" t="s">
        <v>60</v>
      </c>
      <c r="G1" s="12" t="s">
        <v>12</v>
      </c>
      <c r="H1" s="12" t="s">
        <v>13</v>
      </c>
    </row>
    <row r="2">
      <c r="A2" s="86">
        <v>46159.0</v>
      </c>
      <c r="B2" s="71" t="s">
        <v>86</v>
      </c>
      <c r="C2" s="71" t="s">
        <v>87</v>
      </c>
      <c r="D2" s="71" t="s">
        <v>17</v>
      </c>
      <c r="E2" s="63" t="s">
        <v>88</v>
      </c>
      <c r="F2" s="87">
        <v>4246.0</v>
      </c>
      <c r="G2" s="58">
        <v>0.0</v>
      </c>
      <c r="H2" s="42">
        <f t="shared" ref="H2:H4" si="1">F2-G2</f>
        <v>4246</v>
      </c>
    </row>
    <row r="3">
      <c r="A3" s="71" t="s">
        <v>89</v>
      </c>
      <c r="B3" s="71" t="s">
        <v>90</v>
      </c>
      <c r="C3" s="71" t="s">
        <v>91</v>
      </c>
      <c r="D3" s="71" t="s">
        <v>92</v>
      </c>
      <c r="E3" s="63" t="s">
        <v>93</v>
      </c>
      <c r="F3" s="87">
        <v>76429.0</v>
      </c>
      <c r="G3" s="58">
        <v>0.0</v>
      </c>
      <c r="H3" s="42">
        <f t="shared" si="1"/>
        <v>76429</v>
      </c>
    </row>
    <row r="4">
      <c r="A4" s="86">
        <v>46158.0</v>
      </c>
      <c r="B4" s="71" t="s">
        <v>94</v>
      </c>
      <c r="C4" s="71" t="s">
        <v>95</v>
      </c>
      <c r="D4" s="71" t="s">
        <v>15</v>
      </c>
      <c r="E4" s="63" t="s">
        <v>96</v>
      </c>
      <c r="F4" s="87">
        <v>2988.0</v>
      </c>
      <c r="G4" s="36">
        <f>F4*1.75%</f>
        <v>52.29</v>
      </c>
      <c r="H4" s="42">
        <f t="shared" si="1"/>
        <v>2935.71</v>
      </c>
    </row>
    <row r="5">
      <c r="A5" s="12" t="s">
        <v>14</v>
      </c>
      <c r="B5" s="48"/>
      <c r="C5" s="48"/>
      <c r="D5" s="48"/>
      <c r="E5" s="48"/>
      <c r="F5" s="47">
        <f t="shared" ref="F5:H5" si="2">SUM(F2:F4)</f>
        <v>83663</v>
      </c>
      <c r="G5" s="47">
        <f t="shared" si="2"/>
        <v>52.29</v>
      </c>
      <c r="H5" s="47">
        <f t="shared" si="2"/>
        <v>83610.71</v>
      </c>
    </row>
  </sheetData>
  <drawing r:id="rId1"/>
</worksheet>
</file>