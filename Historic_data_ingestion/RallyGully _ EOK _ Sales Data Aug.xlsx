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Social EventsTournaments" sheetId="4" r:id="rId8"/>
    <sheet state="visible" name="Academy" sheetId="5" r:id="rId9"/>
    <sheet state="visible" name="F&amp;B" sheetId="6" r:id="rId10"/>
  </sheets>
  <definedNames/>
  <calcPr/>
</workbook>
</file>

<file path=xl/sharedStrings.xml><?xml version="1.0" encoding="utf-8"?>
<sst xmlns="http://schemas.openxmlformats.org/spreadsheetml/2006/main" count="124" uniqueCount="78">
  <si>
    <t>Link</t>
  </si>
  <si>
    <t>Date</t>
  </si>
  <si>
    <t>Day</t>
  </si>
  <si>
    <t>Offline booking hours</t>
  </si>
  <si>
    <t>Sport</t>
  </si>
  <si>
    <t>1 - 31 Aug</t>
  </si>
  <si>
    <t>Booking Revenue</t>
  </si>
  <si>
    <t>Community Revenue</t>
  </si>
  <si>
    <t xml:space="preserve">Paddle Rental </t>
  </si>
  <si>
    <t>Type</t>
  </si>
  <si>
    <t>Total Revenue</t>
  </si>
  <si>
    <t>Amt</t>
  </si>
  <si>
    <t>Payment Gateway</t>
  </si>
  <si>
    <t>Commission</t>
  </si>
  <si>
    <t>Net Revenue</t>
  </si>
  <si>
    <t>Event Expenses</t>
  </si>
  <si>
    <t>Particulars</t>
  </si>
  <si>
    <t>Saturday</t>
  </si>
  <si>
    <t xml:space="preserve">TDS </t>
  </si>
  <si>
    <t>Final Amount (₹)</t>
  </si>
  <si>
    <t>Notes</t>
  </si>
  <si>
    <t>Amount</t>
  </si>
  <si>
    <t>Paid to District</t>
  </si>
  <si>
    <t>Commissions (₹)</t>
  </si>
  <si>
    <t>GST on Commission</t>
  </si>
  <si>
    <t>Pickleball</t>
  </si>
  <si>
    <t>TCS</t>
  </si>
  <si>
    <t>TDS</t>
  </si>
  <si>
    <t>Pay &amp; Play</t>
  </si>
  <si>
    <t>DUPR</t>
  </si>
  <si>
    <t xml:space="preserve">Online </t>
  </si>
  <si>
    <t>Sunday</t>
  </si>
  <si>
    <t>District</t>
  </si>
  <si>
    <t>Monday</t>
  </si>
  <si>
    <t>Total</t>
  </si>
  <si>
    <t>Tuesday</t>
  </si>
  <si>
    <t>Courtly</t>
  </si>
  <si>
    <t>Wednesday</t>
  </si>
  <si>
    <t>Hudle</t>
  </si>
  <si>
    <t>Thursday</t>
  </si>
  <si>
    <t>Playo</t>
  </si>
  <si>
    <t>Khelomore</t>
  </si>
  <si>
    <t>Friday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</si>
  <si>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</si>
  <si>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</si>
  <si>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</si>
  <si>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</si>
  <si>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</si>
  <si>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</si>
  <si>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</si>
  <si>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Community Partnerships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</si>
  <si>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</si>
  <si>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</si>
  <si>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</si>
  <si>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</si>
  <si>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</si>
  <si>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</si>
  <si>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</si>
  <si>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</si>
  <si>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</si>
  <si>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</si>
  <si>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GST (B)</t>
  </si>
  <si>
    <t>Commissions, Payment gateway &amp; Event Expense(C)</t>
  </si>
  <si>
    <t>Net Revenue (A-B-C)</t>
  </si>
  <si>
    <t>Venue Manager + Cleaner</t>
  </si>
  <si>
    <t>Marketing, Branding &amp; Community</t>
  </si>
  <si>
    <t>Balls Expense</t>
  </si>
  <si>
    <t>Branding Revamp</t>
  </si>
  <si>
    <t>F&amp;B Inventory Cost</t>
  </si>
  <si>
    <t>Total Expenses</t>
  </si>
  <si>
    <t>Net Profit (Revenue - Expenses)</t>
  </si>
  <si>
    <t>School's Profit Share (65%)</t>
  </si>
  <si>
    <t>RallyGully's Profit Share (35%)</t>
  </si>
  <si>
    <t>Sports</t>
  </si>
  <si>
    <t>Month</t>
  </si>
  <si>
    <t>Aug</t>
  </si>
  <si>
    <t>Paid to brand (75%)</t>
  </si>
  <si>
    <t>Blended Margin (25%)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</si>
</sst>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$₹]#,##0.00"/>
    <numFmt numFmtId="166" formatCode="[$₹]#,##0.0"/>
    <numFmt numFmtId="167" formatCode="d mmmm"/>
    <numFmt numFmtId="168" formatCode="[&gt;9999999][$₹]##\,##\,##\,##0;[&gt;99999][$₹]##\,##\,##0;[$₹]##,##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3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6" xfId="0" applyAlignment="1" applyBorder="1" applyFill="1" applyFont="1" applyNumberFormat="1">
      <alignment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165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vertical="bottom"/>
    </xf>
    <xf borderId="1" fillId="2" fontId="4" numFmtId="165" xfId="0" applyAlignment="1" applyBorder="1" applyFill="1" applyFont="1" applyNumberFormat="1">
      <alignment horizontal="center" readingOrder="0" vertical="bottom"/>
    </xf>
    <xf borderId="1" fillId="3" fontId="5" numFmtId="167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5" numFmtId="164" xfId="0" applyAlignment="1" applyBorder="1" applyFill="1" applyFont="1" applyNumberFormat="1">
      <alignment vertical="bottom"/>
    </xf>
    <xf borderId="0" fillId="0" fontId="5" numFmtId="0" xfId="0" applyAlignment="1" applyFont="1">
      <alignment vertical="bottom"/>
    </xf>
    <xf borderId="1" fillId="3" fontId="5" numFmtId="4" xfId="0" applyAlignment="1" applyBorder="1" applyFill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" fillId="2" fontId="5" numFmtId="0" xfId="0" applyAlignment="1" applyBorder="1" applyFill="1" applyFont="1">
      <alignment vertical="bottom"/>
    </xf>
    <xf borderId="0" fillId="2" fontId="6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5" numFmtId="167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vertical="bottom"/>
    </xf>
    <xf borderId="1" fillId="0" fontId="5" numFmtId="168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readingOrder="0" vertical="bottom"/>
    </xf>
    <xf borderId="1" fillId="0" fontId="5" numFmtId="168" xfId="0" applyAlignment="1" applyBorder="1" applyFont="1" applyNumberFormat="1">
      <alignment horizontal="right" readingOrder="0" vertical="bottom"/>
    </xf>
    <xf borderId="1" fillId="0" fontId="5" numFmtId="164" xfId="0" applyAlignment="1" applyBorder="1" applyFont="1" applyNumberFormat="1">
      <alignment horizontal="right" readingOrder="0" vertical="bottom"/>
    </xf>
    <xf borderId="1" fillId="0" fontId="2" numFmtId="168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vertical="bottom"/>
    </xf>
    <xf borderId="1" fillId="0" fontId="5" numFmtId="168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4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5" numFmtId="0" xfId="0" applyAlignment="1" applyBorder="1" applyFont="1">
      <alignment readingOrder="0" vertical="bottom"/>
    </xf>
    <xf borderId="1" fillId="2" fontId="5" numFmtId="164" xfId="0" applyAlignment="1" applyBorder="1" applyFill="1" applyFont="1" applyNumberFormat="1">
      <alignment vertical="bottom"/>
    </xf>
    <xf borderId="1" fillId="0" fontId="5" numFmtId="168" xfId="0" applyAlignment="1" applyBorder="1" applyFont="1" applyNumberFormat="1">
      <alignment readingOrder="0" vertical="bottom"/>
    </xf>
    <xf borderId="1" fillId="3" fontId="5" numFmtId="168" xfId="0" applyAlignment="1" applyBorder="1" applyFill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5" numFmtId="165" xfId="0" applyAlignment="1" applyBorder="1" applyFont="1" applyNumberFormat="1">
      <alignment horizontal="right" readingOrder="0" vertical="bottom"/>
    </xf>
    <xf borderId="1" fillId="3" fontId="5" numFmtId="164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5" numFmtId="165" xfId="0" applyAlignment="1" applyBorder="1" applyFill="1" applyFont="1" applyNumberFormat="1">
      <alignment vertical="bottom"/>
    </xf>
    <xf borderId="1" fillId="0" fontId="5" numFmtId="165" xfId="0" applyAlignment="1" applyBorder="1" applyFont="1" applyNumberForma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1" fillId="2" fontId="2" numFmtId="165" xfId="0" applyAlignment="1" applyBorder="1" applyFill="1" applyFont="1" applyNumberFormat="1">
      <alignment vertical="bottom"/>
    </xf>
    <xf borderId="1" fillId="0" fontId="5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2" fontId="5" numFmtId="4" xfId="0" applyAlignment="1" applyBorder="1" applyFill="1" applyFont="1" applyNumberFormat="1">
      <alignment vertical="bottom"/>
    </xf>
    <xf borderId="1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8" t="s">
        <v>5</v>
      </c>
      <c r="C2" s="9"/>
    </row>
    <row r="3">
      <c r="B3" s="15" t="s">
        <v>16</v>
      </c>
      <c r="C3" s="15" t="s">
        <v>21</v>
      </c>
      <c r="E3" s="17"/>
    </row>
    <row r="4">
      <c r="B4" s="20"/>
      <c r="C4" s="23" t="s">
        <v>25</v>
      </c>
      <c r="E4" s="17"/>
    </row>
    <row r="5">
      <c r="B5" s="24" t="s">
        <v>28</v>
      </c>
      <c r="C5" s="31">
        <f>sum(C6,C12)</f>
        <v>121907</v>
      </c>
      <c r="E5" s="17"/>
    </row>
    <row r="6">
      <c r="B6" s="24" t="s">
        <v>30</v>
      </c>
      <c r="C6" s="31">
        <f>sum(C7:C11)</f>
        <v>112290</v>
      </c>
      <c r="E6" s="17"/>
    </row>
    <row r="7" outlineLevel="1">
      <c r="B7" s="36" t="s">
        <v>32</v>
      </c>
      <c r="C7" s="27">
        <f>District!C4</f>
        <v>112290</v>
      </c>
      <c r="E7" s="17"/>
    </row>
    <row r="8" outlineLevel="1">
      <c r="B8" s="36" t="s">
        <v>38</v>
      </c>
      <c r="C8" s="43">
        <v>0.0</v>
      </c>
      <c r="E8" s="17"/>
    </row>
    <row r="9" outlineLevel="1">
      <c r="B9" s="36" t="s">
        <v>40</v>
      </c>
      <c r="C9" s="43">
        <v>0.0</v>
      </c>
      <c r="E9" s="17"/>
    </row>
    <row r="10" outlineLevel="1">
      <c r="B10" s="46" t="s">
        <v>41</v>
      </c>
      <c r="C10" s="43">
        <v>0.0</v>
      </c>
      <c r="E10" s="47"/>
    </row>
    <row r="11" outlineLevel="1">
      <c r="B11" s="36" t="s">
        <v>43</v>
      </c>
      <c r="C11" s="43">
        <v>0.0</v>
      </c>
      <c r="E11" s="47"/>
    </row>
    <row r="12">
      <c r="B12" s="50" t="s">
        <v>44</v>
      </c>
      <c r="C12" s="31">
        <f>sum(C13:C14)</f>
        <v>9617</v>
      </c>
    </row>
    <row r="13" outlineLevel="1">
      <c r="B13" s="36" t="s">
        <v>45</v>
      </c>
      <c r="C13" s="27">
        <f>'Offline &amp; RG Community'!D33</f>
        <v>9617</v>
      </c>
    </row>
    <row r="14" outlineLevel="1">
      <c r="B14" s="53" t="s">
        <v>46</v>
      </c>
      <c r="C14" s="43">
        <v>0.0</v>
      </c>
      <c r="E14" s="17"/>
    </row>
    <row r="15">
      <c r="B15" s="50" t="s">
        <v>47</v>
      </c>
      <c r="C15" s="31">
        <f>sum(C16:C18)</f>
        <v>28774</v>
      </c>
      <c r="E15" s="17"/>
    </row>
    <row r="16" outlineLevel="1">
      <c r="B16" s="46" t="s">
        <v>48</v>
      </c>
      <c r="C16" s="27">
        <f>'Offline &amp; RG Community'!E33</f>
        <v>18280</v>
      </c>
      <c r="E16" s="17"/>
    </row>
    <row r="17" outlineLevel="1">
      <c r="B17" s="46" t="s">
        <v>49</v>
      </c>
      <c r="C17" s="43">
        <f>'Social EventsTournaments'!D4</f>
        <v>10494</v>
      </c>
    </row>
    <row r="18">
      <c r="B18" s="41" t="s">
        <v>50</v>
      </c>
      <c r="C18" s="43">
        <v>0.0</v>
      </c>
      <c r="E18" s="17"/>
    </row>
    <row r="19">
      <c r="B19" s="50" t="s">
        <v>51</v>
      </c>
      <c r="C19" s="31">
        <f>Academy!C2</f>
        <v>48750</v>
      </c>
      <c r="E19" s="17"/>
    </row>
    <row r="20">
      <c r="B20" s="24" t="s">
        <v>52</v>
      </c>
      <c r="C20" s="31">
        <f>sum(C21,C22)</f>
        <v>0</v>
      </c>
    </row>
    <row r="21" outlineLevel="1">
      <c r="B21" s="36" t="s">
        <v>53</v>
      </c>
      <c r="C21" s="35">
        <v>0.0</v>
      </c>
    </row>
    <row r="22" outlineLevel="1">
      <c r="B22" s="46" t="s">
        <v>54</v>
      </c>
      <c r="C22" s="29">
        <v>0.0</v>
      </c>
    </row>
    <row r="23">
      <c r="B23" s="24" t="s">
        <v>55</v>
      </c>
      <c r="C23" s="31">
        <f>sum(C24:C26)</f>
        <v>8065</v>
      </c>
    </row>
    <row r="24" outlineLevel="1">
      <c r="B24" s="36" t="s">
        <v>56</v>
      </c>
      <c r="C24" s="35">
        <f>'Offline &amp; RG Community'!F33</f>
        <v>4000</v>
      </c>
    </row>
    <row r="25" outlineLevel="1">
      <c r="B25" s="36" t="s">
        <v>57</v>
      </c>
      <c r="C25" s="43">
        <v>0.0</v>
      </c>
    </row>
    <row r="26" outlineLevel="1">
      <c r="B26" s="36" t="s">
        <v>58</v>
      </c>
      <c r="C26" s="35">
        <f>'F&amp;B'!B33</f>
        <v>4065</v>
      </c>
    </row>
    <row r="27">
      <c r="B27" s="24" t="s">
        <v>59</v>
      </c>
      <c r="C27" s="31">
        <v>0.0</v>
      </c>
    </row>
    <row r="28">
      <c r="B28" s="56" t="s">
        <v>60</v>
      </c>
      <c r="C28" s="40">
        <f>C5+C15+C19+C20+C23+C27</f>
        <v>207496</v>
      </c>
    </row>
    <row r="29">
      <c r="B29" s="57" t="s">
        <v>61</v>
      </c>
      <c r="C29" s="58">
        <f>C28-(C28/1.18)</f>
        <v>31651.9322</v>
      </c>
    </row>
    <row r="30">
      <c r="B30" s="57" t="s">
        <v>62</v>
      </c>
      <c r="C30" s="19">
        <f>'Offline &amp; RG Community'!H33+District!D4+District!E4+'Social EventsTournaments'!E4+'Social EventsTournaments'!F4+'Social EventsTournaments'!G4+Academy!D2+'F&amp;B'!C33</f>
        <v>14415.0225</v>
      </c>
    </row>
    <row r="31">
      <c r="B31" s="60" t="s">
        <v>63</v>
      </c>
      <c r="C31" s="58">
        <f>C28-C29-C30</f>
        <v>161429.0453</v>
      </c>
    </row>
    <row r="32">
      <c r="B32" s="36" t="s">
        <v>64</v>
      </c>
      <c r="C32" s="29">
        <v>60164.0</v>
      </c>
    </row>
    <row r="33">
      <c r="B33" s="36" t="s">
        <v>65</v>
      </c>
      <c r="C33" s="35">
        <v>15000.0</v>
      </c>
    </row>
    <row r="34">
      <c r="B34" s="36" t="s">
        <v>66</v>
      </c>
      <c r="C34" s="35">
        <v>9500.0</v>
      </c>
    </row>
    <row r="35">
      <c r="B35" s="41" t="s">
        <v>67</v>
      </c>
      <c r="C35" s="29">
        <v>12595.0</v>
      </c>
    </row>
    <row r="36">
      <c r="B36" s="41" t="s">
        <v>68</v>
      </c>
      <c r="C36" s="29">
        <v>3024.0</v>
      </c>
    </row>
    <row r="37">
      <c r="B37" s="24" t="s">
        <v>69</v>
      </c>
      <c r="C37" s="31">
        <f>C32+C33+C34+C35+C36</f>
        <v>100283</v>
      </c>
    </row>
    <row r="38">
      <c r="B38" s="24" t="s">
        <v>70</v>
      </c>
      <c r="C38" s="31">
        <f>C31-C37</f>
        <v>61146.0453</v>
      </c>
    </row>
    <row r="39">
      <c r="B39" s="36"/>
      <c r="C39" s="27"/>
    </row>
    <row r="40">
      <c r="B40" s="24" t="s">
        <v>71</v>
      </c>
      <c r="C40" s="31">
        <f>C38*65%</f>
        <v>39744.92944</v>
      </c>
    </row>
    <row r="41">
      <c r="B41" s="24" t="s">
        <v>72</v>
      </c>
      <c r="C41" s="31">
        <f>C38*35%</f>
        <v>21401.11585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5.13"/>
    <col customWidth="1" min="5" max="5" width="17.63"/>
    <col customWidth="1" min="6" max="6" width="12.5"/>
    <col customWidth="1" min="7" max="8" width="15.25"/>
    <col customWidth="1" min="9" max="9" width="11.13"/>
  </cols>
  <sheetData>
    <row r="1">
      <c r="A1" s="2" t="s">
        <v>1</v>
      </c>
      <c r="B1" s="2" t="s">
        <v>2</v>
      </c>
      <c r="C1" s="4" t="s">
        <v>3</v>
      </c>
      <c r="D1" s="2" t="s">
        <v>6</v>
      </c>
      <c r="E1" s="2" t="s">
        <v>7</v>
      </c>
      <c r="F1" s="2" t="s">
        <v>8</v>
      </c>
      <c r="G1" s="2" t="s">
        <v>10</v>
      </c>
      <c r="H1" s="7" t="s">
        <v>12</v>
      </c>
      <c r="I1" s="11" t="s">
        <v>14</v>
      </c>
    </row>
    <row r="2">
      <c r="A2" s="13">
        <v>46235.0</v>
      </c>
      <c r="B2" s="16" t="s">
        <v>17</v>
      </c>
      <c r="C2" s="18">
        <v>0.0</v>
      </c>
      <c r="D2" s="19">
        <v>0.0</v>
      </c>
      <c r="E2" s="19">
        <v>0.0</v>
      </c>
      <c r="F2" s="19">
        <v>0.0</v>
      </c>
      <c r="G2" s="19">
        <f t="shared" ref="G2:G12" si="1">SUM(D2:F2)</f>
        <v>0</v>
      </c>
      <c r="H2" s="33">
        <f t="shared" ref="H2:H32" si="2">G2*1.75%</f>
        <v>0</v>
      </c>
      <c r="I2" s="19">
        <f t="shared" ref="I2:I32" si="3">G2-H2</f>
        <v>0</v>
      </c>
    </row>
    <row r="3">
      <c r="A3" s="13">
        <v>46236.0</v>
      </c>
      <c r="B3" s="16" t="s">
        <v>31</v>
      </c>
      <c r="C3" s="18">
        <v>0.0</v>
      </c>
      <c r="D3" s="19">
        <v>0.0</v>
      </c>
      <c r="E3" s="19">
        <v>2000.0</v>
      </c>
      <c r="F3" s="19">
        <v>500.0</v>
      </c>
      <c r="G3" s="19">
        <f t="shared" si="1"/>
        <v>2500</v>
      </c>
      <c r="H3" s="33">
        <f t="shared" si="2"/>
        <v>43.75</v>
      </c>
      <c r="I3" s="19">
        <f t="shared" si="3"/>
        <v>2456.25</v>
      </c>
    </row>
    <row r="4">
      <c r="A4" s="13">
        <v>46237.0</v>
      </c>
      <c r="B4" s="16" t="s">
        <v>33</v>
      </c>
      <c r="C4" s="39">
        <v>1.5</v>
      </c>
      <c r="D4" s="19">
        <v>1800.0</v>
      </c>
      <c r="E4" s="19">
        <v>2100.0</v>
      </c>
      <c r="F4" s="19">
        <v>300.0</v>
      </c>
      <c r="G4" s="19">
        <f t="shared" si="1"/>
        <v>4200</v>
      </c>
      <c r="H4" s="33">
        <f t="shared" si="2"/>
        <v>73.5</v>
      </c>
      <c r="I4" s="19">
        <f t="shared" si="3"/>
        <v>4126.5</v>
      </c>
    </row>
    <row r="5">
      <c r="A5" s="13">
        <v>46238.0</v>
      </c>
      <c r="B5" s="16" t="s">
        <v>35</v>
      </c>
      <c r="C5" s="39">
        <v>0.0</v>
      </c>
      <c r="D5" s="19">
        <v>0.0</v>
      </c>
      <c r="E5" s="19">
        <v>0.0</v>
      </c>
      <c r="F5" s="19">
        <v>0.0</v>
      </c>
      <c r="G5" s="19">
        <f t="shared" si="1"/>
        <v>0</v>
      </c>
      <c r="H5" s="33">
        <f t="shared" si="2"/>
        <v>0</v>
      </c>
      <c r="I5" s="19">
        <f t="shared" si="3"/>
        <v>0</v>
      </c>
    </row>
    <row r="6">
      <c r="A6" s="13">
        <v>46239.0</v>
      </c>
      <c r="B6" s="16" t="s">
        <v>37</v>
      </c>
      <c r="C6" s="39">
        <v>0.0</v>
      </c>
      <c r="D6" s="19">
        <v>0.0</v>
      </c>
      <c r="E6" s="19">
        <v>900.0</v>
      </c>
      <c r="F6" s="19">
        <v>0.0</v>
      </c>
      <c r="G6" s="19">
        <f t="shared" si="1"/>
        <v>900</v>
      </c>
      <c r="H6" s="33">
        <f t="shared" si="2"/>
        <v>15.75</v>
      </c>
      <c r="I6" s="19">
        <f t="shared" si="3"/>
        <v>884.25</v>
      </c>
    </row>
    <row r="7">
      <c r="A7" s="13">
        <v>46240.0</v>
      </c>
      <c r="B7" s="16" t="s">
        <v>39</v>
      </c>
      <c r="C7" s="39">
        <v>0.0</v>
      </c>
      <c r="D7" s="19">
        <v>0.0</v>
      </c>
      <c r="E7" s="19">
        <v>0.0</v>
      </c>
      <c r="F7" s="45">
        <v>0.0</v>
      </c>
      <c r="G7" s="19">
        <f t="shared" si="1"/>
        <v>0</v>
      </c>
      <c r="H7" s="33">
        <f t="shared" si="2"/>
        <v>0</v>
      </c>
      <c r="I7" s="19">
        <f t="shared" si="3"/>
        <v>0</v>
      </c>
    </row>
    <row r="8">
      <c r="A8" s="13">
        <v>46241.0</v>
      </c>
      <c r="B8" s="16" t="s">
        <v>42</v>
      </c>
      <c r="C8" s="39">
        <v>0.0</v>
      </c>
      <c r="D8" s="19">
        <v>0.0</v>
      </c>
      <c r="E8" s="19">
        <v>0.0</v>
      </c>
      <c r="F8" s="19">
        <v>0.0</v>
      </c>
      <c r="G8" s="19">
        <f t="shared" si="1"/>
        <v>0</v>
      </c>
      <c r="H8" s="33">
        <f t="shared" si="2"/>
        <v>0</v>
      </c>
      <c r="I8" s="19">
        <f t="shared" si="3"/>
        <v>0</v>
      </c>
    </row>
    <row r="9">
      <c r="A9" s="13">
        <v>46242.0</v>
      </c>
      <c r="B9" s="16" t="s">
        <v>17</v>
      </c>
      <c r="C9" s="39">
        <v>0.0</v>
      </c>
      <c r="D9" s="19">
        <v>0.0</v>
      </c>
      <c r="E9" s="19">
        <v>0.0</v>
      </c>
      <c r="F9" s="45">
        <v>0.0</v>
      </c>
      <c r="G9" s="19">
        <f t="shared" si="1"/>
        <v>0</v>
      </c>
      <c r="H9" s="33">
        <f t="shared" si="2"/>
        <v>0</v>
      </c>
      <c r="I9" s="19">
        <f t="shared" si="3"/>
        <v>0</v>
      </c>
    </row>
    <row r="10">
      <c r="A10" s="13">
        <v>46243.0</v>
      </c>
      <c r="B10" s="16" t="s">
        <v>31</v>
      </c>
      <c r="C10" s="39">
        <v>0.0</v>
      </c>
      <c r="D10" s="19">
        <v>0.0</v>
      </c>
      <c r="E10" s="19">
        <v>0.0</v>
      </c>
      <c r="F10" s="19">
        <v>0.0</v>
      </c>
      <c r="G10" s="19">
        <f t="shared" si="1"/>
        <v>0</v>
      </c>
      <c r="H10" s="33">
        <f t="shared" si="2"/>
        <v>0</v>
      </c>
      <c r="I10" s="19">
        <f t="shared" si="3"/>
        <v>0</v>
      </c>
    </row>
    <row r="11">
      <c r="A11" s="13">
        <v>46244.0</v>
      </c>
      <c r="B11" s="16" t="s">
        <v>33</v>
      </c>
      <c r="C11" s="39">
        <v>0.0</v>
      </c>
      <c r="D11" s="19">
        <v>0.0</v>
      </c>
      <c r="E11" s="19">
        <v>1200.0</v>
      </c>
      <c r="F11" s="19">
        <v>200.0</v>
      </c>
      <c r="G11" s="19">
        <f t="shared" si="1"/>
        <v>1400</v>
      </c>
      <c r="H11" s="33">
        <f t="shared" si="2"/>
        <v>24.5</v>
      </c>
      <c r="I11" s="19">
        <f t="shared" si="3"/>
        <v>1375.5</v>
      </c>
    </row>
    <row r="12">
      <c r="A12" s="13">
        <v>46245.0</v>
      </c>
      <c r="B12" s="16" t="s">
        <v>35</v>
      </c>
      <c r="C12" s="39">
        <v>0.5</v>
      </c>
      <c r="D12" s="19">
        <v>500.0</v>
      </c>
      <c r="E12" s="19">
        <v>900.0</v>
      </c>
      <c r="F12" s="19">
        <v>0.0</v>
      </c>
      <c r="G12" s="19">
        <f t="shared" si="1"/>
        <v>1400</v>
      </c>
      <c r="H12" s="33">
        <f t="shared" si="2"/>
        <v>24.5</v>
      </c>
      <c r="I12" s="19">
        <f t="shared" si="3"/>
        <v>1375.5</v>
      </c>
    </row>
    <row r="13">
      <c r="A13" s="13">
        <v>46246.0</v>
      </c>
      <c r="B13" s="16" t="s">
        <v>37</v>
      </c>
      <c r="C13" s="39">
        <v>1.0</v>
      </c>
      <c r="D13" s="19">
        <v>0.0</v>
      </c>
      <c r="E13" s="19">
        <v>500.0</v>
      </c>
      <c r="F13" s="19">
        <v>200.0</v>
      </c>
      <c r="G13" s="19">
        <f t="shared" ref="G13:G18" si="4">SUM(E13:F13)</f>
        <v>700</v>
      </c>
      <c r="H13" s="33">
        <f t="shared" si="2"/>
        <v>12.25</v>
      </c>
      <c r="I13" s="19">
        <f t="shared" si="3"/>
        <v>687.75</v>
      </c>
    </row>
    <row r="14">
      <c r="A14" s="13">
        <v>46247.0</v>
      </c>
      <c r="B14" s="16" t="s">
        <v>39</v>
      </c>
      <c r="C14" s="39">
        <v>1.0</v>
      </c>
      <c r="D14" s="19">
        <v>0.0</v>
      </c>
      <c r="E14" s="19">
        <v>600.0</v>
      </c>
      <c r="F14" s="19">
        <v>100.0</v>
      </c>
      <c r="G14" s="19">
        <f t="shared" si="4"/>
        <v>700</v>
      </c>
      <c r="H14" s="33">
        <f t="shared" si="2"/>
        <v>12.25</v>
      </c>
      <c r="I14" s="19">
        <f t="shared" si="3"/>
        <v>687.75</v>
      </c>
    </row>
    <row r="15">
      <c r="A15" s="13">
        <v>46248.0</v>
      </c>
      <c r="B15" s="16" t="s">
        <v>42</v>
      </c>
      <c r="C15" s="39">
        <v>0.0</v>
      </c>
      <c r="D15" s="19">
        <v>0.0</v>
      </c>
      <c r="E15" s="19">
        <v>0.0</v>
      </c>
      <c r="F15" s="19">
        <v>300.0</v>
      </c>
      <c r="G15" s="19">
        <f t="shared" si="4"/>
        <v>300</v>
      </c>
      <c r="H15" s="33">
        <f t="shared" si="2"/>
        <v>5.25</v>
      </c>
      <c r="I15" s="19">
        <f t="shared" si="3"/>
        <v>294.75</v>
      </c>
    </row>
    <row r="16">
      <c r="A16" s="13">
        <v>46249.0</v>
      </c>
      <c r="B16" s="16" t="s">
        <v>17</v>
      </c>
      <c r="C16" s="39">
        <v>0.0</v>
      </c>
      <c r="D16" s="19">
        <v>0.0</v>
      </c>
      <c r="E16" s="19">
        <v>880.0</v>
      </c>
      <c r="F16" s="19">
        <v>400.0</v>
      </c>
      <c r="G16" s="19">
        <f t="shared" si="4"/>
        <v>1280</v>
      </c>
      <c r="H16" s="33">
        <f t="shared" si="2"/>
        <v>22.4</v>
      </c>
      <c r="I16" s="19">
        <f t="shared" si="3"/>
        <v>1257.6</v>
      </c>
    </row>
    <row r="17">
      <c r="A17" s="13">
        <v>46250.0</v>
      </c>
      <c r="B17" s="16" t="s">
        <v>31</v>
      </c>
      <c r="C17" s="39">
        <v>0.0</v>
      </c>
      <c r="D17" s="55">
        <v>0.0</v>
      </c>
      <c r="E17" s="19">
        <v>0.0</v>
      </c>
      <c r="F17" s="19">
        <v>0.0</v>
      </c>
      <c r="G17" s="19">
        <f t="shared" si="4"/>
        <v>0</v>
      </c>
      <c r="H17" s="33">
        <f t="shared" si="2"/>
        <v>0</v>
      </c>
      <c r="I17" s="19">
        <f t="shared" si="3"/>
        <v>0</v>
      </c>
    </row>
    <row r="18">
      <c r="A18" s="13">
        <v>46251.0</v>
      </c>
      <c r="B18" s="16" t="s">
        <v>33</v>
      </c>
      <c r="C18" s="39">
        <v>0.0</v>
      </c>
      <c r="D18" s="19">
        <v>0.0</v>
      </c>
      <c r="E18" s="19">
        <v>2100.0</v>
      </c>
      <c r="F18" s="19">
        <v>0.0</v>
      </c>
      <c r="G18" s="19">
        <f t="shared" si="4"/>
        <v>2100</v>
      </c>
      <c r="H18" s="33">
        <f t="shared" si="2"/>
        <v>36.75</v>
      </c>
      <c r="I18" s="19">
        <f t="shared" si="3"/>
        <v>2063.25</v>
      </c>
    </row>
    <row r="19">
      <c r="A19" s="13">
        <v>46252.0</v>
      </c>
      <c r="B19" s="16" t="s">
        <v>35</v>
      </c>
      <c r="C19" s="39">
        <v>1.0</v>
      </c>
      <c r="D19" s="19">
        <v>600.0</v>
      </c>
      <c r="E19" s="19">
        <v>0.0</v>
      </c>
      <c r="F19" s="19">
        <v>0.0</v>
      </c>
      <c r="G19" s="19">
        <f t="shared" ref="G19:G32" si="5">sum(D19:F19)</f>
        <v>600</v>
      </c>
      <c r="H19" s="33">
        <f t="shared" si="2"/>
        <v>10.5</v>
      </c>
      <c r="I19" s="19">
        <f t="shared" si="3"/>
        <v>589.5</v>
      </c>
    </row>
    <row r="20">
      <c r="A20" s="13">
        <v>46253.0</v>
      </c>
      <c r="B20" s="16" t="s">
        <v>37</v>
      </c>
      <c r="C20" s="39">
        <v>3.0</v>
      </c>
      <c r="D20" s="19">
        <v>0.0</v>
      </c>
      <c r="E20" s="19">
        <v>2300.0</v>
      </c>
      <c r="F20" s="19">
        <v>100.0</v>
      </c>
      <c r="G20" s="19">
        <f t="shared" si="5"/>
        <v>2400</v>
      </c>
      <c r="H20" s="33">
        <f t="shared" si="2"/>
        <v>42</v>
      </c>
      <c r="I20" s="19">
        <f t="shared" si="3"/>
        <v>2358</v>
      </c>
    </row>
    <row r="21">
      <c r="A21" s="13">
        <v>46254.0</v>
      </c>
      <c r="B21" s="16" t="s">
        <v>39</v>
      </c>
      <c r="C21" s="39">
        <v>3.5</v>
      </c>
      <c r="D21" s="19">
        <v>2520.0</v>
      </c>
      <c r="E21" s="19">
        <v>1200.0</v>
      </c>
      <c r="F21" s="19">
        <v>0.0</v>
      </c>
      <c r="G21" s="19">
        <f t="shared" si="5"/>
        <v>3720</v>
      </c>
      <c r="H21" s="33">
        <f t="shared" si="2"/>
        <v>65.1</v>
      </c>
      <c r="I21" s="19">
        <f t="shared" si="3"/>
        <v>3654.9</v>
      </c>
    </row>
    <row r="22">
      <c r="A22" s="13">
        <v>46255.0</v>
      </c>
      <c r="B22" s="16" t="s">
        <v>42</v>
      </c>
      <c r="C22" s="39">
        <v>0.0</v>
      </c>
      <c r="D22" s="19">
        <v>0.0</v>
      </c>
      <c r="E22" s="19">
        <v>0.0</v>
      </c>
      <c r="F22" s="19">
        <v>100.0</v>
      </c>
      <c r="G22" s="19">
        <f t="shared" si="5"/>
        <v>100</v>
      </c>
      <c r="H22" s="33">
        <f t="shared" si="2"/>
        <v>1.75</v>
      </c>
      <c r="I22" s="19">
        <f t="shared" si="3"/>
        <v>98.25</v>
      </c>
    </row>
    <row r="23">
      <c r="A23" s="13">
        <v>46256.0</v>
      </c>
      <c r="B23" s="16" t="s">
        <v>17</v>
      </c>
      <c r="C23" s="39">
        <v>3.5</v>
      </c>
      <c r="D23" s="19">
        <v>1797.0</v>
      </c>
      <c r="E23" s="19">
        <v>2400.0</v>
      </c>
      <c r="F23" s="19">
        <v>700.0</v>
      </c>
      <c r="G23" s="19">
        <f t="shared" si="5"/>
        <v>4897</v>
      </c>
      <c r="H23" s="33">
        <f t="shared" si="2"/>
        <v>85.6975</v>
      </c>
      <c r="I23" s="19">
        <f t="shared" si="3"/>
        <v>4811.3025</v>
      </c>
    </row>
    <row r="24">
      <c r="A24" s="13">
        <v>46257.0</v>
      </c>
      <c r="B24" s="16" t="s">
        <v>31</v>
      </c>
      <c r="C24" s="39">
        <v>0.0</v>
      </c>
      <c r="D24" s="19">
        <v>0.0</v>
      </c>
      <c r="E24" s="19">
        <v>0.0</v>
      </c>
      <c r="F24" s="19">
        <v>100.0</v>
      </c>
      <c r="G24" s="19">
        <f t="shared" si="5"/>
        <v>100</v>
      </c>
      <c r="H24" s="33">
        <f t="shared" si="2"/>
        <v>1.75</v>
      </c>
      <c r="I24" s="19">
        <f t="shared" si="3"/>
        <v>98.25</v>
      </c>
    </row>
    <row r="25">
      <c r="A25" s="13">
        <v>46258.0</v>
      </c>
      <c r="B25" s="16" t="s">
        <v>33</v>
      </c>
      <c r="C25" s="39">
        <v>0.0</v>
      </c>
      <c r="D25" s="19">
        <v>0.0</v>
      </c>
      <c r="E25" s="19">
        <v>0.0</v>
      </c>
      <c r="F25" s="19">
        <v>0.0</v>
      </c>
      <c r="G25" s="19">
        <f t="shared" si="5"/>
        <v>0</v>
      </c>
      <c r="H25" s="33">
        <f t="shared" si="2"/>
        <v>0</v>
      </c>
      <c r="I25" s="19">
        <f t="shared" si="3"/>
        <v>0</v>
      </c>
    </row>
    <row r="26">
      <c r="A26" s="13">
        <v>46259.0</v>
      </c>
      <c r="B26" s="16" t="s">
        <v>35</v>
      </c>
      <c r="C26" s="39">
        <v>0.0</v>
      </c>
      <c r="D26" s="19">
        <v>0.0</v>
      </c>
      <c r="E26" s="19">
        <v>0.0</v>
      </c>
      <c r="F26" s="19">
        <v>0.0</v>
      </c>
      <c r="G26" s="19">
        <f t="shared" si="5"/>
        <v>0</v>
      </c>
      <c r="H26" s="33">
        <f t="shared" si="2"/>
        <v>0</v>
      </c>
      <c r="I26" s="19">
        <f t="shared" si="3"/>
        <v>0</v>
      </c>
    </row>
    <row r="27">
      <c r="A27" s="13">
        <v>46260.0</v>
      </c>
      <c r="B27" s="16" t="s">
        <v>37</v>
      </c>
      <c r="C27" s="39">
        <v>1.0</v>
      </c>
      <c r="D27" s="19">
        <v>600.0</v>
      </c>
      <c r="E27" s="19">
        <v>1200.0</v>
      </c>
      <c r="F27" s="19">
        <v>700.0</v>
      </c>
      <c r="G27" s="19">
        <f t="shared" si="5"/>
        <v>2500</v>
      </c>
      <c r="H27" s="33">
        <f t="shared" si="2"/>
        <v>43.75</v>
      </c>
      <c r="I27" s="19">
        <f t="shared" si="3"/>
        <v>2456.25</v>
      </c>
    </row>
    <row r="28">
      <c r="A28" s="13">
        <v>46261.0</v>
      </c>
      <c r="B28" s="16" t="s">
        <v>39</v>
      </c>
      <c r="C28" s="39">
        <v>2.0</v>
      </c>
      <c r="D28" s="19">
        <v>1800.0</v>
      </c>
      <c r="E28" s="19">
        <v>0.0</v>
      </c>
      <c r="F28" s="19">
        <v>0.0</v>
      </c>
      <c r="G28" s="19">
        <f t="shared" si="5"/>
        <v>1800</v>
      </c>
      <c r="H28" s="33">
        <f t="shared" si="2"/>
        <v>31.5</v>
      </c>
      <c r="I28" s="19">
        <f t="shared" si="3"/>
        <v>1768.5</v>
      </c>
    </row>
    <row r="29">
      <c r="A29" s="13">
        <v>46262.0</v>
      </c>
      <c r="B29" s="16" t="s">
        <v>42</v>
      </c>
      <c r="C29" s="39">
        <v>0.0</v>
      </c>
      <c r="D29" s="19">
        <v>0.0</v>
      </c>
      <c r="E29" s="19">
        <v>0.0</v>
      </c>
      <c r="F29" s="19">
        <v>0.0</v>
      </c>
      <c r="G29" s="19">
        <f t="shared" si="5"/>
        <v>0</v>
      </c>
      <c r="H29" s="33">
        <f t="shared" si="2"/>
        <v>0</v>
      </c>
      <c r="I29" s="19">
        <f t="shared" si="3"/>
        <v>0</v>
      </c>
    </row>
    <row r="30">
      <c r="A30" s="13">
        <v>46263.0</v>
      </c>
      <c r="B30" s="16" t="s">
        <v>17</v>
      </c>
      <c r="C30" s="39">
        <v>0.0</v>
      </c>
      <c r="D30" s="19">
        <v>0.0</v>
      </c>
      <c r="E30" s="19">
        <v>0.0</v>
      </c>
      <c r="F30" s="19">
        <v>300.0</v>
      </c>
      <c r="G30" s="19">
        <f t="shared" si="5"/>
        <v>300</v>
      </c>
      <c r="H30" s="33">
        <f t="shared" si="2"/>
        <v>5.25</v>
      </c>
      <c r="I30" s="19">
        <f t="shared" si="3"/>
        <v>294.75</v>
      </c>
    </row>
    <row r="31">
      <c r="A31" s="13">
        <v>46264.0</v>
      </c>
      <c r="B31" s="16" t="s">
        <v>31</v>
      </c>
      <c r="C31" s="18">
        <v>0.0</v>
      </c>
      <c r="D31" s="49">
        <v>0.0</v>
      </c>
      <c r="E31" s="49">
        <v>0.0</v>
      </c>
      <c r="F31" s="49">
        <v>0.0</v>
      </c>
      <c r="G31" s="19">
        <f t="shared" si="5"/>
        <v>0</v>
      </c>
      <c r="H31" s="33">
        <f t="shared" si="2"/>
        <v>0</v>
      </c>
      <c r="I31" s="19">
        <f t="shared" si="3"/>
        <v>0</v>
      </c>
    </row>
    <row r="32">
      <c r="A32" s="13">
        <v>46265.0</v>
      </c>
      <c r="B32" s="16" t="s">
        <v>33</v>
      </c>
      <c r="C32" s="18">
        <v>0.0</v>
      </c>
      <c r="D32" s="49">
        <v>0.0</v>
      </c>
      <c r="E32" s="49">
        <v>0.0</v>
      </c>
      <c r="F32" s="49">
        <v>0.0</v>
      </c>
      <c r="G32" s="19">
        <f t="shared" si="5"/>
        <v>0</v>
      </c>
      <c r="H32" s="33">
        <f t="shared" si="2"/>
        <v>0</v>
      </c>
      <c r="I32" s="19">
        <f t="shared" si="3"/>
        <v>0</v>
      </c>
    </row>
    <row r="33">
      <c r="A33" s="37" t="s">
        <v>34</v>
      </c>
      <c r="B33" s="42"/>
      <c r="C33" s="59"/>
      <c r="D33" s="40">
        <f t="shared" ref="D33:I33" si="6">SUM(D2:D32)</f>
        <v>9617</v>
      </c>
      <c r="E33" s="40">
        <f t="shared" si="6"/>
        <v>18280</v>
      </c>
      <c r="F33" s="40">
        <f t="shared" si="6"/>
        <v>4000</v>
      </c>
      <c r="G33" s="40">
        <f t="shared" si="6"/>
        <v>31897</v>
      </c>
      <c r="H33" s="40">
        <f t="shared" si="6"/>
        <v>558.1975</v>
      </c>
      <c r="I33" s="40">
        <f t="shared" si="6"/>
        <v>31338.8025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2" t="s">
        <v>0</v>
      </c>
      <c r="B1" s="2" t="s">
        <v>1</v>
      </c>
      <c r="C1" s="2" t="s">
        <v>22</v>
      </c>
      <c r="D1" s="2" t="s">
        <v>23</v>
      </c>
      <c r="E1" s="21" t="s">
        <v>24</v>
      </c>
      <c r="F1" s="2" t="s">
        <v>14</v>
      </c>
      <c r="G1" s="22" t="s">
        <v>26</v>
      </c>
      <c r="H1" s="22" t="s">
        <v>27</v>
      </c>
      <c r="I1" s="2" t="s">
        <v>19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26"/>
      <c r="B2" s="28" t="s">
        <v>5</v>
      </c>
      <c r="C2" s="30">
        <v>112290.0</v>
      </c>
      <c r="D2" s="30">
        <v>7860.0</v>
      </c>
      <c r="E2" s="30">
        <v>1414.0</v>
      </c>
      <c r="F2" s="19">
        <f>C2-D2-E2</f>
        <v>103016</v>
      </c>
      <c r="G2" s="30">
        <v>561.0</v>
      </c>
      <c r="H2" s="30">
        <v>112.0</v>
      </c>
      <c r="I2" s="30">
        <f>F2-G2-H2</f>
        <v>102343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26"/>
      <c r="B3" s="34"/>
      <c r="C3" s="34"/>
      <c r="D3" s="34"/>
      <c r="E3" s="34"/>
      <c r="F3" s="34"/>
      <c r="G3" s="34"/>
      <c r="H3" s="34"/>
      <c r="I3" s="34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26"/>
      <c r="B4" s="37" t="s">
        <v>34</v>
      </c>
      <c r="C4" s="40">
        <f t="shared" ref="C4:F4" si="1">SUM(C2:C3)</f>
        <v>112290</v>
      </c>
      <c r="D4" s="40">
        <f t="shared" si="1"/>
        <v>7860</v>
      </c>
      <c r="E4" s="40">
        <f t="shared" si="1"/>
        <v>1414</v>
      </c>
      <c r="F4" s="40">
        <f t="shared" si="1"/>
        <v>103016</v>
      </c>
      <c r="G4" s="42"/>
      <c r="H4" s="42"/>
      <c r="I4" s="40">
        <f>SUM(I2:I3)</f>
        <v>102343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38"/>
    <col customWidth="1" min="5" max="5" width="17.75"/>
    <col customWidth="1" min="6" max="7" width="15.25"/>
    <col customWidth="1" min="10" max="10" width="14.13"/>
    <col customWidth="1" min="11" max="11" width="26.25"/>
  </cols>
  <sheetData>
    <row r="1">
      <c r="A1" s="3" t="s">
        <v>1</v>
      </c>
      <c r="B1" s="5" t="s">
        <v>4</v>
      </c>
      <c r="C1" s="6" t="s">
        <v>9</v>
      </c>
      <c r="D1" s="3" t="s">
        <v>11</v>
      </c>
      <c r="E1" s="10" t="s">
        <v>13</v>
      </c>
      <c r="F1" s="2" t="s">
        <v>15</v>
      </c>
      <c r="G1" s="2" t="s">
        <v>12</v>
      </c>
      <c r="H1" s="14" t="s">
        <v>14</v>
      </c>
      <c r="I1" s="14" t="s">
        <v>18</v>
      </c>
      <c r="J1" s="14" t="s">
        <v>19</v>
      </c>
      <c r="K1" s="3" t="s">
        <v>20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25">
        <v>46250.0</v>
      </c>
      <c r="B2" s="27" t="s">
        <v>25</v>
      </c>
      <c r="C2" s="27" t="s">
        <v>29</v>
      </c>
      <c r="D2" s="29">
        <v>8994.0</v>
      </c>
      <c r="E2" s="32">
        <f>D2*5%</f>
        <v>449.7</v>
      </c>
      <c r="F2" s="30">
        <v>160.0</v>
      </c>
      <c r="G2" s="19">
        <v>0.0</v>
      </c>
      <c r="H2" s="35">
        <f t="shared" ref="H2:H3" si="1">D2-E2-G2</f>
        <v>8544.3</v>
      </c>
      <c r="I2" s="38">
        <f>D2*2%</f>
        <v>179.88</v>
      </c>
      <c r="J2" s="35">
        <f t="shared" ref="J2:J3" si="2">H2-I2</f>
        <v>8364.42</v>
      </c>
      <c r="K2" s="41" t="s">
        <v>36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25"/>
      <c r="B3" s="44" t="s">
        <v>25</v>
      </c>
      <c r="C3" s="44" t="s">
        <v>29</v>
      </c>
      <c r="D3" s="43">
        <v>1500.0</v>
      </c>
      <c r="E3" s="48">
        <f>D3*3%</f>
        <v>45</v>
      </c>
      <c r="F3" s="49">
        <v>0.0</v>
      </c>
      <c r="G3" s="49">
        <f>D3*1.75%</f>
        <v>26.25</v>
      </c>
      <c r="H3" s="35">
        <f t="shared" si="1"/>
        <v>1428.75</v>
      </c>
      <c r="I3" s="41">
        <v>0.0</v>
      </c>
      <c r="J3" s="35">
        <f t="shared" si="2"/>
        <v>1428.75</v>
      </c>
      <c r="K3" s="41" t="s">
        <v>44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51" t="s">
        <v>34</v>
      </c>
      <c r="B4" s="52"/>
      <c r="C4" s="52"/>
      <c r="D4" s="54">
        <f t="shared" ref="D4:J4" si="3">SUM(D2:D3)</f>
        <v>10494</v>
      </c>
      <c r="E4" s="54">
        <f t="shared" si="3"/>
        <v>494.7</v>
      </c>
      <c r="F4" s="54">
        <f t="shared" si="3"/>
        <v>160</v>
      </c>
      <c r="G4" s="54">
        <f t="shared" si="3"/>
        <v>26.25</v>
      </c>
      <c r="H4" s="54">
        <f t="shared" si="3"/>
        <v>9973.05</v>
      </c>
      <c r="I4" s="54">
        <f t="shared" si="3"/>
        <v>179.88</v>
      </c>
      <c r="J4" s="54">
        <f t="shared" si="3"/>
        <v>9793.17</v>
      </c>
      <c r="K4" s="36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11" t="s">
        <v>73</v>
      </c>
      <c r="B1" s="11" t="s">
        <v>74</v>
      </c>
      <c r="C1" s="11" t="s">
        <v>11</v>
      </c>
      <c r="D1" s="7" t="s">
        <v>12</v>
      </c>
      <c r="E1" s="11" t="s">
        <v>14</v>
      </c>
    </row>
    <row r="2">
      <c r="A2" s="46" t="s">
        <v>25</v>
      </c>
      <c r="B2" s="41" t="s">
        <v>75</v>
      </c>
      <c r="C2" s="48">
        <v>48750.0</v>
      </c>
      <c r="D2" s="19">
        <f>C2*1.75%</f>
        <v>853.125</v>
      </c>
      <c r="E2" s="19">
        <f>C2-D2</f>
        <v>47896.875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4" width="18.38"/>
    <col customWidth="1" min="5" max="5" width="15.25"/>
  </cols>
  <sheetData>
    <row r="1">
      <c r="A1" s="2" t="s">
        <v>1</v>
      </c>
      <c r="B1" s="2" t="s">
        <v>58</v>
      </c>
      <c r="C1" s="14" t="s">
        <v>76</v>
      </c>
      <c r="D1" s="11" t="s">
        <v>77</v>
      </c>
      <c r="E1" s="14" t="s">
        <v>12</v>
      </c>
      <c r="F1" s="14" t="s">
        <v>14</v>
      </c>
    </row>
    <row r="2">
      <c r="A2" s="13">
        <v>46235.0</v>
      </c>
      <c r="B2" s="19">
        <v>20.0</v>
      </c>
      <c r="C2" s="19">
        <f t="shared" ref="C2:C32" si="1">B2*75%</f>
        <v>15</v>
      </c>
      <c r="D2" s="19">
        <f t="shared" ref="D2:D32" si="2">B2*25%</f>
        <v>5</v>
      </c>
      <c r="E2" s="33">
        <f t="shared" ref="E2:E32" si="3">B2*1.75%</f>
        <v>0.35</v>
      </c>
      <c r="F2" s="19">
        <f t="shared" ref="F2:F32" si="4">D2-E2</f>
        <v>4.65</v>
      </c>
    </row>
    <row r="3">
      <c r="A3" s="13">
        <v>46236.0</v>
      </c>
      <c r="B3" s="19">
        <v>510.0</v>
      </c>
      <c r="C3" s="19">
        <f t="shared" si="1"/>
        <v>382.5</v>
      </c>
      <c r="D3" s="19">
        <f t="shared" si="2"/>
        <v>127.5</v>
      </c>
      <c r="E3" s="33">
        <f t="shared" si="3"/>
        <v>8.925</v>
      </c>
      <c r="F3" s="19">
        <f t="shared" si="4"/>
        <v>118.575</v>
      </c>
    </row>
    <row r="4">
      <c r="A4" s="13">
        <v>46237.0</v>
      </c>
      <c r="B4" s="19">
        <v>75.0</v>
      </c>
      <c r="C4" s="19">
        <f t="shared" si="1"/>
        <v>56.25</v>
      </c>
      <c r="D4" s="19">
        <f t="shared" si="2"/>
        <v>18.75</v>
      </c>
      <c r="E4" s="33">
        <f t="shared" si="3"/>
        <v>1.3125</v>
      </c>
      <c r="F4" s="19">
        <f t="shared" si="4"/>
        <v>17.4375</v>
      </c>
    </row>
    <row r="5">
      <c r="A5" s="13">
        <v>46238.0</v>
      </c>
      <c r="B5" s="19">
        <v>40.0</v>
      </c>
      <c r="C5" s="19">
        <f t="shared" si="1"/>
        <v>30</v>
      </c>
      <c r="D5" s="19">
        <f t="shared" si="2"/>
        <v>10</v>
      </c>
      <c r="E5" s="33">
        <f t="shared" si="3"/>
        <v>0.7</v>
      </c>
      <c r="F5" s="19">
        <f t="shared" si="4"/>
        <v>9.3</v>
      </c>
    </row>
    <row r="6">
      <c r="A6" s="13">
        <v>46239.0</v>
      </c>
      <c r="B6" s="19">
        <v>125.0</v>
      </c>
      <c r="C6" s="19">
        <f t="shared" si="1"/>
        <v>93.75</v>
      </c>
      <c r="D6" s="19">
        <f t="shared" si="2"/>
        <v>31.25</v>
      </c>
      <c r="E6" s="33">
        <f t="shared" si="3"/>
        <v>2.1875</v>
      </c>
      <c r="F6" s="19">
        <f t="shared" si="4"/>
        <v>29.0625</v>
      </c>
    </row>
    <row r="7">
      <c r="A7" s="13">
        <v>46240.0</v>
      </c>
      <c r="B7" s="19">
        <v>0.0</v>
      </c>
      <c r="C7" s="19">
        <f t="shared" si="1"/>
        <v>0</v>
      </c>
      <c r="D7" s="19">
        <f t="shared" si="2"/>
        <v>0</v>
      </c>
      <c r="E7" s="33">
        <f t="shared" si="3"/>
        <v>0</v>
      </c>
      <c r="F7" s="19">
        <f t="shared" si="4"/>
        <v>0</v>
      </c>
    </row>
    <row r="8">
      <c r="A8" s="13">
        <v>46241.0</v>
      </c>
      <c r="B8" s="19">
        <v>0.0</v>
      </c>
      <c r="C8" s="19">
        <f t="shared" si="1"/>
        <v>0</v>
      </c>
      <c r="D8" s="19">
        <f t="shared" si="2"/>
        <v>0</v>
      </c>
      <c r="E8" s="33">
        <f t="shared" si="3"/>
        <v>0</v>
      </c>
      <c r="F8" s="19">
        <f t="shared" si="4"/>
        <v>0</v>
      </c>
    </row>
    <row r="9">
      <c r="A9" s="13">
        <v>46242.0</v>
      </c>
      <c r="B9" s="19">
        <v>0.0</v>
      </c>
      <c r="C9" s="19">
        <f t="shared" si="1"/>
        <v>0</v>
      </c>
      <c r="D9" s="19">
        <f t="shared" si="2"/>
        <v>0</v>
      </c>
      <c r="E9" s="33">
        <f t="shared" si="3"/>
        <v>0</v>
      </c>
      <c r="F9" s="19">
        <f t="shared" si="4"/>
        <v>0</v>
      </c>
    </row>
    <row r="10">
      <c r="A10" s="13">
        <v>46243.0</v>
      </c>
      <c r="B10" s="19">
        <v>70.0</v>
      </c>
      <c r="C10" s="19">
        <f t="shared" si="1"/>
        <v>52.5</v>
      </c>
      <c r="D10" s="19">
        <f t="shared" si="2"/>
        <v>17.5</v>
      </c>
      <c r="E10" s="33">
        <f t="shared" si="3"/>
        <v>1.225</v>
      </c>
      <c r="F10" s="19">
        <f t="shared" si="4"/>
        <v>16.275</v>
      </c>
    </row>
    <row r="11">
      <c r="A11" s="13">
        <v>46244.0</v>
      </c>
      <c r="B11" s="19">
        <v>270.0</v>
      </c>
      <c r="C11" s="19">
        <f t="shared" si="1"/>
        <v>202.5</v>
      </c>
      <c r="D11" s="19">
        <f t="shared" si="2"/>
        <v>67.5</v>
      </c>
      <c r="E11" s="33">
        <f t="shared" si="3"/>
        <v>4.725</v>
      </c>
      <c r="F11" s="19">
        <f t="shared" si="4"/>
        <v>62.775</v>
      </c>
    </row>
    <row r="12">
      <c r="A12" s="13">
        <v>46245.0</v>
      </c>
      <c r="B12" s="19">
        <v>0.0</v>
      </c>
      <c r="C12" s="19">
        <f t="shared" si="1"/>
        <v>0</v>
      </c>
      <c r="D12" s="19">
        <f t="shared" si="2"/>
        <v>0</v>
      </c>
      <c r="E12" s="33">
        <f t="shared" si="3"/>
        <v>0</v>
      </c>
      <c r="F12" s="19">
        <f t="shared" si="4"/>
        <v>0</v>
      </c>
    </row>
    <row r="13">
      <c r="A13" s="13">
        <v>46246.0</v>
      </c>
      <c r="B13" s="19">
        <v>765.0</v>
      </c>
      <c r="C13" s="19">
        <f t="shared" si="1"/>
        <v>573.75</v>
      </c>
      <c r="D13" s="19">
        <f t="shared" si="2"/>
        <v>191.25</v>
      </c>
      <c r="E13" s="33">
        <f t="shared" si="3"/>
        <v>13.3875</v>
      </c>
      <c r="F13" s="19">
        <f t="shared" si="4"/>
        <v>177.8625</v>
      </c>
    </row>
    <row r="14">
      <c r="A14" s="13">
        <v>46247.0</v>
      </c>
      <c r="B14" s="19">
        <v>615.0</v>
      </c>
      <c r="C14" s="19">
        <f t="shared" si="1"/>
        <v>461.25</v>
      </c>
      <c r="D14" s="19">
        <f t="shared" si="2"/>
        <v>153.75</v>
      </c>
      <c r="E14" s="33">
        <f t="shared" si="3"/>
        <v>10.7625</v>
      </c>
      <c r="F14" s="19">
        <f t="shared" si="4"/>
        <v>142.9875</v>
      </c>
    </row>
    <row r="15">
      <c r="A15" s="13">
        <v>46248.0</v>
      </c>
      <c r="B15" s="19">
        <v>245.0</v>
      </c>
      <c r="C15" s="19">
        <f t="shared" si="1"/>
        <v>183.75</v>
      </c>
      <c r="D15" s="19">
        <f t="shared" si="2"/>
        <v>61.25</v>
      </c>
      <c r="E15" s="33">
        <f t="shared" si="3"/>
        <v>4.2875</v>
      </c>
      <c r="F15" s="19">
        <f t="shared" si="4"/>
        <v>56.9625</v>
      </c>
    </row>
    <row r="16">
      <c r="A16" s="13">
        <v>46249.0</v>
      </c>
      <c r="B16" s="19">
        <v>70.0</v>
      </c>
      <c r="C16" s="19">
        <f t="shared" si="1"/>
        <v>52.5</v>
      </c>
      <c r="D16" s="19">
        <f t="shared" si="2"/>
        <v>17.5</v>
      </c>
      <c r="E16" s="33">
        <f t="shared" si="3"/>
        <v>1.225</v>
      </c>
      <c r="F16" s="19">
        <f t="shared" si="4"/>
        <v>16.275</v>
      </c>
    </row>
    <row r="17">
      <c r="A17" s="13">
        <v>46250.0</v>
      </c>
      <c r="B17" s="19">
        <v>245.0</v>
      </c>
      <c r="C17" s="19">
        <f t="shared" si="1"/>
        <v>183.75</v>
      </c>
      <c r="D17" s="19">
        <f t="shared" si="2"/>
        <v>61.25</v>
      </c>
      <c r="E17" s="33">
        <f t="shared" si="3"/>
        <v>4.2875</v>
      </c>
      <c r="F17" s="19">
        <f t="shared" si="4"/>
        <v>56.9625</v>
      </c>
    </row>
    <row r="18">
      <c r="A18" s="13">
        <v>46251.0</v>
      </c>
      <c r="B18" s="19">
        <v>0.0</v>
      </c>
      <c r="C18" s="19">
        <f t="shared" si="1"/>
        <v>0</v>
      </c>
      <c r="D18" s="19">
        <f t="shared" si="2"/>
        <v>0</v>
      </c>
      <c r="E18" s="33">
        <f t="shared" si="3"/>
        <v>0</v>
      </c>
      <c r="F18" s="19">
        <f t="shared" si="4"/>
        <v>0</v>
      </c>
    </row>
    <row r="19">
      <c r="A19" s="13">
        <v>46252.0</v>
      </c>
      <c r="B19" s="19">
        <v>0.0</v>
      </c>
      <c r="C19" s="19">
        <f t="shared" si="1"/>
        <v>0</v>
      </c>
      <c r="D19" s="19">
        <f t="shared" si="2"/>
        <v>0</v>
      </c>
      <c r="E19" s="33">
        <f t="shared" si="3"/>
        <v>0</v>
      </c>
      <c r="F19" s="19">
        <f t="shared" si="4"/>
        <v>0</v>
      </c>
    </row>
    <row r="20">
      <c r="A20" s="13">
        <v>46253.0</v>
      </c>
      <c r="B20" s="19">
        <v>200.0</v>
      </c>
      <c r="C20" s="19">
        <f t="shared" si="1"/>
        <v>150</v>
      </c>
      <c r="D20" s="19">
        <f t="shared" si="2"/>
        <v>50</v>
      </c>
      <c r="E20" s="33">
        <f t="shared" si="3"/>
        <v>3.5</v>
      </c>
      <c r="F20" s="19">
        <f t="shared" si="4"/>
        <v>46.5</v>
      </c>
    </row>
    <row r="21">
      <c r="A21" s="13">
        <v>46254.0</v>
      </c>
      <c r="B21" s="19">
        <v>35.0</v>
      </c>
      <c r="C21" s="19">
        <f t="shared" si="1"/>
        <v>26.25</v>
      </c>
      <c r="D21" s="19">
        <f t="shared" si="2"/>
        <v>8.75</v>
      </c>
      <c r="E21" s="33">
        <f t="shared" si="3"/>
        <v>0.6125</v>
      </c>
      <c r="F21" s="19">
        <f t="shared" si="4"/>
        <v>8.1375</v>
      </c>
    </row>
    <row r="22">
      <c r="A22" s="13">
        <v>46255.0</v>
      </c>
      <c r="B22" s="19">
        <v>140.0</v>
      </c>
      <c r="C22" s="19">
        <f t="shared" si="1"/>
        <v>105</v>
      </c>
      <c r="D22" s="19">
        <f t="shared" si="2"/>
        <v>35</v>
      </c>
      <c r="E22" s="33">
        <f t="shared" si="3"/>
        <v>2.45</v>
      </c>
      <c r="F22" s="19">
        <f t="shared" si="4"/>
        <v>32.55</v>
      </c>
    </row>
    <row r="23">
      <c r="A23" s="13">
        <v>46256.0</v>
      </c>
      <c r="B23" s="19">
        <v>325.0</v>
      </c>
      <c r="C23" s="19">
        <f t="shared" si="1"/>
        <v>243.75</v>
      </c>
      <c r="D23" s="19">
        <f t="shared" si="2"/>
        <v>81.25</v>
      </c>
      <c r="E23" s="33">
        <f t="shared" si="3"/>
        <v>5.6875</v>
      </c>
      <c r="F23" s="19">
        <f t="shared" si="4"/>
        <v>75.5625</v>
      </c>
    </row>
    <row r="24">
      <c r="A24" s="13">
        <v>46257.0</v>
      </c>
      <c r="B24" s="19">
        <v>35.0</v>
      </c>
      <c r="C24" s="19">
        <f t="shared" si="1"/>
        <v>26.25</v>
      </c>
      <c r="D24" s="19">
        <f t="shared" si="2"/>
        <v>8.75</v>
      </c>
      <c r="E24" s="33">
        <f t="shared" si="3"/>
        <v>0.6125</v>
      </c>
      <c r="F24" s="19">
        <f t="shared" si="4"/>
        <v>8.1375</v>
      </c>
    </row>
    <row r="25">
      <c r="A25" s="13">
        <v>46258.0</v>
      </c>
      <c r="B25" s="19">
        <v>0.0</v>
      </c>
      <c r="C25" s="19">
        <f t="shared" si="1"/>
        <v>0</v>
      </c>
      <c r="D25" s="19">
        <f t="shared" si="2"/>
        <v>0</v>
      </c>
      <c r="E25" s="33">
        <f t="shared" si="3"/>
        <v>0</v>
      </c>
      <c r="F25" s="19">
        <f t="shared" si="4"/>
        <v>0</v>
      </c>
    </row>
    <row r="26">
      <c r="A26" s="13">
        <v>46259.0</v>
      </c>
      <c r="B26" s="19">
        <v>0.0</v>
      </c>
      <c r="C26" s="19">
        <f t="shared" si="1"/>
        <v>0</v>
      </c>
      <c r="D26" s="19">
        <f t="shared" si="2"/>
        <v>0</v>
      </c>
      <c r="E26" s="33">
        <f t="shared" si="3"/>
        <v>0</v>
      </c>
      <c r="F26" s="19">
        <f t="shared" si="4"/>
        <v>0</v>
      </c>
    </row>
    <row r="27">
      <c r="A27" s="13">
        <v>46260.0</v>
      </c>
      <c r="B27" s="19">
        <v>0.0</v>
      </c>
      <c r="C27" s="19">
        <f t="shared" si="1"/>
        <v>0</v>
      </c>
      <c r="D27" s="19">
        <f t="shared" si="2"/>
        <v>0</v>
      </c>
      <c r="E27" s="33">
        <f t="shared" si="3"/>
        <v>0</v>
      </c>
      <c r="F27" s="19">
        <f t="shared" si="4"/>
        <v>0</v>
      </c>
    </row>
    <row r="28">
      <c r="A28" s="13">
        <v>46261.0</v>
      </c>
      <c r="B28" s="19">
        <v>70.0</v>
      </c>
      <c r="C28" s="19">
        <f t="shared" si="1"/>
        <v>52.5</v>
      </c>
      <c r="D28" s="19">
        <f t="shared" si="2"/>
        <v>17.5</v>
      </c>
      <c r="E28" s="33">
        <f t="shared" si="3"/>
        <v>1.225</v>
      </c>
      <c r="F28" s="19">
        <f t="shared" si="4"/>
        <v>16.275</v>
      </c>
    </row>
    <row r="29">
      <c r="A29" s="13">
        <v>46262.0</v>
      </c>
      <c r="B29" s="19">
        <v>0.0</v>
      </c>
      <c r="C29" s="19">
        <f t="shared" si="1"/>
        <v>0</v>
      </c>
      <c r="D29" s="19">
        <f t="shared" si="2"/>
        <v>0</v>
      </c>
      <c r="E29" s="33">
        <f t="shared" si="3"/>
        <v>0</v>
      </c>
      <c r="F29" s="19">
        <f t="shared" si="4"/>
        <v>0</v>
      </c>
    </row>
    <row r="30">
      <c r="A30" s="13">
        <v>46263.0</v>
      </c>
      <c r="B30" s="19">
        <v>0.0</v>
      </c>
      <c r="C30" s="19">
        <f t="shared" si="1"/>
        <v>0</v>
      </c>
      <c r="D30" s="19">
        <f t="shared" si="2"/>
        <v>0</v>
      </c>
      <c r="E30" s="33">
        <f t="shared" si="3"/>
        <v>0</v>
      </c>
      <c r="F30" s="19">
        <f t="shared" si="4"/>
        <v>0</v>
      </c>
    </row>
    <row r="31">
      <c r="A31" s="13">
        <v>46264.0</v>
      </c>
      <c r="B31" s="49">
        <v>210.0</v>
      </c>
      <c r="C31" s="19">
        <f t="shared" si="1"/>
        <v>157.5</v>
      </c>
      <c r="D31" s="19">
        <f t="shared" si="2"/>
        <v>52.5</v>
      </c>
      <c r="E31" s="33">
        <f t="shared" si="3"/>
        <v>3.675</v>
      </c>
      <c r="F31" s="19">
        <f t="shared" si="4"/>
        <v>48.825</v>
      </c>
    </row>
    <row r="32">
      <c r="A32" s="13">
        <v>46265.0</v>
      </c>
      <c r="B32" s="49">
        <v>0.0</v>
      </c>
      <c r="C32" s="19">
        <f t="shared" si="1"/>
        <v>0</v>
      </c>
      <c r="D32" s="19">
        <f t="shared" si="2"/>
        <v>0</v>
      </c>
      <c r="E32" s="33">
        <f t="shared" si="3"/>
        <v>0</v>
      </c>
      <c r="F32" s="19">
        <f t="shared" si="4"/>
        <v>0</v>
      </c>
    </row>
    <row r="33">
      <c r="A33" s="37" t="s">
        <v>34</v>
      </c>
      <c r="B33" s="40">
        <f t="shared" ref="B33:F33" si="5">SUM(B2:B32)</f>
        <v>4065</v>
      </c>
      <c r="C33" s="40">
        <f t="shared" si="5"/>
        <v>3048.75</v>
      </c>
      <c r="D33" s="5">
        <f t="shared" si="5"/>
        <v>1016.25</v>
      </c>
      <c r="E33" s="5">
        <f t="shared" si="5"/>
        <v>71.1375</v>
      </c>
      <c r="F33" s="5">
        <f t="shared" si="5"/>
        <v>945.1125</v>
      </c>
    </row>
  </sheetData>
  <drawing r:id="rId1"/>
</worksheet>
</file>