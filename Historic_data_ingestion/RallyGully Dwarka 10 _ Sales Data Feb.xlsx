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District" sheetId="5" r:id="rId9"/>
    <sheet state="visible" name="Khelomore" sheetId="6" r:id="rId10"/>
    <sheet state="visible" name="Sportomic" sheetId="7" r:id="rId11"/>
    <sheet state="visible" name="Coaching" sheetId="8" r:id="rId12"/>
    <sheet state="visible" name="Membership" sheetId="9" r:id="rId13"/>
  </sheets>
  <definedNames/>
  <calcPr/>
</workbook>
</file>

<file path=xl/sharedStrings.xml><?xml version="1.0" encoding="utf-8"?>
<sst xmlns="http://schemas.openxmlformats.org/spreadsheetml/2006/main" count="154" uniqueCount="77">
  <si>
    <t>Link</t>
  </si>
  <si>
    <t>Date: 1 - 28 Feb</t>
  </si>
  <si>
    <t>Date</t>
  </si>
  <si>
    <t>Particulars</t>
  </si>
  <si>
    <t>Day</t>
  </si>
  <si>
    <t>Amount</t>
  </si>
  <si>
    <t>Offline booking hours</t>
  </si>
  <si>
    <t>Discount Given</t>
  </si>
  <si>
    <t>Paid to Hudle</t>
  </si>
  <si>
    <t>Commisions (Including GST)</t>
  </si>
  <si>
    <t>Booking Revenue</t>
  </si>
  <si>
    <t>Net Revenue</t>
  </si>
  <si>
    <t>TDS</t>
  </si>
  <si>
    <t>TCS</t>
  </si>
  <si>
    <t>Offline</t>
  </si>
  <si>
    <t>Community Revenue</t>
  </si>
  <si>
    <t xml:space="preserve">Paddle Rental </t>
  </si>
  <si>
    <t>1 - 28 Feb</t>
  </si>
  <si>
    <t>F&amp;B</t>
  </si>
  <si>
    <t>Total Revenue</t>
  </si>
  <si>
    <t>Sunday</t>
  </si>
  <si>
    <t>10% and 0%</t>
  </si>
  <si>
    <t>Rentals</t>
  </si>
  <si>
    <t>Total</t>
  </si>
  <si>
    <t>Paid to Playo (₹)</t>
  </si>
  <si>
    <t>Commissions (₹)</t>
  </si>
  <si>
    <t>GST (₹)</t>
  </si>
  <si>
    <t>TDS (₹)</t>
  </si>
  <si>
    <t>TCS (₹)</t>
  </si>
  <si>
    <t>Final Amount (₹)</t>
  </si>
  <si>
    <t>3 - 6 Feb</t>
  </si>
  <si>
    <t>Monday</t>
  </si>
  <si>
    <t>Tuesday</t>
  </si>
  <si>
    <t>Product Sales</t>
  </si>
  <si>
    <t>Bookings</t>
  </si>
  <si>
    <t>Wednesday</t>
  </si>
  <si>
    <t>Thursday</t>
  </si>
  <si>
    <t>Online: Third Party Platform</t>
  </si>
  <si>
    <t>Friday</t>
  </si>
  <si>
    <t>Saturday</t>
  </si>
  <si>
    <t>Hudle</t>
  </si>
  <si>
    <t>Playo</t>
  </si>
  <si>
    <t>9 -14 Feb</t>
  </si>
  <si>
    <t>District</t>
  </si>
  <si>
    <t>15 - 28 Feb</t>
  </si>
  <si>
    <t>Khelomore</t>
  </si>
  <si>
    <t>Zplys</t>
  </si>
  <si>
    <t>Community</t>
  </si>
  <si>
    <t>Courtly (Organized by RallyGully)</t>
  </si>
  <si>
    <t>Sportomic (Organized by RallyGully)</t>
  </si>
  <si>
    <t xml:space="preserve">Rallygully Community games </t>
  </si>
  <si>
    <t>Misfits Community</t>
  </si>
  <si>
    <t>Memberships</t>
  </si>
  <si>
    <t>Coaching</t>
  </si>
  <si>
    <t>Corporate Events</t>
  </si>
  <si>
    <t>Brand Activation</t>
  </si>
  <si>
    <t>Other Income</t>
  </si>
  <si>
    <t>Total Gross Revenue</t>
  </si>
  <si>
    <t>Total Net Revenue (Post Commissions)</t>
  </si>
  <si>
    <t>Paid to District</t>
  </si>
  <si>
    <t>GST on Commission</t>
  </si>
  <si>
    <t>Total Revenue post GST</t>
  </si>
  <si>
    <t>1 - 15 Feb</t>
  </si>
  <si>
    <t>16 - 28 Feb</t>
  </si>
  <si>
    <t>Paid to Khelomore (₹)</t>
  </si>
  <si>
    <t>Paid to Sportomic (₹)</t>
  </si>
  <si>
    <t>Sports Type</t>
  </si>
  <si>
    <t>Coaching Type</t>
  </si>
  <si>
    <t>Start Date</t>
  </si>
  <si>
    <t>Amount Collected</t>
  </si>
  <si>
    <t>Pickleball</t>
  </si>
  <si>
    <t xml:space="preserve">Adult </t>
  </si>
  <si>
    <t>FEB</t>
  </si>
  <si>
    <t>Member Name</t>
  </si>
  <si>
    <t>Membership Type</t>
  </si>
  <si>
    <t>Sahil</t>
  </si>
  <si>
    <t>Grand slam (90)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</si>
</sst>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₹]#,##0.00"/>
    <numFmt numFmtId="165" formatCode="[&gt;9999999][$₹]##\,##\,##\,##0.00;[&gt;99999][$₹]##\,##\,##0.00;[$₹]##,##0.00"/>
    <numFmt numFmtId="166" formatCode="d mmm"/>
    <numFmt numFmtId="167" formatCode="[&gt;9999999][$₹]##\,##\,##\,##0;[&gt;99999][$₹]##\,##\,##0;[$₹]##,##0"/>
  </numFmts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b/>
      <u/>
      <color rgb="FF0000FF"/>
      <name val="Arial"/>
    </font>
    <font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b/>
      <u/>
      <color rgb="FF0000FF"/>
      <name val="Arial"/>
    </font>
    <font>
      <b/>
      <sz val="11.0"/>
      <color theme="1"/>
      <name val="Calibri"/>
    </font>
    <font>
      <sz val="10.0"/>
      <color theme="1"/>
      <name val="Arial"/>
      <scheme val="minor"/>
    </font>
    <font>
      <b/>
      <sz val="10.0"/>
      <color theme="1"/>
      <name val="Arial"/>
    </font>
    <font>
      <b/>
      <u/>
      <color rgb="FF0000FF"/>
      <name val="Arial"/>
    </font>
    <font>
      <b/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3" fillId="2" fontId="2" numFmtId="0" xfId="0" applyAlignment="1" applyBorder="1" applyFill="1" applyFont="1">
      <alignment horizontal="center" vertical="bottom"/>
    </xf>
    <xf borderId="3" fillId="2" fontId="4" numFmtId="164" xfId="0" applyAlignment="1" applyBorder="1" applyFill="1" applyFont="1" applyNumberFormat="1">
      <alignment horizontal="center" readingOrder="0" vertical="bottom"/>
    </xf>
    <xf borderId="3" fillId="0" fontId="2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  <xf borderId="3" fillId="2" fontId="2" numFmtId="164" xfId="0" applyAlignment="1" applyBorder="1" applyFill="1" applyFont="1" applyNumberFormat="1">
      <alignment horizontal="center" vertical="bottom"/>
    </xf>
    <xf borderId="3" fillId="0" fontId="2" numFmtId="0" xfId="0" applyAlignment="1" applyBorder="1" applyFont="1">
      <alignment vertical="bottom"/>
    </xf>
    <xf borderId="3" fillId="0" fontId="5" numFmtId="164" xfId="0" applyAlignment="1" applyBorder="1" applyFont="1" applyNumberFormat="1">
      <alignment vertical="bottom"/>
    </xf>
    <xf borderId="3" fillId="0" fontId="5" numFmtId="164" xfId="0" applyAlignment="1" applyBorder="1" applyFont="1" applyNumberFormat="1">
      <alignment readingOrder="0" vertical="bottom"/>
    </xf>
    <xf borderId="3" fillId="2" fontId="2" numFmtId="0" xfId="0" applyAlignment="1" applyBorder="1" applyFill="1" applyFont="1">
      <alignment horizontal="center" readingOrder="0" vertical="bottom"/>
    </xf>
    <xf borderId="3" fillId="0" fontId="5" numFmtId="165" xfId="0" applyAlignment="1" applyBorder="1" applyFont="1" applyNumberFormat="1">
      <alignment horizontal="right" readingOrder="0" vertical="bottom"/>
    </xf>
    <xf borderId="3" fillId="0" fontId="5" numFmtId="166" xfId="0" applyAlignment="1" applyBorder="1" applyFont="1" applyNumberFormat="1">
      <alignment horizontal="right" vertical="bottom"/>
    </xf>
    <xf borderId="3" fillId="0" fontId="5" numFmtId="0" xfId="0" applyAlignment="1" applyBorder="1" applyFont="1">
      <alignment vertical="bottom"/>
    </xf>
    <xf borderId="3" fillId="0" fontId="5" numFmtId="0" xfId="0" applyAlignment="1" applyBorder="1" applyFont="1">
      <alignment horizontal="right" readingOrder="0" vertical="bottom"/>
    </xf>
    <xf borderId="3" fillId="0" fontId="5" numFmtId="165" xfId="0" applyAlignment="1" applyBorder="1" applyFont="1" applyNumberFormat="1">
      <alignment horizontal="right" vertical="bottom"/>
    </xf>
    <xf borderId="3" fillId="0" fontId="2" numFmtId="167" xfId="0" applyAlignment="1" applyBorder="1" applyFont="1" applyNumberFormat="1">
      <alignment horizontal="right" vertical="bottom"/>
    </xf>
    <xf borderId="3" fillId="0" fontId="5" numFmtId="164" xfId="0" applyAlignment="1" applyBorder="1" applyFont="1" applyNumberFormat="1">
      <alignment horizontal="right" readingOrder="0" vertical="bottom"/>
    </xf>
    <xf borderId="0" fillId="0" fontId="5" numFmtId="164" xfId="0" applyAlignment="1" applyFont="1" applyNumberFormat="1">
      <alignment vertical="bottom"/>
    </xf>
    <xf borderId="3" fillId="2" fontId="2" numFmtId="164" xfId="0" applyAlignment="1" applyBorder="1" applyFill="1" applyFont="1" applyNumberFormat="1">
      <alignment readingOrder="0" vertical="bottom"/>
    </xf>
    <xf borderId="3" fillId="2" fontId="2" numFmtId="164" xfId="0" applyAlignment="1" applyBorder="1" applyFill="1" applyFont="1" applyNumberFormat="1">
      <alignment horizontal="right" vertical="bottom"/>
    </xf>
    <xf borderId="3" fillId="2" fontId="5" numFmtId="164" xfId="0" applyAlignment="1" applyBorder="1" applyFill="1" applyFont="1" applyNumberFormat="1">
      <alignment vertical="bottom"/>
    </xf>
    <xf borderId="3" fillId="0" fontId="5" numFmtId="167" xfId="0" applyAlignment="1" applyBorder="1" applyFont="1" applyNumberFormat="1">
      <alignment horizontal="right" vertical="bottom"/>
    </xf>
    <xf borderId="3" fillId="0" fontId="5" numFmtId="0" xfId="0" applyAlignment="1" applyBorder="1" applyFont="1">
      <alignment horizontal="right" vertical="bottom"/>
    </xf>
    <xf borderId="3" fillId="0" fontId="5" numFmtId="167" xfId="0" applyAlignment="1" applyBorder="1" applyFont="1" applyNumberFormat="1">
      <alignment horizontal="right" readingOrder="0" vertical="bottom"/>
    </xf>
    <xf borderId="3" fillId="0" fontId="5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5" numFmtId="164" xfId="0" applyAlignment="1" applyFont="1" applyNumberFormat="1">
      <alignment readingOrder="0" vertical="bottom"/>
    </xf>
    <xf borderId="3" fillId="0" fontId="6" numFmtId="164" xfId="0" applyAlignment="1" applyBorder="1" applyFont="1" applyNumberFormat="1">
      <alignment readingOrder="0" shrinkToFit="0" vertical="bottom" wrapText="0"/>
    </xf>
    <xf borderId="3" fillId="0" fontId="7" numFmtId="164" xfId="0" applyAlignment="1" applyBorder="1" applyFont="1" applyNumberFormat="1">
      <alignment readingOrder="0"/>
    </xf>
    <xf borderId="3" fillId="0" fontId="2" numFmtId="0" xfId="0" applyAlignment="1" applyBorder="1" applyFont="1">
      <alignment readingOrder="0" vertical="bottom"/>
    </xf>
    <xf borderId="3" fillId="2" fontId="2" numFmtId="0" xfId="0" applyAlignment="1" applyBorder="1" applyFill="1" applyFont="1">
      <alignment readingOrder="0" vertical="bottom"/>
    </xf>
    <xf borderId="3" fillId="2" fontId="2" numFmtId="4" xfId="0" applyAlignment="1" applyBorder="1" applyFill="1" applyFont="1" applyNumberFormat="1">
      <alignment horizontal="right" vertical="bottom"/>
    </xf>
    <xf borderId="3" fillId="2" fontId="2" numFmtId="4" xfId="0" applyAlignment="1" applyBorder="1" applyFill="1" applyFont="1" applyNumberFormat="1">
      <alignment vertical="bottom"/>
    </xf>
    <xf borderId="3" fillId="2" fontId="2" numFmtId="0" xfId="0" applyAlignment="1" applyBorder="1" applyFill="1" applyFont="1">
      <alignment vertical="bottom"/>
    </xf>
    <xf borderId="3" fillId="2" fontId="2" numFmtId="165" xfId="0" applyAlignment="1" applyBorder="1" applyFill="1" applyFont="1" applyNumberFormat="1">
      <alignment horizontal="right" vertical="bottom"/>
    </xf>
    <xf borderId="3" fillId="2" fontId="2" numFmtId="0" xfId="0" applyAlignment="1" applyBorder="1" applyFill="1" applyFont="1">
      <alignment horizontal="center" vertical="bottom"/>
    </xf>
    <xf borderId="3" fillId="0" fontId="2" numFmtId="167" xfId="0" applyAlignment="1" applyBorder="1" applyFont="1" applyNumberFormat="1">
      <alignment horizontal="right" readingOrder="0" vertical="bottom"/>
    </xf>
    <xf borderId="3" fillId="2" fontId="5" numFmtId="0" xfId="0" applyAlignment="1" applyBorder="1" applyFill="1" applyFont="1">
      <alignment vertical="bottom"/>
    </xf>
    <xf borderId="3" fillId="0" fontId="1" numFmtId="167" xfId="0" applyAlignment="1" applyBorder="1" applyFont="1" applyNumberFormat="1">
      <alignment horizontal="right" readingOrder="0"/>
    </xf>
    <xf borderId="4" fillId="0" fontId="2" numFmtId="0" xfId="0" applyAlignment="1" applyBorder="1" applyFont="1">
      <alignment vertical="bottom"/>
    </xf>
    <xf borderId="4" fillId="0" fontId="5" numFmtId="167" xfId="0" applyAlignment="1" applyBorder="1" applyFont="1" applyNumberFormat="1">
      <alignment horizontal="right" vertical="bottom"/>
    </xf>
    <xf borderId="3" fillId="0" fontId="5" numFmtId="0" xfId="0" applyAlignment="1" applyBorder="1" applyFont="1">
      <alignment shrinkToFit="0" vertical="bottom" wrapText="1"/>
    </xf>
    <xf borderId="0" fillId="2" fontId="8" numFmtId="164" xfId="0" applyAlignment="1" applyFill="1" applyFont="1" applyNumberFormat="1">
      <alignment horizontal="center" readingOrder="0" vertical="bottom"/>
    </xf>
    <xf borderId="0" fillId="2" fontId="9" numFmtId="164" xfId="0" applyAlignment="1" applyFill="1" applyFont="1" applyNumberFormat="1">
      <alignment vertical="bottom"/>
    </xf>
    <xf borderId="3" fillId="0" fontId="2" numFmtId="164" xfId="0" applyAlignment="1" applyBorder="1" applyFont="1" applyNumberFormat="1">
      <alignment horizontal="right" readingOrder="0" vertical="bottom"/>
    </xf>
    <xf borderId="0" fillId="2" fontId="2" numFmtId="164" xfId="0" applyAlignment="1" applyFill="1" applyFont="1" applyNumberFormat="1">
      <alignment horizontal="center" vertical="bottom"/>
    </xf>
    <xf borderId="0" fillId="0" fontId="5" numFmtId="166" xfId="0" applyAlignment="1" applyFont="1" applyNumberFormat="1">
      <alignment vertical="bottom"/>
    </xf>
    <xf borderId="3" fillId="0" fontId="5" numFmtId="165" xfId="0" applyAlignment="1" applyBorder="1" applyFont="1" applyNumberFormat="1">
      <alignment readingOrder="0" vertical="bottom"/>
    </xf>
    <xf borderId="3" fillId="0" fontId="5" numFmtId="165" xfId="0" applyAlignment="1" applyBorder="1" applyFont="1" applyNumberFormat="1">
      <alignment vertical="bottom"/>
    </xf>
    <xf borderId="3" fillId="0" fontId="5" numFmtId="0" xfId="0" applyAlignment="1" applyBorder="1" applyFont="1">
      <alignment readingOrder="0" vertical="bottom"/>
    </xf>
    <xf borderId="3" fillId="2" fontId="5" numFmtId="165" xfId="0" applyAlignment="1" applyBorder="1" applyFill="1" applyFont="1" applyNumberFormat="1">
      <alignment vertical="bottom"/>
    </xf>
    <xf borderId="3" fillId="0" fontId="5" numFmtId="166" xfId="0" applyAlignment="1" applyBorder="1" applyFont="1" applyNumberFormat="1">
      <alignment readingOrder="0" vertical="bottom"/>
    </xf>
    <xf borderId="3" fillId="0" fontId="6" numFmtId="164" xfId="0" applyAlignment="1" applyBorder="1" applyFont="1" applyNumberFormat="1">
      <alignment horizontal="right" readingOrder="0" vertical="bottom"/>
    </xf>
    <xf borderId="3" fillId="0" fontId="6" numFmtId="0" xfId="0" applyAlignment="1" applyBorder="1" applyFont="1">
      <alignment readingOrder="0" vertical="bottom"/>
    </xf>
    <xf borderId="3" fillId="0" fontId="6" numFmtId="166" xfId="0" applyAlignment="1" applyBorder="1" applyFont="1" applyNumberFormat="1">
      <alignment readingOrder="0" vertical="bottom"/>
    </xf>
    <xf borderId="3" fillId="3" fontId="10" numFmtId="164" xfId="0" applyAlignment="1" applyBorder="1" applyFill="1" applyFont="1" applyNumberFormat="1">
      <alignment horizontal="right" readingOrder="0" vertical="bottom"/>
    </xf>
    <xf borderId="0" fillId="0" fontId="9" numFmtId="1" xfId="0" applyAlignment="1" applyFont="1" applyNumberFormat="1">
      <alignment horizontal="right" vertical="bottom"/>
    </xf>
    <xf borderId="3" fillId="0" fontId="6" numFmtId="0" xfId="0" applyAlignment="1" applyBorder="1" applyFont="1">
      <alignment vertical="bottom"/>
    </xf>
    <xf borderId="3" fillId="2" fontId="11" numFmtId="0" xfId="0" applyAlignment="1" applyBorder="1" applyFill="1" applyFont="1">
      <alignment readingOrder="0" vertical="bottom"/>
    </xf>
    <xf borderId="3" fillId="2" fontId="12" numFmtId="0" xfId="0" applyAlignment="1" applyBorder="1" applyFill="1" applyFont="1">
      <alignment horizontal="center" readingOrder="0" vertical="bottom"/>
    </xf>
    <xf borderId="3" fillId="2" fontId="11" numFmtId="164" xfId="0" applyAlignment="1" applyBorder="1" applyFill="1" applyFont="1" applyNumberFormat="1">
      <alignment horizontal="right" vertical="bottom"/>
    </xf>
    <xf borderId="3" fillId="2" fontId="6" numFmtId="1" xfId="0" applyAlignment="1" applyBorder="1" applyFill="1" applyFont="1" applyNumberFormat="1">
      <alignment horizontal="right" vertical="bottom"/>
    </xf>
    <xf borderId="0" fillId="0" fontId="13" numFmtId="1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right" readingOrder="0" vertical="bottom"/>
    </xf>
    <xf borderId="0" fillId="0" fontId="11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3" fillId="2" fontId="2" numFmtId="0" xfId="0" applyAlignment="1" applyBorder="1" applyFill="1" applyFont="1">
      <alignment horizontal="right" vertical="bottom"/>
    </xf>
    <xf borderId="0" fillId="0" fontId="5" numFmtId="0" xfId="0" applyAlignment="1" applyFont="1">
      <alignment readingOrder="0" vertical="bottom"/>
    </xf>
    <xf borderId="3" fillId="0" fontId="7" numFmtId="0" xfId="0" applyAlignment="1" applyBorder="1" applyFont="1">
      <alignment readingOrder="0"/>
    </xf>
    <xf borderId="3" fillId="0" fontId="7" numFmtId="167" xfId="0" applyAlignment="1" applyBorder="1" applyFont="1" applyNumberFormat="1">
      <alignment horizontal="right" readingOrder="0"/>
    </xf>
    <xf borderId="3" fillId="0" fontId="5" numFmtId="166" xfId="0" applyAlignment="1" applyBorder="1" applyFont="1" applyNumberFormat="1">
      <alignment horizontal="right" readingOrder="0" vertical="bottom"/>
    </xf>
    <xf borderId="0" fillId="2" fontId="2" numFmtId="0" xfId="0" applyAlignment="1" applyFill="1" applyFont="1">
      <alignment vertical="bottom"/>
    </xf>
    <xf borderId="0" fillId="2" fontId="5" numFmtId="0" xfId="0" applyAlignment="1" applyFill="1" applyFont="1">
      <alignment vertical="bottom"/>
    </xf>
    <xf borderId="0" fillId="2" fontId="2" numFmtId="164" xfId="0" applyAlignment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xk7gy76L2v7KKZ6RRsTl84ZzxWBkrlqRhMb17IrlMs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fvaRkPg7hhThd1patetasweQyGsxXNjOhhz2BsXI3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mj_T_3MCIe8POWPi3gjtCqbSy5rI8PZ8wj-nh5nqC4k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9IWSeEah7XwhvWbYLZnAtDs_XCSiCUdTzoJAyUOL1M/edit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XWJOlIp44TCRDCjyucAj-kwgR0-UBsuhBxZXJcu6bg/edit?usp=sharing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2" t="s">
        <v>1</v>
      </c>
      <c r="C2" s="3"/>
    </row>
    <row r="3">
      <c r="B3" s="6" t="s">
        <v>3</v>
      </c>
      <c r="C3" s="6" t="s">
        <v>5</v>
      </c>
      <c r="E3" s="7"/>
    </row>
    <row r="4">
      <c r="B4" s="9" t="s">
        <v>14</v>
      </c>
      <c r="C4" s="18">
        <f>SUM(C5,C6,C7,, C8)</f>
        <v>36605</v>
      </c>
      <c r="E4" s="7"/>
    </row>
    <row r="5" outlineLevel="1">
      <c r="B5" s="15" t="s">
        <v>22</v>
      </c>
      <c r="C5" s="24">
        <f>'Offline &amp; RG Community'!G30</f>
        <v>12630</v>
      </c>
      <c r="E5" s="7"/>
    </row>
    <row r="6" outlineLevel="1">
      <c r="B6" s="15" t="s">
        <v>18</v>
      </c>
      <c r="C6" s="26">
        <f>'Offline &amp; RG Community'!H30</f>
        <v>3615</v>
      </c>
      <c r="E6" s="7"/>
    </row>
    <row r="7" outlineLevel="1">
      <c r="B7" s="15" t="s">
        <v>33</v>
      </c>
      <c r="C7" s="24">
        <v>0.0</v>
      </c>
      <c r="E7" s="7"/>
    </row>
    <row r="8" outlineLevel="1">
      <c r="B8" s="15" t="s">
        <v>34</v>
      </c>
      <c r="C8" s="24">
        <f>'Offline &amp; RG Community'!E30</f>
        <v>20360</v>
      </c>
      <c r="E8" s="7"/>
    </row>
    <row r="9">
      <c r="B9" s="9" t="s">
        <v>37</v>
      </c>
      <c r="C9" s="18">
        <f>SUM(C10:C14)</f>
        <v>106075</v>
      </c>
      <c r="E9" s="7"/>
    </row>
    <row r="10" outlineLevel="1">
      <c r="B10" s="27" t="s">
        <v>40</v>
      </c>
      <c r="C10" s="24">
        <f>Hudle!C3</f>
        <v>53245</v>
      </c>
      <c r="E10" s="28"/>
    </row>
    <row r="11" outlineLevel="1">
      <c r="B11" s="15" t="s">
        <v>41</v>
      </c>
      <c r="C11" s="24">
        <f>Playo!C5</f>
        <v>14830</v>
      </c>
      <c r="E11" s="28"/>
    </row>
    <row r="12" outlineLevel="1">
      <c r="B12" s="27" t="s">
        <v>43</v>
      </c>
      <c r="C12" s="26">
        <f>District!C4</f>
        <v>35200</v>
      </c>
    </row>
    <row r="13" outlineLevel="1">
      <c r="B13" s="15" t="s">
        <v>45</v>
      </c>
      <c r="C13" s="26">
        <f>Khelomore!C4</f>
        <v>2800</v>
      </c>
    </row>
    <row r="14">
      <c r="B14" s="11" t="s">
        <v>46</v>
      </c>
      <c r="C14" s="26">
        <v>0.0</v>
      </c>
      <c r="E14" s="7"/>
    </row>
    <row r="15">
      <c r="B15" s="32" t="s">
        <v>47</v>
      </c>
      <c r="C15" s="18">
        <f>SUM(C16:C19)</f>
        <v>54550</v>
      </c>
      <c r="E15" s="7"/>
    </row>
    <row r="16" outlineLevel="1">
      <c r="B16" s="27" t="s">
        <v>48</v>
      </c>
      <c r="C16" s="26">
        <v>0.0</v>
      </c>
      <c r="E16" s="7"/>
    </row>
    <row r="17" outlineLevel="1">
      <c r="B17" s="27" t="s">
        <v>49</v>
      </c>
      <c r="C17" s="26">
        <f>Sportomic!C2</f>
        <v>34100</v>
      </c>
    </row>
    <row r="18" outlineLevel="1">
      <c r="B18" s="27" t="s">
        <v>50</v>
      </c>
      <c r="C18" s="24">
        <f>'Offline &amp; RG Community'!F30</f>
        <v>20450</v>
      </c>
      <c r="E18" s="7"/>
    </row>
    <row r="19" outlineLevel="1">
      <c r="B19" s="15" t="s">
        <v>51</v>
      </c>
      <c r="C19" s="26">
        <v>0.0</v>
      </c>
    </row>
    <row r="20">
      <c r="B20" s="9" t="s">
        <v>52</v>
      </c>
      <c r="C20" s="39">
        <f>Membership!E3</f>
        <v>50000</v>
      </c>
    </row>
    <row r="21">
      <c r="B21" s="32" t="s">
        <v>53</v>
      </c>
      <c r="C21" s="41">
        <f>16500</f>
        <v>16500</v>
      </c>
    </row>
    <row r="22">
      <c r="B22" s="9" t="s">
        <v>54</v>
      </c>
      <c r="C22" s="26">
        <v>0.0</v>
      </c>
    </row>
    <row r="23">
      <c r="B23" s="9" t="s">
        <v>55</v>
      </c>
      <c r="C23" s="26">
        <f>0</f>
        <v>0</v>
      </c>
    </row>
    <row r="24">
      <c r="B24" s="42" t="s">
        <v>56</v>
      </c>
      <c r="C24" s="43">
        <v>0.0</v>
      </c>
    </row>
    <row r="25">
      <c r="B25" s="9" t="s">
        <v>57</v>
      </c>
      <c r="C25" s="18">
        <f>sum(C4,C9,C20,C22,C23,C24,C15, C21)</f>
        <v>263730</v>
      </c>
    </row>
    <row r="26">
      <c r="B26" s="44" t="s">
        <v>58</v>
      </c>
      <c r="C26" s="47">
        <f>'Offline &amp; RG Community'!I30+Hudle!E3+Playo!F5+District!F4+Khelomore!E4+Sportomic!C2+Membership!E3</f>
        <v>238070.94</v>
      </c>
    </row>
    <row r="27">
      <c r="B27" s="9" t="s">
        <v>61</v>
      </c>
      <c r="C27" s="18">
        <f>C26/1.18</f>
        <v>201755.0339</v>
      </c>
    </row>
    <row r="28">
      <c r="B28" s="9"/>
      <c r="C28" s="18"/>
    </row>
    <row r="29">
      <c r="B29" s="9"/>
      <c r="C29" s="18"/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8.25"/>
    <col customWidth="1" min="4" max="4" width="13.25"/>
    <col customWidth="1" min="5" max="5" width="15.13"/>
    <col customWidth="1" min="6" max="6" width="17.63"/>
    <col customWidth="1" min="8" max="8" width="13.63"/>
  </cols>
  <sheetData>
    <row r="1">
      <c r="A1" s="4" t="s">
        <v>2</v>
      </c>
      <c r="B1" s="4" t="s">
        <v>4</v>
      </c>
      <c r="C1" s="4" t="s">
        <v>6</v>
      </c>
      <c r="D1" s="4" t="s">
        <v>7</v>
      </c>
      <c r="E1" s="4" t="s">
        <v>10</v>
      </c>
      <c r="F1" s="4" t="s">
        <v>15</v>
      </c>
      <c r="G1" s="4" t="s">
        <v>16</v>
      </c>
      <c r="H1" s="12" t="s">
        <v>18</v>
      </c>
      <c r="I1" s="4" t="s">
        <v>19</v>
      </c>
    </row>
    <row r="2">
      <c r="A2" s="14">
        <v>46054.0</v>
      </c>
      <c r="B2" s="15" t="s">
        <v>20</v>
      </c>
      <c r="C2" s="16">
        <v>0.0</v>
      </c>
      <c r="D2" s="16" t="s">
        <v>21</v>
      </c>
      <c r="E2" s="16">
        <v>0.0</v>
      </c>
      <c r="F2" s="16">
        <v>0.0</v>
      </c>
      <c r="G2" s="16">
        <v>30.0</v>
      </c>
      <c r="H2" s="16">
        <v>0.0</v>
      </c>
      <c r="I2" s="25">
        <f t="shared" ref="I2:I29" si="1">sum(E2:H2)</f>
        <v>30</v>
      </c>
    </row>
    <row r="3">
      <c r="A3" s="14">
        <v>46055.0</v>
      </c>
      <c r="B3" s="15" t="s">
        <v>31</v>
      </c>
      <c r="C3" s="16">
        <v>1.0</v>
      </c>
      <c r="D3" s="16" t="s">
        <v>21</v>
      </c>
      <c r="E3" s="16">
        <v>720.0</v>
      </c>
      <c r="F3" s="16">
        <v>0.0</v>
      </c>
      <c r="G3" s="16">
        <v>350.0</v>
      </c>
      <c r="H3" s="16">
        <v>0.0</v>
      </c>
      <c r="I3" s="25">
        <f t="shared" si="1"/>
        <v>1070</v>
      </c>
    </row>
    <row r="4">
      <c r="A4" s="14">
        <v>46056.0</v>
      </c>
      <c r="B4" s="15" t="s">
        <v>32</v>
      </c>
      <c r="C4" s="16">
        <v>4.0</v>
      </c>
      <c r="D4" s="16" t="s">
        <v>21</v>
      </c>
      <c r="E4" s="16">
        <v>0.0</v>
      </c>
      <c r="F4" s="16">
        <v>3000.0</v>
      </c>
      <c r="G4" s="16">
        <v>500.0</v>
      </c>
      <c r="H4" s="16">
        <v>0.0</v>
      </c>
      <c r="I4" s="25">
        <f t="shared" si="1"/>
        <v>3500</v>
      </c>
    </row>
    <row r="5">
      <c r="A5" s="14">
        <v>46057.0</v>
      </c>
      <c r="B5" s="15" t="s">
        <v>35</v>
      </c>
      <c r="C5" s="16">
        <v>2.0</v>
      </c>
      <c r="D5" s="16" t="s">
        <v>21</v>
      </c>
      <c r="E5" s="16">
        <v>0.0</v>
      </c>
      <c r="F5" s="16">
        <v>1400.0</v>
      </c>
      <c r="G5" s="16">
        <v>350.0</v>
      </c>
      <c r="H5" s="16">
        <v>0.0</v>
      </c>
      <c r="I5" s="25">
        <f t="shared" si="1"/>
        <v>1750</v>
      </c>
    </row>
    <row r="6">
      <c r="A6" s="14">
        <v>46058.0</v>
      </c>
      <c r="B6" s="15" t="s">
        <v>36</v>
      </c>
      <c r="C6" s="16">
        <v>4.5</v>
      </c>
      <c r="D6" s="16" t="s">
        <v>21</v>
      </c>
      <c r="E6" s="16">
        <v>1920.0</v>
      </c>
      <c r="F6" s="16">
        <v>1000.0</v>
      </c>
      <c r="G6" s="16">
        <v>150.0</v>
      </c>
      <c r="H6" s="16">
        <v>0.0</v>
      </c>
      <c r="I6" s="25">
        <f t="shared" si="1"/>
        <v>3070</v>
      </c>
    </row>
    <row r="7">
      <c r="A7" s="14">
        <v>46059.0</v>
      </c>
      <c r="B7" s="15" t="s">
        <v>38</v>
      </c>
      <c r="C7" s="16">
        <v>3.5</v>
      </c>
      <c r="D7" s="16" t="s">
        <v>21</v>
      </c>
      <c r="E7" s="16">
        <v>2720.0</v>
      </c>
      <c r="F7" s="16">
        <v>0.0</v>
      </c>
      <c r="G7" s="16">
        <v>900.0</v>
      </c>
      <c r="H7" s="16">
        <v>280.0</v>
      </c>
      <c r="I7" s="25">
        <f t="shared" si="1"/>
        <v>3900</v>
      </c>
    </row>
    <row r="8">
      <c r="A8" s="14">
        <v>46060.0</v>
      </c>
      <c r="B8" s="15" t="s">
        <v>39</v>
      </c>
      <c r="C8" s="16">
        <v>2.5</v>
      </c>
      <c r="D8" s="16" t="s">
        <v>21</v>
      </c>
      <c r="E8" s="16">
        <v>400.0</v>
      </c>
      <c r="F8" s="16">
        <v>1200.0</v>
      </c>
      <c r="G8" s="16">
        <v>1150.0</v>
      </c>
      <c r="H8" s="16">
        <v>420.0</v>
      </c>
      <c r="I8" s="25">
        <f t="shared" si="1"/>
        <v>3170</v>
      </c>
    </row>
    <row r="9">
      <c r="A9" s="14">
        <v>46061.0</v>
      </c>
      <c r="B9" s="15" t="s">
        <v>20</v>
      </c>
      <c r="C9" s="16">
        <v>0.5</v>
      </c>
      <c r="D9" s="16" t="s">
        <v>21</v>
      </c>
      <c r="E9" s="16">
        <v>400.0</v>
      </c>
      <c r="F9" s="16">
        <v>0.0</v>
      </c>
      <c r="G9" s="16">
        <v>1000.0</v>
      </c>
      <c r="H9" s="16">
        <v>280.0</v>
      </c>
      <c r="I9" s="25">
        <f t="shared" si="1"/>
        <v>1680</v>
      </c>
    </row>
    <row r="10">
      <c r="A10" s="14">
        <v>46062.0</v>
      </c>
      <c r="B10" s="15" t="s">
        <v>31</v>
      </c>
      <c r="C10" s="16">
        <v>1.5</v>
      </c>
      <c r="D10" s="16" t="s">
        <v>21</v>
      </c>
      <c r="E10" s="16">
        <v>1200.0</v>
      </c>
      <c r="F10" s="16">
        <v>0.0</v>
      </c>
      <c r="G10" s="16">
        <v>300.0</v>
      </c>
      <c r="H10" s="16">
        <v>385.0</v>
      </c>
      <c r="I10" s="25">
        <f t="shared" si="1"/>
        <v>1885</v>
      </c>
    </row>
    <row r="11">
      <c r="A11" s="14">
        <v>46063.0</v>
      </c>
      <c r="B11" s="15" t="s">
        <v>32</v>
      </c>
      <c r="C11" s="16">
        <v>0.0</v>
      </c>
      <c r="D11" s="16" t="s">
        <v>21</v>
      </c>
      <c r="E11" s="16">
        <v>0.0</v>
      </c>
      <c r="F11" s="16">
        <v>0.0</v>
      </c>
      <c r="G11" s="16">
        <v>0.0</v>
      </c>
      <c r="H11" s="16">
        <v>70.0</v>
      </c>
      <c r="I11" s="25">
        <f t="shared" si="1"/>
        <v>70</v>
      </c>
    </row>
    <row r="12">
      <c r="A12" s="14">
        <v>46064.0</v>
      </c>
      <c r="B12" s="15" t="s">
        <v>35</v>
      </c>
      <c r="C12" s="16">
        <v>0.5</v>
      </c>
      <c r="D12" s="16" t="s">
        <v>21</v>
      </c>
      <c r="E12" s="16">
        <v>400.0</v>
      </c>
      <c r="F12" s="16">
        <v>0.0</v>
      </c>
      <c r="G12" s="16">
        <v>550.0</v>
      </c>
      <c r="H12" s="16">
        <v>0.0</v>
      </c>
      <c r="I12" s="25">
        <f t="shared" si="1"/>
        <v>950</v>
      </c>
    </row>
    <row r="13">
      <c r="A13" s="14">
        <v>46065.0</v>
      </c>
      <c r="B13" s="15" t="s">
        <v>36</v>
      </c>
      <c r="C13" s="16">
        <v>0.0</v>
      </c>
      <c r="D13" s="16" t="s">
        <v>21</v>
      </c>
      <c r="E13" s="16">
        <v>0.0</v>
      </c>
      <c r="F13" s="16">
        <v>0.0</v>
      </c>
      <c r="G13" s="16">
        <v>100.0</v>
      </c>
      <c r="H13" s="16">
        <v>70.0</v>
      </c>
      <c r="I13" s="25">
        <f t="shared" si="1"/>
        <v>170</v>
      </c>
    </row>
    <row r="14">
      <c r="A14" s="14">
        <v>46066.0</v>
      </c>
      <c r="B14" s="15" t="s">
        <v>38</v>
      </c>
      <c r="C14" s="16">
        <v>0.0</v>
      </c>
      <c r="D14" s="16" t="s">
        <v>21</v>
      </c>
      <c r="E14" s="16">
        <v>0.0</v>
      </c>
      <c r="F14" s="16">
        <v>0.0</v>
      </c>
      <c r="G14" s="16">
        <v>200.0</v>
      </c>
      <c r="H14" s="16">
        <v>35.0</v>
      </c>
      <c r="I14" s="25">
        <f t="shared" si="1"/>
        <v>235</v>
      </c>
    </row>
    <row r="15">
      <c r="A15" s="14">
        <v>46067.0</v>
      </c>
      <c r="B15" s="15" t="s">
        <v>39</v>
      </c>
      <c r="C15" s="16">
        <v>0.0</v>
      </c>
      <c r="D15" s="16" t="s">
        <v>21</v>
      </c>
      <c r="E15" s="16">
        <v>0.0</v>
      </c>
      <c r="F15" s="16">
        <v>0.0</v>
      </c>
      <c r="G15" s="16">
        <v>1150.0</v>
      </c>
      <c r="H15" s="16">
        <v>140.0</v>
      </c>
      <c r="I15" s="25">
        <f t="shared" si="1"/>
        <v>1290</v>
      </c>
    </row>
    <row r="16">
      <c r="A16" s="14">
        <v>46068.0</v>
      </c>
      <c r="B16" s="15" t="s">
        <v>20</v>
      </c>
      <c r="C16" s="16">
        <v>2.0</v>
      </c>
      <c r="D16" s="16" t="s">
        <v>21</v>
      </c>
      <c r="E16" s="16">
        <v>720.0</v>
      </c>
      <c r="F16" s="16">
        <v>600.0</v>
      </c>
      <c r="G16" s="16">
        <v>500.0</v>
      </c>
      <c r="H16" s="16">
        <v>665.0</v>
      </c>
      <c r="I16" s="25">
        <f t="shared" si="1"/>
        <v>2485</v>
      </c>
    </row>
    <row r="17">
      <c r="A17" s="14">
        <v>46069.0</v>
      </c>
      <c r="B17" s="15" t="s">
        <v>31</v>
      </c>
      <c r="C17" s="16">
        <v>3.0</v>
      </c>
      <c r="D17" s="16" t="s">
        <v>21</v>
      </c>
      <c r="E17" s="16">
        <v>1120.0</v>
      </c>
      <c r="F17" s="16">
        <v>600.0</v>
      </c>
      <c r="G17" s="16">
        <v>350.0</v>
      </c>
      <c r="H17" s="16">
        <v>0.0</v>
      </c>
      <c r="I17" s="25">
        <f t="shared" si="1"/>
        <v>2070</v>
      </c>
    </row>
    <row r="18">
      <c r="A18" s="14">
        <v>46070.0</v>
      </c>
      <c r="B18" s="15" t="s">
        <v>32</v>
      </c>
      <c r="C18" s="16">
        <v>3.0</v>
      </c>
      <c r="D18" s="16" t="s">
        <v>21</v>
      </c>
      <c r="E18" s="16">
        <v>2240.0</v>
      </c>
      <c r="F18" s="16">
        <v>200.0</v>
      </c>
      <c r="G18" s="16">
        <v>700.0</v>
      </c>
      <c r="H18" s="16">
        <v>0.0</v>
      </c>
      <c r="I18" s="25">
        <f t="shared" si="1"/>
        <v>3140</v>
      </c>
    </row>
    <row r="19">
      <c r="A19" s="14">
        <v>46071.0</v>
      </c>
      <c r="B19" s="15" t="s">
        <v>35</v>
      </c>
      <c r="C19" s="16">
        <v>2.0</v>
      </c>
      <c r="D19" s="16" t="s">
        <v>21</v>
      </c>
      <c r="E19" s="16">
        <v>1600.0</v>
      </c>
      <c r="F19" s="16">
        <v>200.0</v>
      </c>
      <c r="G19" s="16">
        <v>0.0</v>
      </c>
      <c r="H19" s="16">
        <v>140.0</v>
      </c>
      <c r="I19" s="25">
        <f t="shared" si="1"/>
        <v>1940</v>
      </c>
    </row>
    <row r="20">
      <c r="A20" s="14">
        <v>46072.0</v>
      </c>
      <c r="B20" s="15" t="s">
        <v>36</v>
      </c>
      <c r="C20" s="16">
        <v>1.0</v>
      </c>
      <c r="D20" s="16" t="s">
        <v>21</v>
      </c>
      <c r="E20" s="16">
        <v>800.0</v>
      </c>
      <c r="F20" s="16">
        <v>200.0</v>
      </c>
      <c r="G20" s="16">
        <v>0.0</v>
      </c>
      <c r="H20" s="16">
        <v>150.0</v>
      </c>
      <c r="I20" s="25">
        <f t="shared" si="1"/>
        <v>1150</v>
      </c>
    </row>
    <row r="21">
      <c r="A21" s="14">
        <v>46073.0</v>
      </c>
      <c r="B21" s="15" t="s">
        <v>38</v>
      </c>
      <c r="C21" s="16">
        <v>4.0</v>
      </c>
      <c r="D21" s="16" t="s">
        <v>21</v>
      </c>
      <c r="E21" s="16">
        <v>1480.0</v>
      </c>
      <c r="F21" s="16">
        <v>1800.0</v>
      </c>
      <c r="G21" s="16">
        <v>100.0</v>
      </c>
      <c r="H21" s="16">
        <v>105.0</v>
      </c>
      <c r="I21" s="25">
        <f t="shared" si="1"/>
        <v>3485</v>
      </c>
    </row>
    <row r="22">
      <c r="A22" s="14">
        <v>46074.0</v>
      </c>
      <c r="B22" s="15" t="s">
        <v>39</v>
      </c>
      <c r="C22" s="16">
        <v>2.0</v>
      </c>
      <c r="D22" s="16" t="s">
        <v>21</v>
      </c>
      <c r="E22" s="16">
        <v>720.0</v>
      </c>
      <c r="F22" s="16">
        <v>1800.0</v>
      </c>
      <c r="G22" s="16">
        <v>750.0</v>
      </c>
      <c r="H22" s="16">
        <v>140.0</v>
      </c>
      <c r="I22" s="25">
        <f t="shared" si="1"/>
        <v>3410</v>
      </c>
    </row>
    <row r="23">
      <c r="A23" s="14">
        <v>46075.0</v>
      </c>
      <c r="B23" s="15" t="s">
        <v>20</v>
      </c>
      <c r="C23" s="16">
        <v>2.0</v>
      </c>
      <c r="D23" s="16" t="s">
        <v>21</v>
      </c>
      <c r="E23" s="16">
        <v>1200.0</v>
      </c>
      <c r="F23" s="16">
        <v>0.0</v>
      </c>
      <c r="G23" s="16">
        <v>400.0</v>
      </c>
      <c r="H23" s="16">
        <v>175.0</v>
      </c>
      <c r="I23" s="25">
        <f t="shared" si="1"/>
        <v>1775</v>
      </c>
      <c r="J23" s="7"/>
    </row>
    <row r="24">
      <c r="A24" s="14">
        <v>46076.0</v>
      </c>
      <c r="B24" s="15" t="s">
        <v>31</v>
      </c>
      <c r="C24" s="16">
        <v>3.0</v>
      </c>
      <c r="D24" s="16" t="s">
        <v>21</v>
      </c>
      <c r="E24" s="16">
        <v>1200.0</v>
      </c>
      <c r="F24" s="16">
        <v>1250.0</v>
      </c>
      <c r="G24" s="16">
        <v>300.0</v>
      </c>
      <c r="H24" s="16">
        <v>35.0</v>
      </c>
      <c r="I24" s="25">
        <f t="shared" si="1"/>
        <v>2785</v>
      </c>
      <c r="J24" s="7"/>
      <c r="K24" s="7"/>
    </row>
    <row r="25">
      <c r="A25" s="14">
        <v>46077.0</v>
      </c>
      <c r="B25" s="15" t="s">
        <v>32</v>
      </c>
      <c r="C25" s="16">
        <v>0.0</v>
      </c>
      <c r="D25" s="16" t="s">
        <v>21</v>
      </c>
      <c r="E25" s="16">
        <v>0.0</v>
      </c>
      <c r="F25" s="16">
        <v>0.0</v>
      </c>
      <c r="G25" s="16">
        <v>0.0</v>
      </c>
      <c r="H25" s="16">
        <v>0.0</v>
      </c>
      <c r="I25" s="25">
        <f t="shared" si="1"/>
        <v>0</v>
      </c>
    </row>
    <row r="26">
      <c r="A26" s="14">
        <v>46078.0</v>
      </c>
      <c r="B26" s="15" t="s">
        <v>35</v>
      </c>
      <c r="C26" s="16">
        <v>2.0</v>
      </c>
      <c r="D26" s="16" t="s">
        <v>21</v>
      </c>
      <c r="E26" s="16">
        <v>0.0</v>
      </c>
      <c r="F26" s="16">
        <v>1400.0</v>
      </c>
      <c r="G26" s="16">
        <v>300.0</v>
      </c>
      <c r="H26" s="16">
        <v>315.0</v>
      </c>
      <c r="I26" s="25">
        <f t="shared" si="1"/>
        <v>2015</v>
      </c>
    </row>
    <row r="27">
      <c r="A27" s="14">
        <v>46079.0</v>
      </c>
      <c r="B27" s="15" t="s">
        <v>36</v>
      </c>
      <c r="C27" s="16">
        <v>3.0</v>
      </c>
      <c r="D27" s="16" t="s">
        <v>21</v>
      </c>
      <c r="E27" s="16">
        <v>800.0</v>
      </c>
      <c r="F27" s="16">
        <v>2800.0</v>
      </c>
      <c r="G27" s="16">
        <v>450.0</v>
      </c>
      <c r="H27" s="16">
        <v>210.0</v>
      </c>
      <c r="I27" s="25">
        <f t="shared" si="1"/>
        <v>4260</v>
      </c>
    </row>
    <row r="28">
      <c r="A28" s="14">
        <v>46080.0</v>
      </c>
      <c r="B28" s="15" t="s">
        <v>38</v>
      </c>
      <c r="C28" s="16">
        <v>3.0</v>
      </c>
      <c r="D28" s="16" t="s">
        <v>21</v>
      </c>
      <c r="E28" s="16">
        <v>720.0</v>
      </c>
      <c r="F28" s="16">
        <v>3000.0</v>
      </c>
      <c r="G28" s="16">
        <v>850.0</v>
      </c>
      <c r="H28" s="16">
        <v>0.0</v>
      </c>
      <c r="I28" s="25">
        <f t="shared" si="1"/>
        <v>4570</v>
      </c>
    </row>
    <row r="29">
      <c r="A29" s="14">
        <v>46081.0</v>
      </c>
      <c r="B29" s="15" t="s">
        <v>39</v>
      </c>
      <c r="C29" s="16">
        <v>0.0</v>
      </c>
      <c r="D29" s="16" t="s">
        <v>21</v>
      </c>
      <c r="E29" s="16">
        <v>0.0</v>
      </c>
      <c r="F29" s="16">
        <v>0.0</v>
      </c>
      <c r="G29" s="16">
        <v>1200.0</v>
      </c>
      <c r="H29" s="16">
        <v>0.0</v>
      </c>
      <c r="I29" s="25">
        <f t="shared" si="1"/>
        <v>1200</v>
      </c>
    </row>
    <row r="30">
      <c r="A30" s="38" t="s">
        <v>23</v>
      </c>
      <c r="B30" s="40"/>
      <c r="C30" s="4">
        <f>SUM(C2:C29)</f>
        <v>50</v>
      </c>
      <c r="D30" s="40"/>
      <c r="E30" s="4">
        <f t="shared" ref="E30:I30" si="2">SUM(E2:E29)</f>
        <v>20360</v>
      </c>
      <c r="F30" s="4">
        <f t="shared" si="2"/>
        <v>20450</v>
      </c>
      <c r="G30" s="4">
        <f t="shared" si="2"/>
        <v>12630</v>
      </c>
      <c r="H30" s="4">
        <f t="shared" si="2"/>
        <v>3615</v>
      </c>
      <c r="I30" s="4">
        <f t="shared" si="2"/>
        <v>57055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75"/>
    <col customWidth="1" min="4" max="4" width="23.88"/>
    <col customWidth="1" min="5" max="5" width="11.13"/>
    <col customWidth="1" min="6" max="6" width="6.13"/>
    <col customWidth="1" min="7" max="7" width="7.0"/>
  </cols>
  <sheetData>
    <row r="1">
      <c r="A1" s="5" t="s">
        <v>0</v>
      </c>
      <c r="B1" s="8" t="s">
        <v>2</v>
      </c>
      <c r="C1" s="8" t="s">
        <v>8</v>
      </c>
      <c r="D1" s="8" t="s">
        <v>9</v>
      </c>
      <c r="E1" s="8" t="s">
        <v>11</v>
      </c>
      <c r="F1" s="8" t="s">
        <v>12</v>
      </c>
      <c r="G1" s="8" t="s">
        <v>13</v>
      </c>
      <c r="H1" s="8" t="s">
        <v>5</v>
      </c>
    </row>
    <row r="2">
      <c r="A2" s="10"/>
      <c r="B2" s="11" t="s">
        <v>17</v>
      </c>
      <c r="C2" s="13">
        <v>53245.0</v>
      </c>
      <c r="D2" s="13">
        <v>6957.6</v>
      </c>
      <c r="E2" s="17">
        <f>C2-D2</f>
        <v>46287.4</v>
      </c>
      <c r="F2" s="13">
        <v>45.35</v>
      </c>
      <c r="G2" s="13">
        <v>226.77</v>
      </c>
      <c r="H2" s="19">
        <v>46290.25</v>
      </c>
    </row>
    <row r="3">
      <c r="A3" s="20"/>
      <c r="B3" s="21" t="s">
        <v>23</v>
      </c>
      <c r="C3" s="22">
        <f>SUM(C2)</f>
        <v>53245</v>
      </c>
      <c r="D3" s="23"/>
      <c r="E3" s="22">
        <f>SUM(E2)</f>
        <v>46287.4</v>
      </c>
      <c r="F3" s="23"/>
      <c r="G3" s="23"/>
      <c r="H3" s="22">
        <f>SUM(H2)</f>
        <v>46290.25</v>
      </c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5" t="s">
        <v>0</v>
      </c>
      <c r="B1" s="8" t="s">
        <v>2</v>
      </c>
      <c r="C1" s="8" t="s">
        <v>24</v>
      </c>
      <c r="D1" s="8" t="s">
        <v>25</v>
      </c>
      <c r="E1" s="8" t="s">
        <v>26</v>
      </c>
      <c r="F1" s="8" t="s">
        <v>11</v>
      </c>
      <c r="G1" s="8" t="s">
        <v>27</v>
      </c>
      <c r="H1" s="8" t="s">
        <v>28</v>
      </c>
      <c r="I1" s="8" t="s">
        <v>29</v>
      </c>
    </row>
    <row r="2">
      <c r="A2" s="10"/>
      <c r="B2" s="11" t="s">
        <v>30</v>
      </c>
      <c r="C2" s="19">
        <v>3900.0</v>
      </c>
      <c r="D2" s="19">
        <v>273.0</v>
      </c>
      <c r="E2" s="19">
        <v>49.14</v>
      </c>
      <c r="F2" s="17">
        <f t="shared" ref="F2:F4" si="1">C2-D2-E2</f>
        <v>3577.86</v>
      </c>
      <c r="G2" s="19">
        <v>3.9</v>
      </c>
      <c r="H2" s="19">
        <v>19.5</v>
      </c>
      <c r="I2" s="19">
        <v>3554.46</v>
      </c>
    </row>
    <row r="3">
      <c r="A3" s="11"/>
      <c r="B3" s="11" t="s">
        <v>42</v>
      </c>
      <c r="C3" s="19">
        <v>4630.0</v>
      </c>
      <c r="D3" s="19">
        <v>329.0</v>
      </c>
      <c r="E3" s="19">
        <v>59.22</v>
      </c>
      <c r="F3" s="17">
        <f t="shared" si="1"/>
        <v>4241.78</v>
      </c>
      <c r="G3" s="13">
        <v>4.63</v>
      </c>
      <c r="H3" s="19">
        <v>23.15</v>
      </c>
      <c r="I3" s="19">
        <v>4214.0</v>
      </c>
    </row>
    <row r="4">
      <c r="A4" s="29"/>
      <c r="B4" s="11" t="s">
        <v>44</v>
      </c>
      <c r="C4" s="30">
        <v>6300.0</v>
      </c>
      <c r="D4" s="11">
        <v>441.0</v>
      </c>
      <c r="E4" s="11">
        <v>79.38</v>
      </c>
      <c r="F4" s="17">
        <f t="shared" si="1"/>
        <v>5779.62</v>
      </c>
      <c r="G4" s="11">
        <v>31.5</v>
      </c>
      <c r="H4" s="11">
        <v>6.3</v>
      </c>
      <c r="I4" s="31">
        <v>5741.82</v>
      </c>
    </row>
    <row r="5">
      <c r="A5" s="7"/>
      <c r="B5" s="33" t="s">
        <v>23</v>
      </c>
      <c r="C5" s="34">
        <f>SUM(C2:C4)</f>
        <v>14830</v>
      </c>
      <c r="D5" s="35"/>
      <c r="E5" s="36"/>
      <c r="F5" s="37">
        <f>SUM(F2:F4)</f>
        <v>13599.26</v>
      </c>
      <c r="G5" s="33"/>
      <c r="H5" s="36"/>
      <c r="I5" s="34">
        <f>SUM(I2:I4)</f>
        <v>13510.28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75"/>
    <col customWidth="1" min="4" max="4" width="14.38"/>
    <col customWidth="1" min="5" max="5" width="16.0"/>
    <col customWidth="1" min="6" max="6" width="11.13"/>
    <col customWidth="1" min="7" max="8" width="6.88"/>
    <col customWidth="1" min="9" max="9" width="14.13"/>
  </cols>
  <sheetData>
    <row r="1">
      <c r="A1" s="45" t="s">
        <v>0</v>
      </c>
      <c r="B1" s="8" t="s">
        <v>2</v>
      </c>
      <c r="C1" s="8" t="s">
        <v>59</v>
      </c>
      <c r="D1" s="8" t="s">
        <v>25</v>
      </c>
      <c r="E1" s="46" t="s">
        <v>60</v>
      </c>
      <c r="F1" s="8" t="s">
        <v>11</v>
      </c>
      <c r="G1" s="48" t="s">
        <v>13</v>
      </c>
      <c r="H1" s="48" t="s">
        <v>12</v>
      </c>
      <c r="I1" s="8" t="s">
        <v>29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49"/>
      <c r="B2" s="11" t="s">
        <v>62</v>
      </c>
      <c r="C2" s="11">
        <v>19200.0</v>
      </c>
      <c r="D2" s="11">
        <v>384.0</v>
      </c>
      <c r="E2" s="50">
        <v>69.12</v>
      </c>
      <c r="F2" s="51">
        <f t="shared" ref="F2:F3" si="1">C2-D2-E2</f>
        <v>18746.88</v>
      </c>
      <c r="G2" s="11">
        <v>96.0</v>
      </c>
      <c r="H2" s="11">
        <v>19.2</v>
      </c>
      <c r="I2" s="11">
        <v>18631.68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/>
      <c r="B3" s="52" t="s">
        <v>63</v>
      </c>
      <c r="C3" s="11">
        <v>16000.0</v>
      </c>
      <c r="D3" s="11">
        <v>320.0</v>
      </c>
      <c r="E3" s="50">
        <v>57.6</v>
      </c>
      <c r="F3" s="51">
        <f t="shared" si="1"/>
        <v>15622.4</v>
      </c>
      <c r="G3" s="11">
        <v>80.0</v>
      </c>
      <c r="H3" s="11">
        <v>13.64</v>
      </c>
      <c r="I3" s="11">
        <v>15526.4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36" t="s">
        <v>23</v>
      </c>
      <c r="C4" s="22">
        <f>SUM(C2:C3)</f>
        <v>35200</v>
      </c>
      <c r="D4" s="40"/>
      <c r="E4" s="53"/>
      <c r="F4" s="37">
        <f>SUM(F2:F3)</f>
        <v>34369.28</v>
      </c>
      <c r="G4" s="23"/>
      <c r="H4" s="23"/>
      <c r="I4" s="22">
        <f>SUM(I2:I3)</f>
        <v>34158.08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25"/>
    <col customWidth="1" min="3" max="3" width="18.25"/>
    <col customWidth="1" min="4" max="4" width="14.38"/>
    <col customWidth="1" min="5" max="5" width="14.13"/>
  </cols>
  <sheetData>
    <row r="1">
      <c r="A1" s="5" t="s">
        <v>0</v>
      </c>
      <c r="B1" s="8" t="s">
        <v>2</v>
      </c>
      <c r="C1" s="8" t="s">
        <v>64</v>
      </c>
      <c r="D1" s="8" t="s">
        <v>25</v>
      </c>
      <c r="E1" s="8" t="s">
        <v>29</v>
      </c>
    </row>
    <row r="2">
      <c r="A2" s="10"/>
      <c r="B2" s="54">
        <v>46065.0</v>
      </c>
      <c r="C2" s="19">
        <v>1600.0</v>
      </c>
      <c r="D2" s="10">
        <f t="shared" ref="D2:D3" si="1">C2*5%</f>
        <v>80</v>
      </c>
      <c r="E2" s="55">
        <f t="shared" ref="E2:E3" si="2">C2-D2</f>
        <v>1520</v>
      </c>
    </row>
    <row r="3">
      <c r="A3" s="56"/>
      <c r="B3" s="57">
        <v>46070.0</v>
      </c>
      <c r="C3" s="58">
        <v>1200.0</v>
      </c>
      <c r="D3" s="10">
        <f t="shared" si="1"/>
        <v>60</v>
      </c>
      <c r="E3" s="55">
        <f t="shared" si="2"/>
        <v>1140</v>
      </c>
      <c r="F3" s="7"/>
      <c r="G3" s="7"/>
      <c r="H3" s="7"/>
      <c r="I3" s="7"/>
      <c r="J3" s="7"/>
      <c r="K3" s="59"/>
      <c r="L3" s="7"/>
      <c r="M3" s="59"/>
      <c r="N3" s="59"/>
    </row>
    <row r="4">
      <c r="A4" s="60"/>
      <c r="B4" s="61" t="s">
        <v>23</v>
      </c>
      <c r="C4" s="63">
        <f>SUM(C2:C3)</f>
        <v>2800</v>
      </c>
      <c r="D4" s="64"/>
      <c r="E4" s="63">
        <f>SUM(E2:E3)</f>
        <v>2660</v>
      </c>
      <c r="F4" s="7"/>
      <c r="G4" s="7"/>
      <c r="H4" s="7"/>
      <c r="I4" s="65"/>
      <c r="J4" s="7"/>
      <c r="K4" s="65"/>
      <c r="L4" s="65"/>
    </row>
    <row r="5">
      <c r="A5" s="66"/>
      <c r="B5" s="67"/>
      <c r="C5" s="68"/>
      <c r="D5" s="66"/>
      <c r="E5" s="69"/>
    </row>
    <row r="6">
      <c r="A6" s="66"/>
      <c r="B6" s="66"/>
      <c r="D6" s="66"/>
      <c r="E6" s="69"/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7.75"/>
    <col customWidth="1" min="4" max="4" width="14.13"/>
  </cols>
  <sheetData>
    <row r="1">
      <c r="A1" s="62" t="s">
        <v>0</v>
      </c>
      <c r="B1" s="4" t="s">
        <v>2</v>
      </c>
      <c r="C1" s="38" t="s">
        <v>65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>
      <c r="A2" s="52"/>
      <c r="B2" s="11" t="s">
        <v>17</v>
      </c>
      <c r="C2" s="26">
        <v>34100.0</v>
      </c>
      <c r="D2" s="70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>
      <c r="A3" s="7"/>
      <c r="B3" s="72"/>
      <c r="C3" s="72"/>
      <c r="D3" s="70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7"/>
      <c r="B4" s="49"/>
      <c r="C4" s="70"/>
      <c r="D4" s="70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49"/>
      <c r="B5" s="49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49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4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4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</sheetData>
  <hyperlinks>
    <hyperlink r:id="rId1" ref="A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4" max="4" width="15.25"/>
  </cols>
  <sheetData>
    <row r="1">
      <c r="A1" s="4" t="s">
        <v>66</v>
      </c>
      <c r="B1" s="4" t="s">
        <v>67</v>
      </c>
      <c r="C1" s="4" t="s">
        <v>68</v>
      </c>
      <c r="D1" s="71" t="s">
        <v>69</v>
      </c>
    </row>
    <row r="2">
      <c r="A2" s="73" t="s">
        <v>70</v>
      </c>
      <c r="B2" s="73" t="s">
        <v>71</v>
      </c>
      <c r="C2" s="73" t="s">
        <v>72</v>
      </c>
      <c r="D2" s="74">
        <f>16500</f>
        <v>16500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2.88"/>
    <col customWidth="1" min="3" max="3" width="17.88"/>
    <col customWidth="1" min="5" max="5" width="15.25"/>
  </cols>
  <sheetData>
    <row r="1">
      <c r="A1" s="4" t="s">
        <v>73</v>
      </c>
      <c r="B1" s="4" t="s">
        <v>66</v>
      </c>
      <c r="C1" s="4" t="s">
        <v>74</v>
      </c>
      <c r="D1" s="4" t="s">
        <v>68</v>
      </c>
      <c r="E1" s="71" t="s">
        <v>69</v>
      </c>
    </row>
    <row r="2">
      <c r="A2" s="52" t="s">
        <v>75</v>
      </c>
      <c r="B2" s="52" t="s">
        <v>70</v>
      </c>
      <c r="C2" s="52" t="s">
        <v>76</v>
      </c>
      <c r="D2" s="75">
        <v>46077.0</v>
      </c>
      <c r="E2" s="19">
        <v>50000.0</v>
      </c>
    </row>
    <row r="3">
      <c r="A3" s="76" t="s">
        <v>23</v>
      </c>
      <c r="B3" s="77"/>
      <c r="C3" s="77"/>
      <c r="D3" s="77"/>
      <c r="E3" s="78">
        <f>SUM(E2)</f>
        <v>50000</v>
      </c>
    </row>
  </sheetData>
  <dataValidations>
    <dataValidation type="list" allowBlank="1" showErrorMessage="1" sqref="C2">
      <formula1>"Kickoff Pack (7),Pro Pack (30),Rally Pack (15),Grand slam (90),Collab,Custom"</formula1>
    </dataValidation>
    <dataValidation type="list" allowBlank="1" showErrorMessage="1" sqref="B2">
      <formula1>"Pickleball,Padel,Box Cricket,Pickle &amp; Box"</formula1>
    </dataValidation>
  </dataValidations>
  <drawing r:id="rId1"/>
</worksheet>
</file>