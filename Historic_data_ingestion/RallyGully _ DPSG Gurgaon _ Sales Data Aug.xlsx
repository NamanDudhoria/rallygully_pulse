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F&amp;B" sheetId="3" r:id="rId7"/>
    <sheet state="visible" name="District" sheetId="4" r:id="rId8"/>
  </sheets>
  <definedNames/>
  <calcPr/>
</workbook>
</file>

<file path=xl/sharedStrings.xml><?xml version="1.0" encoding="utf-8"?>
<sst xmlns="http://schemas.openxmlformats.org/spreadsheetml/2006/main" count="89" uniqueCount="56">
  <si>
    <t>Date</t>
  </si>
  <si>
    <t>Link</t>
  </si>
  <si>
    <t>1 - 31 Aug</t>
  </si>
  <si>
    <t>F&amp;B</t>
  </si>
  <si>
    <t>Day</t>
  </si>
  <si>
    <t>Particulars</t>
  </si>
  <si>
    <t>Offline booking hours</t>
  </si>
  <si>
    <t>Paid to brand (75%)</t>
  </si>
  <si>
    <t>Amount</t>
  </si>
  <si>
    <t>Blended Margin (25%)</t>
  </si>
  <si>
    <t>Payment Gateway</t>
  </si>
  <si>
    <t>Pickleball</t>
  </si>
  <si>
    <t>Net Revenue</t>
  </si>
  <si>
    <t>Booking Revenue</t>
  </si>
  <si>
    <t>Community Revenue</t>
  </si>
  <si>
    <t>Pay &amp; Play</t>
  </si>
  <si>
    <t xml:space="preserve">Paddle Rental </t>
  </si>
  <si>
    <t>Total Revenue</t>
  </si>
  <si>
    <t>Paid to District</t>
  </si>
  <si>
    <t>Commissions (₹)</t>
  </si>
  <si>
    <t>Saturday</t>
  </si>
  <si>
    <t>GST on Commission</t>
  </si>
  <si>
    <t xml:space="preserve">Online </t>
  </si>
  <si>
    <t>TCS</t>
  </si>
  <si>
    <t>TDS</t>
  </si>
  <si>
    <t>Final Amount (₹)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</si>
  <si>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</si>
  <si>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</si>
  <si>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</si>
  <si>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</si>
  <si>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</si>
  <si>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</si>
  <si>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</si>
  <si>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</si>
  <si>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</si>
  <si>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Sunday</t>
  </si>
  <si>
    <t>Pickup games</t>
  </si>
  <si>
    <t>Monday</t>
  </si>
  <si>
    <t>Social Events/Tournaments</t>
  </si>
  <si>
    <t>Academy</t>
  </si>
  <si>
    <t>Events &amp; Partnership</t>
  </si>
  <si>
    <t>Tuesday</t>
  </si>
  <si>
    <t>Corporate events</t>
  </si>
  <si>
    <t>Total</t>
  </si>
  <si>
    <t>All B2B partnerships</t>
  </si>
  <si>
    <t>Wednesday</t>
  </si>
  <si>
    <t>Thursday</t>
  </si>
  <si>
    <t>Friday</t>
  </si>
  <si>
    <t>Commerce</t>
  </si>
  <si>
    <t>Product rental</t>
  </si>
  <si>
    <t>Product sales</t>
  </si>
  <si>
    <t>Other Income</t>
  </si>
  <si>
    <t>Total Gross Revenue (A)</t>
  </si>
  <si>
    <t>GST (B)</t>
  </si>
  <si>
    <t>Commissions (C)</t>
  </si>
  <si>
    <t>Total Net Revenue post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</si>
</sst>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&gt;9999999][$₹]##\,##\,##\,##0;[&gt;99999][$₹]##\,##\,##0;[$₹]##,##0"/>
    <numFmt numFmtId="166" formatCode="d mmmm"/>
    <numFmt numFmtId="167" formatCode="[$₹]#,##0.0"/>
    <numFmt numFmtId="168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3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3" fontId="4" numFmtId="166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67" xfId="0" applyAlignment="1" applyBorder="1" applyFill="1" applyFont="1" applyNumberFormat="1">
      <alignment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0" fillId="2" fontId="6" numFmtId="164" xfId="0" applyAlignment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0" fillId="2" fontId="2" numFmtId="164" xfId="0" applyAlignment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168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4" numFmtId="165" xfId="0" applyAlignment="1" applyFont="1" applyNumberFormat="1">
      <alignment vertical="bottom"/>
    </xf>
    <xf borderId="1" fillId="2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5" t="s">
        <v>5</v>
      </c>
      <c r="C3" s="5" t="s">
        <v>8</v>
      </c>
      <c r="E3" s="7"/>
    </row>
    <row r="4">
      <c r="B4" s="9"/>
      <c r="C4" s="11" t="s">
        <v>11</v>
      </c>
      <c r="E4" s="7"/>
    </row>
    <row r="5">
      <c r="B5" s="12" t="s">
        <v>15</v>
      </c>
      <c r="C5" s="18">
        <f>sum(C6,C12)</f>
        <v>52819</v>
      </c>
      <c r="E5" s="7"/>
    </row>
    <row r="6">
      <c r="B6" s="12" t="s">
        <v>22</v>
      </c>
      <c r="C6" s="18">
        <f>sum(C7:C11)</f>
        <v>36495</v>
      </c>
      <c r="E6" s="7"/>
    </row>
    <row r="7" outlineLevel="1">
      <c r="B7" s="22" t="s">
        <v>26</v>
      </c>
      <c r="C7" s="24">
        <f>District!C4</f>
        <v>36495</v>
      </c>
      <c r="E7" s="7"/>
    </row>
    <row r="8" outlineLevel="1">
      <c r="B8" s="22" t="s">
        <v>27</v>
      </c>
      <c r="C8" s="27">
        <v>0.0</v>
      </c>
      <c r="E8" s="7"/>
    </row>
    <row r="9" outlineLevel="1">
      <c r="B9" s="22" t="s">
        <v>28</v>
      </c>
      <c r="C9" s="27">
        <v>0.0</v>
      </c>
      <c r="E9" s="7"/>
    </row>
    <row r="10" outlineLevel="1">
      <c r="B10" s="29" t="s">
        <v>29</v>
      </c>
      <c r="C10" s="27">
        <v>0.0</v>
      </c>
      <c r="E10" s="30"/>
    </row>
    <row r="11" outlineLevel="1">
      <c r="B11" s="22" t="s">
        <v>30</v>
      </c>
      <c r="C11" s="27">
        <v>0.0</v>
      </c>
      <c r="E11" s="30"/>
    </row>
    <row r="12">
      <c r="B12" s="31" t="s">
        <v>31</v>
      </c>
      <c r="C12" s="18">
        <f>sum(C13:C14)</f>
        <v>16324</v>
      </c>
    </row>
    <row r="13" outlineLevel="1">
      <c r="B13" s="22" t="s">
        <v>32</v>
      </c>
      <c r="C13" s="24">
        <f>'Offline &amp; RG Community'!D33</f>
        <v>16324</v>
      </c>
    </row>
    <row r="14" outlineLevel="1">
      <c r="B14" s="32" t="s">
        <v>33</v>
      </c>
      <c r="C14" s="27">
        <v>0.0</v>
      </c>
      <c r="E14" s="7"/>
    </row>
    <row r="15">
      <c r="B15" s="31" t="s">
        <v>34</v>
      </c>
      <c r="C15" s="18">
        <f>sum(C16:C17)</f>
        <v>3476</v>
      </c>
      <c r="E15" s="7"/>
    </row>
    <row r="16" outlineLevel="1">
      <c r="B16" s="29" t="s">
        <v>36</v>
      </c>
      <c r="C16" s="24">
        <f>'Offline &amp; RG Community'!E33</f>
        <v>3476</v>
      </c>
      <c r="E16" s="7"/>
    </row>
    <row r="17" outlineLevel="1">
      <c r="B17" s="29" t="s">
        <v>38</v>
      </c>
      <c r="C17" s="27">
        <v>0.0</v>
      </c>
    </row>
    <row r="18">
      <c r="B18" s="31" t="s">
        <v>39</v>
      </c>
      <c r="C18" s="35">
        <v>0.0</v>
      </c>
      <c r="E18" s="7"/>
    </row>
    <row r="19">
      <c r="B19" s="12" t="s">
        <v>40</v>
      </c>
      <c r="C19" s="18">
        <f>sum(C20,C21)</f>
        <v>0</v>
      </c>
    </row>
    <row r="20" outlineLevel="1">
      <c r="B20" s="22" t="s">
        <v>42</v>
      </c>
      <c r="C20" s="37">
        <v>0.0</v>
      </c>
    </row>
    <row r="21" outlineLevel="1">
      <c r="B21" s="29" t="s">
        <v>44</v>
      </c>
      <c r="C21" s="41">
        <v>0.0</v>
      </c>
    </row>
    <row r="22">
      <c r="B22" s="12" t="s">
        <v>48</v>
      </c>
      <c r="C22" s="18">
        <f>sum(C23:C25)</f>
        <v>6320</v>
      </c>
    </row>
    <row r="23" outlineLevel="1">
      <c r="B23" s="22" t="s">
        <v>49</v>
      </c>
      <c r="C23" s="41">
        <f>'Offline &amp; RG Community'!F33</f>
        <v>6250</v>
      </c>
    </row>
    <row r="24" outlineLevel="1">
      <c r="B24" s="22" t="s">
        <v>50</v>
      </c>
      <c r="C24" s="27">
        <v>0.0</v>
      </c>
    </row>
    <row r="25" outlineLevel="1">
      <c r="B25" s="22" t="s">
        <v>3</v>
      </c>
      <c r="C25" s="41">
        <f>'F&amp;B'!B33</f>
        <v>70</v>
      </c>
    </row>
    <row r="26">
      <c r="B26" s="12" t="s">
        <v>51</v>
      </c>
      <c r="C26" s="18">
        <v>0.0</v>
      </c>
    </row>
    <row r="27">
      <c r="B27" s="43" t="s">
        <v>52</v>
      </c>
      <c r="C27" s="38">
        <f>C6+C12+C15+C18+C19+C22+C26</f>
        <v>62615</v>
      </c>
    </row>
    <row r="28">
      <c r="B28" s="44" t="s">
        <v>53</v>
      </c>
      <c r="C28" s="47">
        <f>C27-(C27/1.18)</f>
        <v>9551.440678</v>
      </c>
    </row>
    <row r="29">
      <c r="B29" s="44" t="s">
        <v>54</v>
      </c>
      <c r="C29" s="47">
        <f>'Offline &amp; RG Community'!H33+'F&amp;B'!C33+'F&amp;B'!E33+District!D4+District!E4</f>
        <v>3522.6</v>
      </c>
    </row>
    <row r="30">
      <c r="B30" s="43" t="s">
        <v>55</v>
      </c>
      <c r="C30" s="49">
        <f>C27-C28-C29</f>
        <v>49540.95932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8.5"/>
    <col customWidth="1" min="2" max="2" width="16.13"/>
    <col customWidth="1" min="3" max="3" width="18.25"/>
    <col customWidth="1" min="4" max="4" width="15.13"/>
    <col customWidth="1" min="5" max="5" width="17.63"/>
    <col customWidth="1" min="7" max="8" width="15.25"/>
  </cols>
  <sheetData>
    <row r="1">
      <c r="A1" s="2" t="s">
        <v>0</v>
      </c>
      <c r="B1" s="2" t="s">
        <v>4</v>
      </c>
      <c r="C1" s="10" t="s">
        <v>6</v>
      </c>
      <c r="D1" s="2" t="s">
        <v>13</v>
      </c>
      <c r="E1" s="2" t="s">
        <v>14</v>
      </c>
      <c r="F1" s="2" t="s">
        <v>16</v>
      </c>
      <c r="G1" s="2" t="s">
        <v>17</v>
      </c>
      <c r="H1" s="15" t="s">
        <v>10</v>
      </c>
      <c r="I1" s="8" t="s">
        <v>12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3">
        <v>46235.0</v>
      </c>
      <c r="B2" s="17" t="s">
        <v>20</v>
      </c>
      <c r="C2" s="20">
        <v>1.0</v>
      </c>
      <c r="D2" s="14">
        <v>640.0</v>
      </c>
      <c r="E2" s="14">
        <v>600.0</v>
      </c>
      <c r="F2" s="14">
        <v>300.0</v>
      </c>
      <c r="G2" s="14">
        <f t="shared" ref="G2:G32" si="1">sum(D2:F2)</f>
        <v>1540</v>
      </c>
      <c r="H2" s="25">
        <f t="shared" ref="H2:H32" si="2">G2*1.75%</f>
        <v>26.95</v>
      </c>
      <c r="I2" s="14">
        <f t="shared" ref="I2:I32" si="3">G2-H2</f>
        <v>1513.05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3">
        <v>46236.0</v>
      </c>
      <c r="B3" s="17" t="s">
        <v>35</v>
      </c>
      <c r="C3" s="20">
        <v>1.0</v>
      </c>
      <c r="D3" s="14">
        <v>640.0</v>
      </c>
      <c r="E3" s="14">
        <v>396.0</v>
      </c>
      <c r="F3" s="14">
        <v>400.0</v>
      </c>
      <c r="G3" s="14">
        <f t="shared" si="1"/>
        <v>1436</v>
      </c>
      <c r="H3" s="25">
        <f t="shared" si="2"/>
        <v>25.13</v>
      </c>
      <c r="I3" s="14">
        <f t="shared" si="3"/>
        <v>1410.87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3">
        <v>46237.0</v>
      </c>
      <c r="B4" s="17" t="s">
        <v>37</v>
      </c>
      <c r="C4" s="33">
        <v>2.5</v>
      </c>
      <c r="D4" s="14">
        <v>1600.0</v>
      </c>
      <c r="E4" s="14">
        <v>0.0</v>
      </c>
      <c r="F4" s="14">
        <v>250.0</v>
      </c>
      <c r="G4" s="14">
        <f t="shared" si="1"/>
        <v>1850</v>
      </c>
      <c r="H4" s="25">
        <f t="shared" si="2"/>
        <v>32.375</v>
      </c>
      <c r="I4" s="14">
        <f t="shared" si="3"/>
        <v>1817.625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3">
        <v>46238.0</v>
      </c>
      <c r="B5" s="17" t="s">
        <v>41</v>
      </c>
      <c r="C5" s="33">
        <v>0.0</v>
      </c>
      <c r="D5" s="14">
        <v>0.0</v>
      </c>
      <c r="E5" s="14">
        <v>0.0</v>
      </c>
      <c r="F5" s="14">
        <v>0.0</v>
      </c>
      <c r="G5" s="14">
        <f t="shared" si="1"/>
        <v>0</v>
      </c>
      <c r="H5" s="25">
        <f t="shared" si="2"/>
        <v>0</v>
      </c>
      <c r="I5" s="14">
        <f t="shared" si="3"/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3">
        <v>46239.0</v>
      </c>
      <c r="B6" s="17" t="s">
        <v>45</v>
      </c>
      <c r="C6" s="33">
        <v>1.0</v>
      </c>
      <c r="D6" s="14">
        <v>640.0</v>
      </c>
      <c r="E6" s="14">
        <v>400.0</v>
      </c>
      <c r="F6" s="14">
        <v>0.0</v>
      </c>
      <c r="G6" s="14">
        <f t="shared" si="1"/>
        <v>1040</v>
      </c>
      <c r="H6" s="25">
        <f t="shared" si="2"/>
        <v>18.2</v>
      </c>
      <c r="I6" s="14">
        <f t="shared" si="3"/>
        <v>1021.8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3">
        <v>46240.0</v>
      </c>
      <c r="B7" s="17" t="s">
        <v>46</v>
      </c>
      <c r="C7" s="33">
        <v>1.5</v>
      </c>
      <c r="D7" s="14">
        <v>1057.0</v>
      </c>
      <c r="E7" s="14">
        <v>0.0</v>
      </c>
      <c r="F7" s="39">
        <v>100.0</v>
      </c>
      <c r="G7" s="14">
        <f t="shared" si="1"/>
        <v>1157</v>
      </c>
      <c r="H7" s="25">
        <f t="shared" si="2"/>
        <v>20.2475</v>
      </c>
      <c r="I7" s="14">
        <f t="shared" si="3"/>
        <v>1136.7525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3">
        <v>46241.0</v>
      </c>
      <c r="B8" s="17" t="s">
        <v>47</v>
      </c>
      <c r="C8" s="33">
        <v>0.0</v>
      </c>
      <c r="D8" s="14">
        <v>0.0</v>
      </c>
      <c r="E8" s="14">
        <v>0.0</v>
      </c>
      <c r="F8" s="14">
        <v>0.0</v>
      </c>
      <c r="G8" s="14">
        <f t="shared" si="1"/>
        <v>0</v>
      </c>
      <c r="H8" s="25">
        <f t="shared" si="2"/>
        <v>0</v>
      </c>
      <c r="I8" s="14">
        <f t="shared" si="3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3">
        <v>46242.0</v>
      </c>
      <c r="B9" s="17" t="s">
        <v>20</v>
      </c>
      <c r="C9" s="33">
        <v>1.5</v>
      </c>
      <c r="D9" s="14">
        <v>957.0</v>
      </c>
      <c r="E9" s="14">
        <v>0.0</v>
      </c>
      <c r="F9" s="39">
        <v>300.0</v>
      </c>
      <c r="G9" s="14">
        <f t="shared" si="1"/>
        <v>1257</v>
      </c>
      <c r="H9" s="25">
        <f t="shared" si="2"/>
        <v>21.9975</v>
      </c>
      <c r="I9" s="14">
        <f t="shared" si="3"/>
        <v>1235.0025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3">
        <v>46243.0</v>
      </c>
      <c r="B10" s="17" t="s">
        <v>35</v>
      </c>
      <c r="C10" s="33">
        <v>2.5</v>
      </c>
      <c r="D10" s="14">
        <v>1595.0</v>
      </c>
      <c r="E10" s="14">
        <v>800.0</v>
      </c>
      <c r="F10" s="14">
        <v>250.0</v>
      </c>
      <c r="G10" s="14">
        <f t="shared" si="1"/>
        <v>2645</v>
      </c>
      <c r="H10" s="25">
        <f t="shared" si="2"/>
        <v>46.2875</v>
      </c>
      <c r="I10" s="14">
        <f t="shared" si="3"/>
        <v>2598.7125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3">
        <v>46244.0</v>
      </c>
      <c r="B11" s="17" t="s">
        <v>37</v>
      </c>
      <c r="C11" s="33">
        <v>1.0</v>
      </c>
      <c r="D11" s="14">
        <v>640.0</v>
      </c>
      <c r="E11" s="14">
        <v>0.0</v>
      </c>
      <c r="F11" s="14">
        <v>100.0</v>
      </c>
      <c r="G11" s="14">
        <f t="shared" si="1"/>
        <v>740</v>
      </c>
      <c r="H11" s="25">
        <f t="shared" si="2"/>
        <v>12.95</v>
      </c>
      <c r="I11" s="14">
        <f t="shared" si="3"/>
        <v>727.05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3">
        <v>46245.0</v>
      </c>
      <c r="B12" s="17" t="s">
        <v>41</v>
      </c>
      <c r="C12" s="33">
        <v>0.0</v>
      </c>
      <c r="D12" s="14">
        <v>0.0</v>
      </c>
      <c r="E12" s="14">
        <v>0.0</v>
      </c>
      <c r="F12" s="14">
        <v>200.0</v>
      </c>
      <c r="G12" s="14">
        <f t="shared" si="1"/>
        <v>200</v>
      </c>
      <c r="H12" s="25">
        <f t="shared" si="2"/>
        <v>3.5</v>
      </c>
      <c r="I12" s="14">
        <f t="shared" si="3"/>
        <v>196.5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3">
        <v>46246.0</v>
      </c>
      <c r="B13" s="17" t="s">
        <v>45</v>
      </c>
      <c r="C13" s="33">
        <v>0.5</v>
      </c>
      <c r="D13" s="14">
        <v>319.0</v>
      </c>
      <c r="E13" s="14">
        <v>0.0</v>
      </c>
      <c r="F13" s="14">
        <v>200.0</v>
      </c>
      <c r="G13" s="14">
        <f t="shared" si="1"/>
        <v>519</v>
      </c>
      <c r="H13" s="25">
        <f t="shared" si="2"/>
        <v>9.0825</v>
      </c>
      <c r="I13" s="14">
        <f t="shared" si="3"/>
        <v>509.9175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3">
        <v>46247.0</v>
      </c>
      <c r="B14" s="17" t="s">
        <v>46</v>
      </c>
      <c r="C14" s="33">
        <v>0.0</v>
      </c>
      <c r="D14" s="14">
        <v>0.0</v>
      </c>
      <c r="E14" s="14">
        <v>0.0</v>
      </c>
      <c r="F14" s="14">
        <v>0.0</v>
      </c>
      <c r="G14" s="14">
        <f t="shared" si="1"/>
        <v>0</v>
      </c>
      <c r="H14" s="25">
        <f t="shared" si="2"/>
        <v>0</v>
      </c>
      <c r="I14" s="14">
        <f t="shared" si="3"/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3">
        <v>46248.0</v>
      </c>
      <c r="B15" s="17" t="s">
        <v>47</v>
      </c>
      <c r="C15" s="33">
        <v>0.0</v>
      </c>
      <c r="D15" s="14">
        <v>0.0</v>
      </c>
      <c r="E15" s="14">
        <v>0.0</v>
      </c>
      <c r="F15" s="14">
        <v>0.0</v>
      </c>
      <c r="G15" s="14">
        <f t="shared" si="1"/>
        <v>0</v>
      </c>
      <c r="H15" s="25">
        <f t="shared" si="2"/>
        <v>0</v>
      </c>
      <c r="I15" s="14">
        <f t="shared" si="3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3">
        <v>46249.0</v>
      </c>
      <c r="B16" s="17" t="s">
        <v>20</v>
      </c>
      <c r="C16" s="33">
        <v>3.5</v>
      </c>
      <c r="D16" s="14">
        <v>1595.0</v>
      </c>
      <c r="E16" s="14">
        <v>480.0</v>
      </c>
      <c r="F16" s="14">
        <v>450.0</v>
      </c>
      <c r="G16" s="14">
        <f t="shared" si="1"/>
        <v>2525</v>
      </c>
      <c r="H16" s="25">
        <f t="shared" si="2"/>
        <v>44.1875</v>
      </c>
      <c r="I16" s="14">
        <f t="shared" si="3"/>
        <v>2480.8125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3">
        <v>46250.0</v>
      </c>
      <c r="B17" s="17" t="s">
        <v>35</v>
      </c>
      <c r="C17" s="33">
        <v>3.0</v>
      </c>
      <c r="D17" s="46">
        <v>1876.0</v>
      </c>
      <c r="E17" s="14">
        <v>800.0</v>
      </c>
      <c r="F17" s="14">
        <v>550.0</v>
      </c>
      <c r="G17" s="14">
        <f t="shared" si="1"/>
        <v>3226</v>
      </c>
      <c r="H17" s="25">
        <f t="shared" si="2"/>
        <v>56.455</v>
      </c>
      <c r="I17" s="14">
        <f t="shared" si="3"/>
        <v>3169.545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3">
        <v>46251.0</v>
      </c>
      <c r="B18" s="17" t="s">
        <v>37</v>
      </c>
      <c r="C18" s="33">
        <v>0.0</v>
      </c>
      <c r="D18" s="14">
        <v>0.0</v>
      </c>
      <c r="E18" s="14">
        <v>0.0</v>
      </c>
      <c r="F18" s="14">
        <v>100.0</v>
      </c>
      <c r="G18" s="14">
        <f t="shared" si="1"/>
        <v>100</v>
      </c>
      <c r="H18" s="25">
        <f t="shared" si="2"/>
        <v>1.75</v>
      </c>
      <c r="I18" s="14">
        <f t="shared" si="3"/>
        <v>98.25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3">
        <v>46252.0</v>
      </c>
      <c r="B19" s="17" t="s">
        <v>41</v>
      </c>
      <c r="C19" s="33">
        <v>1.0</v>
      </c>
      <c r="D19" s="14">
        <v>638.0</v>
      </c>
      <c r="E19" s="14">
        <v>0.0</v>
      </c>
      <c r="F19" s="14">
        <v>50.0</v>
      </c>
      <c r="G19" s="14">
        <f t="shared" si="1"/>
        <v>688</v>
      </c>
      <c r="H19" s="25">
        <f t="shared" si="2"/>
        <v>12.04</v>
      </c>
      <c r="I19" s="14">
        <f t="shared" si="3"/>
        <v>675.96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3">
        <v>46253.0</v>
      </c>
      <c r="B20" s="17" t="s">
        <v>45</v>
      </c>
      <c r="C20" s="33">
        <v>0.0</v>
      </c>
      <c r="D20" s="14">
        <v>0.0</v>
      </c>
      <c r="E20" s="14">
        <v>0.0</v>
      </c>
      <c r="F20" s="14">
        <v>400.0</v>
      </c>
      <c r="G20" s="14">
        <f t="shared" si="1"/>
        <v>400</v>
      </c>
      <c r="H20" s="25">
        <f t="shared" si="2"/>
        <v>7</v>
      </c>
      <c r="I20" s="14">
        <f t="shared" si="3"/>
        <v>393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3">
        <v>46254.0</v>
      </c>
      <c r="B21" s="17" t="s">
        <v>46</v>
      </c>
      <c r="C21" s="33">
        <v>0.0</v>
      </c>
      <c r="D21" s="14">
        <v>0.0</v>
      </c>
      <c r="E21" s="14">
        <v>0.0</v>
      </c>
      <c r="F21" s="14">
        <v>100.0</v>
      </c>
      <c r="G21" s="14">
        <f t="shared" si="1"/>
        <v>100</v>
      </c>
      <c r="H21" s="25">
        <f t="shared" si="2"/>
        <v>1.75</v>
      </c>
      <c r="I21" s="14">
        <f t="shared" si="3"/>
        <v>98.25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3">
        <v>46255.0</v>
      </c>
      <c r="B22" s="17" t="s">
        <v>47</v>
      </c>
      <c r="C22" s="33">
        <v>1.0</v>
      </c>
      <c r="D22" s="14">
        <v>638.0</v>
      </c>
      <c r="E22" s="14">
        <v>0.0</v>
      </c>
      <c r="F22" s="14">
        <v>0.0</v>
      </c>
      <c r="G22" s="14">
        <f t="shared" si="1"/>
        <v>638</v>
      </c>
      <c r="H22" s="25">
        <f t="shared" si="2"/>
        <v>11.165</v>
      </c>
      <c r="I22" s="14">
        <f t="shared" si="3"/>
        <v>626.835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3">
        <v>46256.0</v>
      </c>
      <c r="B23" s="17" t="s">
        <v>20</v>
      </c>
      <c r="C23" s="33">
        <v>1.0</v>
      </c>
      <c r="D23" s="14">
        <v>618.0</v>
      </c>
      <c r="E23" s="14">
        <v>0.0</v>
      </c>
      <c r="F23" s="14">
        <v>600.0</v>
      </c>
      <c r="G23" s="14">
        <f t="shared" si="1"/>
        <v>1218</v>
      </c>
      <c r="H23" s="25">
        <f t="shared" si="2"/>
        <v>21.315</v>
      </c>
      <c r="I23" s="14">
        <f t="shared" si="3"/>
        <v>1196.685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3">
        <v>46257.0</v>
      </c>
      <c r="B24" s="17" t="s">
        <v>35</v>
      </c>
      <c r="C24" s="33">
        <v>1.5</v>
      </c>
      <c r="D24" s="14">
        <v>957.0</v>
      </c>
      <c r="E24" s="14">
        <v>0.0</v>
      </c>
      <c r="F24" s="14">
        <v>200.0</v>
      </c>
      <c r="G24" s="14">
        <f t="shared" si="1"/>
        <v>1157</v>
      </c>
      <c r="H24" s="25">
        <f t="shared" si="2"/>
        <v>20.2475</v>
      </c>
      <c r="I24" s="14">
        <f t="shared" si="3"/>
        <v>1136.7525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3">
        <v>46258.0</v>
      </c>
      <c r="B25" s="17" t="s">
        <v>37</v>
      </c>
      <c r="C25" s="33">
        <v>0.0</v>
      </c>
      <c r="D25" s="14">
        <v>0.0</v>
      </c>
      <c r="E25" s="14">
        <v>0.0</v>
      </c>
      <c r="F25" s="14">
        <v>200.0</v>
      </c>
      <c r="G25" s="14">
        <f t="shared" si="1"/>
        <v>200</v>
      </c>
      <c r="H25" s="25">
        <f t="shared" si="2"/>
        <v>3.5</v>
      </c>
      <c r="I25" s="14">
        <f t="shared" si="3"/>
        <v>196.5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3">
        <v>46259.0</v>
      </c>
      <c r="B26" s="17" t="s">
        <v>41</v>
      </c>
      <c r="C26" s="33">
        <v>0.0</v>
      </c>
      <c r="D26" s="14">
        <v>0.0</v>
      </c>
      <c r="E26" s="14">
        <v>0.0</v>
      </c>
      <c r="F26" s="14">
        <v>0.0</v>
      </c>
      <c r="G26" s="14">
        <f t="shared" si="1"/>
        <v>0</v>
      </c>
      <c r="H26" s="25">
        <f t="shared" si="2"/>
        <v>0</v>
      </c>
      <c r="I26" s="14">
        <f t="shared" si="3"/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3">
        <v>46260.0</v>
      </c>
      <c r="B27" s="17" t="s">
        <v>45</v>
      </c>
      <c r="C27" s="33">
        <v>0.5</v>
      </c>
      <c r="D27" s="14">
        <v>319.0</v>
      </c>
      <c r="E27" s="14">
        <v>0.0</v>
      </c>
      <c r="F27" s="14">
        <v>500.0</v>
      </c>
      <c r="G27" s="14">
        <f t="shared" si="1"/>
        <v>819</v>
      </c>
      <c r="H27" s="25">
        <f t="shared" si="2"/>
        <v>14.3325</v>
      </c>
      <c r="I27" s="14">
        <f t="shared" si="3"/>
        <v>804.6675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3">
        <v>46261.0</v>
      </c>
      <c r="B28" s="17" t="s">
        <v>46</v>
      </c>
      <c r="C28" s="33">
        <v>0.5</v>
      </c>
      <c r="D28" s="14">
        <v>319.0</v>
      </c>
      <c r="E28" s="14">
        <v>0.0</v>
      </c>
      <c r="F28" s="14">
        <v>200.0</v>
      </c>
      <c r="G28" s="14">
        <f t="shared" si="1"/>
        <v>519</v>
      </c>
      <c r="H28" s="25">
        <f t="shared" si="2"/>
        <v>9.0825</v>
      </c>
      <c r="I28" s="14">
        <f t="shared" si="3"/>
        <v>509.9175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3">
        <v>46262.0</v>
      </c>
      <c r="B29" s="17" t="s">
        <v>47</v>
      </c>
      <c r="C29" s="33">
        <v>0.5</v>
      </c>
      <c r="D29" s="14">
        <v>319.0</v>
      </c>
      <c r="E29" s="14">
        <v>0.0</v>
      </c>
      <c r="F29" s="14">
        <v>150.0</v>
      </c>
      <c r="G29" s="14">
        <f t="shared" si="1"/>
        <v>469</v>
      </c>
      <c r="H29" s="25">
        <f t="shared" si="2"/>
        <v>8.2075</v>
      </c>
      <c r="I29" s="14">
        <f t="shared" si="3"/>
        <v>460.7925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3">
        <v>46263.0</v>
      </c>
      <c r="B30" s="17" t="s">
        <v>20</v>
      </c>
      <c r="C30" s="33">
        <v>1.5</v>
      </c>
      <c r="D30" s="14">
        <v>957.0</v>
      </c>
      <c r="E30" s="14">
        <v>0.0</v>
      </c>
      <c r="F30" s="14">
        <v>500.0</v>
      </c>
      <c r="G30" s="14">
        <f t="shared" si="1"/>
        <v>1457</v>
      </c>
      <c r="H30" s="25">
        <f t="shared" si="2"/>
        <v>25.4975</v>
      </c>
      <c r="I30" s="14">
        <f t="shared" si="3"/>
        <v>1431.5025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3">
        <v>46264.0</v>
      </c>
      <c r="B31" s="17" t="s">
        <v>35</v>
      </c>
      <c r="C31" s="20">
        <v>0.0</v>
      </c>
      <c r="D31" s="45">
        <v>0.0</v>
      </c>
      <c r="E31" s="45">
        <v>0.0</v>
      </c>
      <c r="F31" s="45">
        <v>150.0</v>
      </c>
      <c r="G31" s="14">
        <f t="shared" si="1"/>
        <v>150</v>
      </c>
      <c r="H31" s="25">
        <f t="shared" si="2"/>
        <v>2.625</v>
      </c>
      <c r="I31" s="14">
        <f t="shared" si="3"/>
        <v>147.375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3">
        <v>46265.0</v>
      </c>
      <c r="B32" s="17" t="s">
        <v>37</v>
      </c>
      <c r="C32" s="20">
        <v>0.0</v>
      </c>
      <c r="D32" s="45">
        <v>0.0</v>
      </c>
      <c r="E32" s="45">
        <v>0.0</v>
      </c>
      <c r="F32" s="45">
        <v>0.0</v>
      </c>
      <c r="G32" s="14">
        <f t="shared" si="1"/>
        <v>0</v>
      </c>
      <c r="H32" s="25">
        <f t="shared" si="2"/>
        <v>0</v>
      </c>
      <c r="I32" s="14">
        <f t="shared" si="3"/>
        <v>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36" t="s">
        <v>43</v>
      </c>
      <c r="B33" s="40"/>
      <c r="C33" s="50"/>
      <c r="D33" s="38">
        <f t="shared" ref="D33:I33" si="4">SUM(D1:D32)</f>
        <v>16324</v>
      </c>
      <c r="E33" s="38">
        <f t="shared" si="4"/>
        <v>3476</v>
      </c>
      <c r="F33" s="38">
        <f t="shared" si="4"/>
        <v>6250</v>
      </c>
      <c r="G33" s="38">
        <f t="shared" si="4"/>
        <v>26050</v>
      </c>
      <c r="H33" s="38">
        <f t="shared" si="4"/>
        <v>455.875</v>
      </c>
      <c r="I33" s="38">
        <f t="shared" si="4"/>
        <v>25594.125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51"/>
      <c r="B34" s="5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6.5"/>
    <col customWidth="1" min="4" max="4" width="18.38"/>
    <col customWidth="1" min="5" max="5" width="15.25"/>
  </cols>
  <sheetData>
    <row r="1">
      <c r="A1" s="2" t="s">
        <v>0</v>
      </c>
      <c r="B1" s="2" t="s">
        <v>3</v>
      </c>
      <c r="C1" s="6" t="s">
        <v>7</v>
      </c>
      <c r="D1" s="8" t="s">
        <v>9</v>
      </c>
      <c r="E1" s="6" t="s">
        <v>10</v>
      </c>
      <c r="F1" s="6" t="s">
        <v>12</v>
      </c>
    </row>
    <row r="2">
      <c r="A2" s="13">
        <v>46235.0</v>
      </c>
      <c r="B2" s="14">
        <v>0.0</v>
      </c>
      <c r="C2" s="14">
        <f t="shared" ref="C2:C32" si="1">B2*75%</f>
        <v>0</v>
      </c>
      <c r="D2" s="14">
        <f t="shared" ref="D2:D32" si="2">B2*25%</f>
        <v>0</v>
      </c>
      <c r="E2" s="25">
        <f t="shared" ref="E2:E32" si="3">B2*1.75%</f>
        <v>0</v>
      </c>
      <c r="F2" s="14">
        <f t="shared" ref="F2:F32" si="4">D2-E2</f>
        <v>0</v>
      </c>
    </row>
    <row r="3">
      <c r="A3" s="13">
        <v>46236.0</v>
      </c>
      <c r="B3" s="14">
        <v>35.0</v>
      </c>
      <c r="C3" s="14">
        <f t="shared" si="1"/>
        <v>26.25</v>
      </c>
      <c r="D3" s="14">
        <f t="shared" si="2"/>
        <v>8.75</v>
      </c>
      <c r="E3" s="25">
        <f t="shared" si="3"/>
        <v>0.6125</v>
      </c>
      <c r="F3" s="14">
        <f t="shared" si="4"/>
        <v>8.1375</v>
      </c>
    </row>
    <row r="4">
      <c r="A4" s="13">
        <v>46237.0</v>
      </c>
      <c r="B4" s="14">
        <v>35.0</v>
      </c>
      <c r="C4" s="14">
        <f t="shared" si="1"/>
        <v>26.25</v>
      </c>
      <c r="D4" s="14">
        <f t="shared" si="2"/>
        <v>8.75</v>
      </c>
      <c r="E4" s="25">
        <f t="shared" si="3"/>
        <v>0.6125</v>
      </c>
      <c r="F4" s="14">
        <f t="shared" si="4"/>
        <v>8.1375</v>
      </c>
    </row>
    <row r="5">
      <c r="A5" s="13">
        <v>46238.0</v>
      </c>
      <c r="B5" s="14">
        <v>0.0</v>
      </c>
      <c r="C5" s="14">
        <f t="shared" si="1"/>
        <v>0</v>
      </c>
      <c r="D5" s="14">
        <f t="shared" si="2"/>
        <v>0</v>
      </c>
      <c r="E5" s="25">
        <f t="shared" si="3"/>
        <v>0</v>
      </c>
      <c r="F5" s="14">
        <f t="shared" si="4"/>
        <v>0</v>
      </c>
    </row>
    <row r="6">
      <c r="A6" s="13">
        <v>46239.0</v>
      </c>
      <c r="B6" s="14">
        <v>0.0</v>
      </c>
      <c r="C6" s="14">
        <f t="shared" si="1"/>
        <v>0</v>
      </c>
      <c r="D6" s="14">
        <f t="shared" si="2"/>
        <v>0</v>
      </c>
      <c r="E6" s="25">
        <f t="shared" si="3"/>
        <v>0</v>
      </c>
      <c r="F6" s="14">
        <f t="shared" si="4"/>
        <v>0</v>
      </c>
    </row>
    <row r="7">
      <c r="A7" s="13">
        <v>46240.0</v>
      </c>
      <c r="B7" s="14">
        <v>0.0</v>
      </c>
      <c r="C7" s="14">
        <f t="shared" si="1"/>
        <v>0</v>
      </c>
      <c r="D7" s="14">
        <f t="shared" si="2"/>
        <v>0</v>
      </c>
      <c r="E7" s="25">
        <f t="shared" si="3"/>
        <v>0</v>
      </c>
      <c r="F7" s="14">
        <f t="shared" si="4"/>
        <v>0</v>
      </c>
    </row>
    <row r="8">
      <c r="A8" s="13">
        <v>46241.0</v>
      </c>
      <c r="B8" s="14">
        <v>0.0</v>
      </c>
      <c r="C8" s="14">
        <f t="shared" si="1"/>
        <v>0</v>
      </c>
      <c r="D8" s="14">
        <f t="shared" si="2"/>
        <v>0</v>
      </c>
      <c r="E8" s="25">
        <f t="shared" si="3"/>
        <v>0</v>
      </c>
      <c r="F8" s="14">
        <f t="shared" si="4"/>
        <v>0</v>
      </c>
    </row>
    <row r="9">
      <c r="A9" s="13">
        <v>46242.0</v>
      </c>
      <c r="B9" s="14">
        <v>0.0</v>
      </c>
      <c r="C9" s="14">
        <f t="shared" si="1"/>
        <v>0</v>
      </c>
      <c r="D9" s="14">
        <f t="shared" si="2"/>
        <v>0</v>
      </c>
      <c r="E9" s="25">
        <f t="shared" si="3"/>
        <v>0</v>
      </c>
      <c r="F9" s="14">
        <f t="shared" si="4"/>
        <v>0</v>
      </c>
    </row>
    <row r="10">
      <c r="A10" s="13">
        <v>46243.0</v>
      </c>
      <c r="B10" s="14">
        <v>0.0</v>
      </c>
      <c r="C10" s="14">
        <f t="shared" si="1"/>
        <v>0</v>
      </c>
      <c r="D10" s="14">
        <f t="shared" si="2"/>
        <v>0</v>
      </c>
      <c r="E10" s="25">
        <f t="shared" si="3"/>
        <v>0</v>
      </c>
      <c r="F10" s="14">
        <f t="shared" si="4"/>
        <v>0</v>
      </c>
    </row>
    <row r="11">
      <c r="A11" s="13">
        <v>46244.0</v>
      </c>
      <c r="B11" s="14">
        <v>0.0</v>
      </c>
      <c r="C11" s="14">
        <f t="shared" si="1"/>
        <v>0</v>
      </c>
      <c r="D11" s="14">
        <f t="shared" si="2"/>
        <v>0</v>
      </c>
      <c r="E11" s="25">
        <f t="shared" si="3"/>
        <v>0</v>
      </c>
      <c r="F11" s="14">
        <f t="shared" si="4"/>
        <v>0</v>
      </c>
    </row>
    <row r="12">
      <c r="A12" s="13">
        <v>46245.0</v>
      </c>
      <c r="B12" s="14">
        <v>0.0</v>
      </c>
      <c r="C12" s="14">
        <f t="shared" si="1"/>
        <v>0</v>
      </c>
      <c r="D12" s="14">
        <f t="shared" si="2"/>
        <v>0</v>
      </c>
      <c r="E12" s="25">
        <f t="shared" si="3"/>
        <v>0</v>
      </c>
      <c r="F12" s="14">
        <f t="shared" si="4"/>
        <v>0</v>
      </c>
    </row>
    <row r="13">
      <c r="A13" s="13">
        <v>46246.0</v>
      </c>
      <c r="B13" s="14">
        <v>0.0</v>
      </c>
      <c r="C13" s="14">
        <f t="shared" si="1"/>
        <v>0</v>
      </c>
      <c r="D13" s="14">
        <f t="shared" si="2"/>
        <v>0</v>
      </c>
      <c r="E13" s="25">
        <f t="shared" si="3"/>
        <v>0</v>
      </c>
      <c r="F13" s="14">
        <f t="shared" si="4"/>
        <v>0</v>
      </c>
    </row>
    <row r="14">
      <c r="A14" s="13">
        <v>46247.0</v>
      </c>
      <c r="B14" s="14">
        <v>0.0</v>
      </c>
      <c r="C14" s="14">
        <f t="shared" si="1"/>
        <v>0</v>
      </c>
      <c r="D14" s="14">
        <f t="shared" si="2"/>
        <v>0</v>
      </c>
      <c r="E14" s="25">
        <f t="shared" si="3"/>
        <v>0</v>
      </c>
      <c r="F14" s="14">
        <f t="shared" si="4"/>
        <v>0</v>
      </c>
    </row>
    <row r="15">
      <c r="A15" s="13">
        <v>46248.0</v>
      </c>
      <c r="B15" s="14">
        <v>0.0</v>
      </c>
      <c r="C15" s="14">
        <f t="shared" si="1"/>
        <v>0</v>
      </c>
      <c r="D15" s="14">
        <f t="shared" si="2"/>
        <v>0</v>
      </c>
      <c r="E15" s="25">
        <f t="shared" si="3"/>
        <v>0</v>
      </c>
      <c r="F15" s="14">
        <f t="shared" si="4"/>
        <v>0</v>
      </c>
    </row>
    <row r="16">
      <c r="A16" s="13">
        <v>46249.0</v>
      </c>
      <c r="B16" s="14">
        <v>0.0</v>
      </c>
      <c r="C16" s="14">
        <f t="shared" si="1"/>
        <v>0</v>
      </c>
      <c r="D16" s="14">
        <f t="shared" si="2"/>
        <v>0</v>
      </c>
      <c r="E16" s="25">
        <f t="shared" si="3"/>
        <v>0</v>
      </c>
      <c r="F16" s="14">
        <f t="shared" si="4"/>
        <v>0</v>
      </c>
    </row>
    <row r="17">
      <c r="A17" s="13">
        <v>46250.0</v>
      </c>
      <c r="B17" s="14">
        <v>0.0</v>
      </c>
      <c r="C17" s="14">
        <f t="shared" si="1"/>
        <v>0</v>
      </c>
      <c r="D17" s="14">
        <f t="shared" si="2"/>
        <v>0</v>
      </c>
      <c r="E17" s="25">
        <f t="shared" si="3"/>
        <v>0</v>
      </c>
      <c r="F17" s="14">
        <f t="shared" si="4"/>
        <v>0</v>
      </c>
    </row>
    <row r="18">
      <c r="A18" s="13">
        <v>46251.0</v>
      </c>
      <c r="B18" s="14">
        <v>0.0</v>
      </c>
      <c r="C18" s="14">
        <f t="shared" si="1"/>
        <v>0</v>
      </c>
      <c r="D18" s="14">
        <f t="shared" si="2"/>
        <v>0</v>
      </c>
      <c r="E18" s="25">
        <f t="shared" si="3"/>
        <v>0</v>
      </c>
      <c r="F18" s="14">
        <f t="shared" si="4"/>
        <v>0</v>
      </c>
    </row>
    <row r="19">
      <c r="A19" s="13">
        <v>46252.0</v>
      </c>
      <c r="B19" s="14">
        <v>0.0</v>
      </c>
      <c r="C19" s="14">
        <f t="shared" si="1"/>
        <v>0</v>
      </c>
      <c r="D19" s="14">
        <f t="shared" si="2"/>
        <v>0</v>
      </c>
      <c r="E19" s="25">
        <f t="shared" si="3"/>
        <v>0</v>
      </c>
      <c r="F19" s="14">
        <f t="shared" si="4"/>
        <v>0</v>
      </c>
    </row>
    <row r="20">
      <c r="A20" s="13">
        <v>46253.0</v>
      </c>
      <c r="B20" s="14">
        <v>0.0</v>
      </c>
      <c r="C20" s="14">
        <f t="shared" si="1"/>
        <v>0</v>
      </c>
      <c r="D20" s="14">
        <f t="shared" si="2"/>
        <v>0</v>
      </c>
      <c r="E20" s="25">
        <f t="shared" si="3"/>
        <v>0</v>
      </c>
      <c r="F20" s="14">
        <f t="shared" si="4"/>
        <v>0</v>
      </c>
    </row>
    <row r="21">
      <c r="A21" s="13">
        <v>46254.0</v>
      </c>
      <c r="B21" s="14">
        <v>0.0</v>
      </c>
      <c r="C21" s="14">
        <f t="shared" si="1"/>
        <v>0</v>
      </c>
      <c r="D21" s="14">
        <f t="shared" si="2"/>
        <v>0</v>
      </c>
      <c r="E21" s="25">
        <f t="shared" si="3"/>
        <v>0</v>
      </c>
      <c r="F21" s="14">
        <f t="shared" si="4"/>
        <v>0</v>
      </c>
    </row>
    <row r="22">
      <c r="A22" s="13">
        <v>46255.0</v>
      </c>
      <c r="B22" s="14">
        <v>0.0</v>
      </c>
      <c r="C22" s="14">
        <f t="shared" si="1"/>
        <v>0</v>
      </c>
      <c r="D22" s="14">
        <f t="shared" si="2"/>
        <v>0</v>
      </c>
      <c r="E22" s="25">
        <f t="shared" si="3"/>
        <v>0</v>
      </c>
      <c r="F22" s="14">
        <f t="shared" si="4"/>
        <v>0</v>
      </c>
    </row>
    <row r="23">
      <c r="A23" s="13">
        <v>46256.0</v>
      </c>
      <c r="B23" s="14">
        <v>0.0</v>
      </c>
      <c r="C23" s="14">
        <f t="shared" si="1"/>
        <v>0</v>
      </c>
      <c r="D23" s="14">
        <f t="shared" si="2"/>
        <v>0</v>
      </c>
      <c r="E23" s="25">
        <f t="shared" si="3"/>
        <v>0</v>
      </c>
      <c r="F23" s="14">
        <f t="shared" si="4"/>
        <v>0</v>
      </c>
    </row>
    <row r="24">
      <c r="A24" s="13">
        <v>46257.0</v>
      </c>
      <c r="B24" s="14">
        <v>0.0</v>
      </c>
      <c r="C24" s="14">
        <f t="shared" si="1"/>
        <v>0</v>
      </c>
      <c r="D24" s="14">
        <f t="shared" si="2"/>
        <v>0</v>
      </c>
      <c r="E24" s="25">
        <f t="shared" si="3"/>
        <v>0</v>
      </c>
      <c r="F24" s="14">
        <f t="shared" si="4"/>
        <v>0</v>
      </c>
    </row>
    <row r="25">
      <c r="A25" s="13">
        <v>46258.0</v>
      </c>
      <c r="B25" s="14">
        <v>0.0</v>
      </c>
      <c r="C25" s="14">
        <f t="shared" si="1"/>
        <v>0</v>
      </c>
      <c r="D25" s="14">
        <f t="shared" si="2"/>
        <v>0</v>
      </c>
      <c r="E25" s="25">
        <f t="shared" si="3"/>
        <v>0</v>
      </c>
      <c r="F25" s="14">
        <f t="shared" si="4"/>
        <v>0</v>
      </c>
    </row>
    <row r="26">
      <c r="A26" s="13">
        <v>46259.0</v>
      </c>
      <c r="B26" s="14">
        <v>0.0</v>
      </c>
      <c r="C26" s="14">
        <f t="shared" si="1"/>
        <v>0</v>
      </c>
      <c r="D26" s="14">
        <f t="shared" si="2"/>
        <v>0</v>
      </c>
      <c r="E26" s="25">
        <f t="shared" si="3"/>
        <v>0</v>
      </c>
      <c r="F26" s="14">
        <f t="shared" si="4"/>
        <v>0</v>
      </c>
    </row>
    <row r="27">
      <c r="A27" s="13">
        <v>46260.0</v>
      </c>
      <c r="B27" s="14">
        <v>0.0</v>
      </c>
      <c r="C27" s="14">
        <f t="shared" si="1"/>
        <v>0</v>
      </c>
      <c r="D27" s="14">
        <f t="shared" si="2"/>
        <v>0</v>
      </c>
      <c r="E27" s="25">
        <f t="shared" si="3"/>
        <v>0</v>
      </c>
      <c r="F27" s="14">
        <f t="shared" si="4"/>
        <v>0</v>
      </c>
    </row>
    <row r="28">
      <c r="A28" s="13">
        <v>46261.0</v>
      </c>
      <c r="B28" s="14">
        <v>0.0</v>
      </c>
      <c r="C28" s="14">
        <f t="shared" si="1"/>
        <v>0</v>
      </c>
      <c r="D28" s="14">
        <f t="shared" si="2"/>
        <v>0</v>
      </c>
      <c r="E28" s="25">
        <f t="shared" si="3"/>
        <v>0</v>
      </c>
      <c r="F28" s="14">
        <f t="shared" si="4"/>
        <v>0</v>
      </c>
    </row>
    <row r="29">
      <c r="A29" s="13">
        <v>46262.0</v>
      </c>
      <c r="B29" s="14">
        <v>0.0</v>
      </c>
      <c r="C29" s="14">
        <f t="shared" si="1"/>
        <v>0</v>
      </c>
      <c r="D29" s="14">
        <f t="shared" si="2"/>
        <v>0</v>
      </c>
      <c r="E29" s="25">
        <f t="shared" si="3"/>
        <v>0</v>
      </c>
      <c r="F29" s="14">
        <f t="shared" si="4"/>
        <v>0</v>
      </c>
    </row>
    <row r="30">
      <c r="A30" s="13">
        <v>46263.0</v>
      </c>
      <c r="B30" s="14">
        <v>0.0</v>
      </c>
      <c r="C30" s="14">
        <f t="shared" si="1"/>
        <v>0</v>
      </c>
      <c r="D30" s="14">
        <f t="shared" si="2"/>
        <v>0</v>
      </c>
      <c r="E30" s="25">
        <f t="shared" si="3"/>
        <v>0</v>
      </c>
      <c r="F30" s="14">
        <f t="shared" si="4"/>
        <v>0</v>
      </c>
    </row>
    <row r="31">
      <c r="A31" s="13">
        <v>46264.0</v>
      </c>
      <c r="B31" s="45">
        <v>0.0</v>
      </c>
      <c r="C31" s="14">
        <f t="shared" si="1"/>
        <v>0</v>
      </c>
      <c r="D31" s="14">
        <f t="shared" si="2"/>
        <v>0</v>
      </c>
      <c r="E31" s="25">
        <f t="shared" si="3"/>
        <v>0</v>
      </c>
      <c r="F31" s="14">
        <f t="shared" si="4"/>
        <v>0</v>
      </c>
    </row>
    <row r="32">
      <c r="A32" s="13">
        <v>46265.0</v>
      </c>
      <c r="B32" s="45">
        <v>0.0</v>
      </c>
      <c r="C32" s="14">
        <f t="shared" si="1"/>
        <v>0</v>
      </c>
      <c r="D32" s="14">
        <f t="shared" si="2"/>
        <v>0</v>
      </c>
      <c r="E32" s="25">
        <f t="shared" si="3"/>
        <v>0</v>
      </c>
      <c r="F32" s="14">
        <f t="shared" si="4"/>
        <v>0</v>
      </c>
    </row>
    <row r="33">
      <c r="A33" s="36" t="s">
        <v>43</v>
      </c>
      <c r="B33" s="48">
        <f t="shared" ref="B33:F33" si="5">SUM(B2:B32)</f>
        <v>70</v>
      </c>
      <c r="C33" s="48">
        <f t="shared" si="5"/>
        <v>52.5</v>
      </c>
      <c r="D33" s="48">
        <f t="shared" si="5"/>
        <v>17.5</v>
      </c>
      <c r="E33" s="48">
        <f t="shared" si="5"/>
        <v>1.225</v>
      </c>
      <c r="F33" s="48">
        <f t="shared" si="5"/>
        <v>16.275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6" t="s">
        <v>1</v>
      </c>
      <c r="B1" s="2" t="s">
        <v>0</v>
      </c>
      <c r="C1" s="2" t="s">
        <v>18</v>
      </c>
      <c r="D1" s="2" t="s">
        <v>19</v>
      </c>
      <c r="E1" s="19" t="s">
        <v>21</v>
      </c>
      <c r="F1" s="2" t="s">
        <v>12</v>
      </c>
      <c r="G1" s="21" t="s">
        <v>23</v>
      </c>
      <c r="H1" s="21" t="s">
        <v>24</v>
      </c>
      <c r="I1" s="2" t="s">
        <v>25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3"/>
      <c r="B2" s="26" t="s">
        <v>2</v>
      </c>
      <c r="C2" s="28">
        <v>36495.0</v>
      </c>
      <c r="D2" s="28">
        <v>2554.0</v>
      </c>
      <c r="E2" s="28">
        <v>459.0</v>
      </c>
      <c r="F2" s="14">
        <f>C2-D2-E2</f>
        <v>33482</v>
      </c>
      <c r="G2" s="28">
        <v>182.0</v>
      </c>
      <c r="H2" s="28">
        <v>36.0</v>
      </c>
      <c r="I2" s="28">
        <f>F2-G2-H2</f>
        <v>33264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3"/>
      <c r="B3" s="34"/>
      <c r="C3" s="34"/>
      <c r="D3" s="34"/>
      <c r="E3" s="34"/>
      <c r="F3" s="34"/>
      <c r="G3" s="34"/>
      <c r="H3" s="34"/>
      <c r="I3" s="3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3"/>
      <c r="B4" s="36" t="s">
        <v>43</v>
      </c>
      <c r="C4" s="38">
        <f t="shared" ref="C4:F4" si="1">SUM(C2:C3)</f>
        <v>36495</v>
      </c>
      <c r="D4" s="38">
        <f t="shared" si="1"/>
        <v>2554</v>
      </c>
      <c r="E4" s="38">
        <f t="shared" si="1"/>
        <v>459</v>
      </c>
      <c r="F4" s="38">
        <f t="shared" si="1"/>
        <v>33482</v>
      </c>
      <c r="G4" s="40"/>
      <c r="H4" s="40"/>
      <c r="I4" s="38">
        <f>SUM(I2:I3)</f>
        <v>33264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2"/>
      <c r="B5" s="42"/>
      <c r="C5" s="42"/>
      <c r="D5" s="42"/>
      <c r="E5" s="42"/>
      <c r="F5" s="42"/>
      <c r="G5" s="42"/>
      <c r="H5" s="4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2"/>
      <c r="B6" s="42"/>
      <c r="C6" s="42"/>
      <c r="D6" s="42"/>
      <c r="E6" s="42"/>
      <c r="F6" s="42"/>
      <c r="G6" s="42"/>
      <c r="H6" s="4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42"/>
      <c r="B7" s="42"/>
      <c r="C7" s="42"/>
      <c r="D7" s="42"/>
      <c r="E7" s="42"/>
      <c r="F7" s="42"/>
      <c r="G7" s="42"/>
      <c r="H7" s="4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</sheetData>
  <hyperlinks>
    <hyperlink r:id="rId1" ref="A1"/>
  </hyperlinks>
  <drawing r:id="rId2"/>
</worksheet>
</file>