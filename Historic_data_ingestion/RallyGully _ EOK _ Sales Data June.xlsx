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  <sheet state="visible" name="B2B" sheetId="6" r:id="rId10"/>
  </sheets>
  <definedNames/>
  <calcPr/>
</workbook>
</file>

<file path=xl/sharedStrings.xml><?xml version="1.0" encoding="utf-8"?>
<sst xmlns="http://schemas.openxmlformats.org/spreadsheetml/2006/main" count="157" uniqueCount="82">
  <si>
    <t>1 - 30 June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</si>
  <si>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</si>
  <si>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</si>
  <si>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</si>
  <si>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</si>
  <si>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</si>
  <si>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</si>
  <si>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</si>
  <si>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</si>
  <si>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</si>
  <si>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</si>
  <si>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</si>
  <si>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</si>
  <si>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</si>
  <si>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</si>
  <si>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</si>
  <si>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</si>
  <si>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</si>
  <si>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</si>
  <si>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</si>
  <si>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</si>
  <si>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</si>
  <si>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</si>
  <si>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</si>
  <si>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</si>
  <si>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</si>
  <si>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</si>
  <si>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</si>
  <si>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</si>
  <si>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</si>
  <si>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</si>
  <si>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</si>
  <si>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Balls Expense</t>
  </si>
  <si>
    <t>Branding Revamp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</si>
  <si>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</si>
  <si>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</si>
  <si>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</si>
  <si>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</si>
  <si>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</si>
  <si>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</si>
  <si>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</si>
  <si>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</si>
  <si>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</si>
  <si>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</si>
  <si>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</si>
  <si>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</si>
  <si>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</si>
  <si>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</si>
  <si>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</si>
  <si>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Monday</t>
  </si>
  <si>
    <t>0 and 10%</t>
  </si>
  <si>
    <t>Tuesday</t>
  </si>
  <si>
    <t>Wednesday</t>
  </si>
  <si>
    <t>Thursday</t>
  </si>
  <si>
    <t>Friday</t>
  </si>
  <si>
    <t>Saturday</t>
  </si>
  <si>
    <t>Sunday</t>
  </si>
  <si>
    <t>Total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</si>
  <si>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</si>
  <si>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</si>
  <si>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</si>
  <si>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</si>
  <si>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</si>
  <si>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</si>
  <si>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</si>
  <si>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Amt</t>
  </si>
  <si>
    <t>Post Comission</t>
  </si>
  <si>
    <t xml:space="preserve">TDS </t>
  </si>
  <si>
    <t>Notes</t>
  </si>
  <si>
    <t>June (SDPT)</t>
  </si>
  <si>
    <t>Courtly</t>
  </si>
  <si>
    <t>Offline - QR, POD, Cash &amp; District</t>
  </si>
  <si>
    <t>Sports</t>
  </si>
  <si>
    <t>Month</t>
  </si>
  <si>
    <t>June</t>
  </si>
  <si>
    <t>Brand</t>
  </si>
  <si>
    <t>Type</t>
  </si>
  <si>
    <t>Savikalpa</t>
  </si>
  <si>
    <t>Activation</t>
  </si>
  <si>
    <t xml:space="preserve">Yaba </t>
  </si>
  <si>
    <t>Paddle Sales</t>
  </si>
  <si>
    <t>Eprise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</si>
</sst>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  <numFmt numFmtId="169" formatCode="d 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0" fontId="4" numFmtId="0" xfId="0" applyAlignment="1" applyBorder="1" applyFont="1">
      <alignment readingOrder="0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3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3" fontId="4" numFmtId="3" xfId="0" applyAlignment="1" applyBorder="1" applyFill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3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3" fillId="0" fontId="4" numFmtId="3" xfId="0" applyAlignment="1" applyBorder="1" applyFont="1" applyNumberFormat="1">
      <alignment horizontal="right" readingOrder="0" vertical="bottom"/>
    </xf>
    <xf borderId="3" fillId="3" fontId="4" numFmtId="166" xfId="0" applyAlignment="1" applyBorder="1" applyFill="1" applyFont="1" applyNumberFormat="1">
      <alignment horizontal="right" vertical="bottom"/>
    </xf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4" numFmtId="4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5" numFmtId="165" xfId="0" applyAlignment="1" applyBorder="1" applyFill="1" applyFont="1" applyNumberFormat="1">
      <alignment horizontal="center" readingOrder="0" vertical="bottom"/>
    </xf>
    <xf borderId="0" fillId="2" fontId="6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2" fontId="2" numFmtId="0" xfId="0" applyAlignment="1" applyBorder="1" applyFill="1" applyFon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0" fillId="0" fontId="4" numFmtId="169" xfId="0" applyAlignment="1" applyFont="1" applyNumberFormat="1">
      <alignment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2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185901</v>
      </c>
      <c r="E5" s="5"/>
    </row>
    <row r="6">
      <c r="B6" s="8" t="s">
        <v>5</v>
      </c>
      <c r="C6" s="9">
        <f>sum(C7:C11)</f>
        <v>142976</v>
      </c>
      <c r="E6" s="5"/>
    </row>
    <row r="7" outlineLevel="1">
      <c r="B7" s="10" t="s">
        <v>6</v>
      </c>
      <c r="C7" s="11">
        <f>District!C4</f>
        <v>142976</v>
      </c>
      <c r="E7" s="5"/>
    </row>
    <row r="8" outlineLevel="1">
      <c r="B8" s="10" t="s">
        <v>7</v>
      </c>
      <c r="C8" s="12">
        <v>0.0</v>
      </c>
      <c r="E8" s="5"/>
    </row>
    <row r="9" outlineLevel="1">
      <c r="B9" s="10" t="s">
        <v>8</v>
      </c>
      <c r="C9" s="12">
        <v>0.0</v>
      </c>
      <c r="E9" s="5"/>
    </row>
    <row r="10" outlineLevel="1">
      <c r="B10" s="13" t="s">
        <v>9</v>
      </c>
      <c r="C10" s="12">
        <v>0.0</v>
      </c>
      <c r="E10" s="14"/>
    </row>
    <row r="11" outlineLevel="1">
      <c r="B11" s="10" t="s">
        <v>10</v>
      </c>
      <c r="C11" s="12">
        <v>0.0</v>
      </c>
      <c r="E11" s="14"/>
    </row>
    <row r="12">
      <c r="B12" s="15" t="s">
        <v>11</v>
      </c>
      <c r="C12" s="9">
        <f>sum(C13:C14)</f>
        <v>42925</v>
      </c>
    </row>
    <row r="13" outlineLevel="1">
      <c r="B13" s="10" t="s">
        <v>12</v>
      </c>
      <c r="C13" s="11">
        <f>'Offline &amp; RG Community'!E32</f>
        <v>42925</v>
      </c>
    </row>
    <row r="14" outlineLevel="1">
      <c r="B14" s="16" t="s">
        <v>13</v>
      </c>
      <c r="C14" s="12">
        <v>0.0</v>
      </c>
      <c r="E14" s="5"/>
    </row>
    <row r="15">
      <c r="B15" s="15" t="s">
        <v>14</v>
      </c>
      <c r="C15" s="9">
        <f>sum(C16:C17)</f>
        <v>134920</v>
      </c>
      <c r="E15" s="5"/>
    </row>
    <row r="16" outlineLevel="1">
      <c r="B16" s="13" t="s">
        <v>15</v>
      </c>
      <c r="C16" s="11">
        <f>'Offline &amp; RG Community'!F32</f>
        <v>40300</v>
      </c>
      <c r="E16" s="5"/>
    </row>
    <row r="17" outlineLevel="1">
      <c r="B17" s="13" t="s">
        <v>16</v>
      </c>
      <c r="C17" s="12">
        <f>'Social EventsTournaments'!B5</f>
        <v>94620</v>
      </c>
    </row>
    <row r="18">
      <c r="B18" s="15" t="s">
        <v>17</v>
      </c>
      <c r="C18" s="9">
        <f>Academy!C2</f>
        <v>28500</v>
      </c>
      <c r="E18" s="5"/>
    </row>
    <row r="19">
      <c r="B19" s="8" t="s">
        <v>18</v>
      </c>
      <c r="C19" s="9">
        <f>sum(C20,C21)</f>
        <v>20000</v>
      </c>
    </row>
    <row r="20" outlineLevel="1">
      <c r="B20" s="10" t="s">
        <v>19</v>
      </c>
      <c r="C20" s="17">
        <v>0.0</v>
      </c>
    </row>
    <row r="21" outlineLevel="1">
      <c r="B21" s="13" t="s">
        <v>20</v>
      </c>
      <c r="C21" s="18">
        <f>B2B!D5</f>
        <v>20000</v>
      </c>
    </row>
    <row r="22">
      <c r="B22" s="8" t="s">
        <v>21</v>
      </c>
      <c r="C22" s="9">
        <f>sum(C23:C25)</f>
        <v>19879</v>
      </c>
    </row>
    <row r="23" outlineLevel="1">
      <c r="B23" s="10" t="s">
        <v>22</v>
      </c>
      <c r="C23" s="17">
        <f>'Offline &amp; RG Community'!G32</f>
        <v>12400</v>
      </c>
    </row>
    <row r="24" outlineLevel="1">
      <c r="B24" s="10" t="s">
        <v>23</v>
      </c>
      <c r="C24" s="12">
        <f>B2B!D3</f>
        <v>2399</v>
      </c>
    </row>
    <row r="25" outlineLevel="1">
      <c r="B25" s="10" t="s">
        <v>24</v>
      </c>
      <c r="C25" s="17">
        <f>'Offline &amp; RG Community'!H32</f>
        <v>5080</v>
      </c>
    </row>
    <row r="26">
      <c r="B26" s="8" t="s">
        <v>25</v>
      </c>
      <c r="C26" s="9">
        <v>0.0</v>
      </c>
    </row>
    <row r="27">
      <c r="B27" s="19" t="s">
        <v>26</v>
      </c>
      <c r="C27" s="20">
        <f>sum(C26+C22+C19+C18+C15+C12+C6)</f>
        <v>389200</v>
      </c>
    </row>
    <row r="28">
      <c r="B28" s="21" t="s">
        <v>27</v>
      </c>
      <c r="C28" s="22">
        <f>'Offline &amp; RG Community'!K32+District!F4+'Social EventsTournaments'!D5+Academy!E2+B2B!D5+B2B!D3</f>
        <v>371359.1125</v>
      </c>
    </row>
    <row r="29">
      <c r="B29" s="8" t="s">
        <v>28</v>
      </c>
      <c r="C29" s="9">
        <f>C28/1.18</f>
        <v>314711.1123</v>
      </c>
    </row>
    <row r="30">
      <c r="B30" s="8" t="s">
        <v>29</v>
      </c>
      <c r="C30" s="11"/>
    </row>
    <row r="31">
      <c r="B31" s="10" t="s">
        <v>30</v>
      </c>
      <c r="C31" s="18">
        <v>60164.0</v>
      </c>
    </row>
    <row r="32">
      <c r="B32" s="10" t="s">
        <v>31</v>
      </c>
      <c r="C32" s="17">
        <v>15000.0</v>
      </c>
    </row>
    <row r="33">
      <c r="B33" s="10" t="s">
        <v>32</v>
      </c>
      <c r="C33" s="17">
        <v>9500.0</v>
      </c>
    </row>
    <row r="34">
      <c r="B34" s="23" t="s">
        <v>33</v>
      </c>
      <c r="C34" s="18">
        <v>12595.0</v>
      </c>
    </row>
    <row r="35">
      <c r="B35" s="23" t="s">
        <v>34</v>
      </c>
      <c r="C35" s="18">
        <v>3024.0</v>
      </c>
    </row>
    <row r="36">
      <c r="B36" s="8" t="s">
        <v>35</v>
      </c>
      <c r="C36" s="9">
        <f>C31+C32+C33+C34+C35</f>
        <v>100283</v>
      </c>
    </row>
    <row r="37">
      <c r="B37" s="8" t="s">
        <v>36</v>
      </c>
      <c r="C37" s="9">
        <f>C29-C36</f>
        <v>214428.1123</v>
      </c>
    </row>
    <row r="38">
      <c r="B38" s="10"/>
      <c r="C38" s="11"/>
    </row>
    <row r="39">
      <c r="B39" s="8" t="s">
        <v>37</v>
      </c>
      <c r="C39" s="9">
        <f>C37*65%</f>
        <v>139378.273</v>
      </c>
    </row>
    <row r="40">
      <c r="B40" s="8" t="s">
        <v>38</v>
      </c>
      <c r="C40" s="9">
        <f>C37*35%</f>
        <v>75049.8393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3.25"/>
    <col customWidth="1" min="5" max="5" width="15.13"/>
    <col customWidth="1" min="6" max="6" width="17.63"/>
    <col customWidth="1" min="7" max="7" width="12.5"/>
    <col customWidth="1" min="8" max="8" width="6.13"/>
    <col customWidth="1" min="9" max="9" width="12.25"/>
    <col customWidth="1" min="10" max="10" width="15.25"/>
    <col customWidth="1" min="11" max="11" width="11.13"/>
  </cols>
  <sheetData>
    <row r="1">
      <c r="A1" s="24" t="s">
        <v>39</v>
      </c>
      <c r="B1" s="24" t="s">
        <v>40</v>
      </c>
      <c r="C1" s="25" t="s">
        <v>41</v>
      </c>
      <c r="D1" s="24" t="s">
        <v>42</v>
      </c>
      <c r="E1" s="24" t="s">
        <v>43</v>
      </c>
      <c r="F1" s="24" t="s">
        <v>44</v>
      </c>
      <c r="G1" s="24" t="s">
        <v>45</v>
      </c>
      <c r="H1" s="24" t="s">
        <v>24</v>
      </c>
      <c r="I1" s="24" t="s">
        <v>46</v>
      </c>
      <c r="J1" s="26" t="s">
        <v>47</v>
      </c>
      <c r="K1" s="19" t="s">
        <v>48</v>
      </c>
    </row>
    <row r="2">
      <c r="A2" s="27">
        <v>46174.0</v>
      </c>
      <c r="B2" s="28" t="s">
        <v>49</v>
      </c>
      <c r="C2" s="29">
        <v>1.0</v>
      </c>
      <c r="D2" s="30" t="s">
        <v>50</v>
      </c>
      <c r="E2" s="30">
        <v>1000.0</v>
      </c>
      <c r="F2" s="30">
        <v>4200.0</v>
      </c>
      <c r="G2" s="30">
        <v>0.0</v>
      </c>
      <c r="H2" s="30">
        <v>70.0</v>
      </c>
      <c r="I2" s="30">
        <f t="shared" ref="I2:I15" si="1">sum(E2:H2)</f>
        <v>5270</v>
      </c>
      <c r="J2" s="31">
        <f t="shared" ref="J2:J31" si="2">I2*1.75%</f>
        <v>92.225</v>
      </c>
      <c r="K2" s="30">
        <f t="shared" ref="K2:K31" si="3">I2-J2</f>
        <v>5177.775</v>
      </c>
    </row>
    <row r="3">
      <c r="A3" s="27">
        <v>46175.0</v>
      </c>
      <c r="B3" s="28" t="s">
        <v>51</v>
      </c>
      <c r="C3" s="32">
        <v>1.0</v>
      </c>
      <c r="D3" s="30" t="s">
        <v>50</v>
      </c>
      <c r="E3" s="33">
        <v>900.0</v>
      </c>
      <c r="F3" s="30">
        <v>0.0</v>
      </c>
      <c r="G3" s="30">
        <v>1000.0</v>
      </c>
      <c r="H3" s="33">
        <v>105.0</v>
      </c>
      <c r="I3" s="30">
        <f t="shared" si="1"/>
        <v>2005</v>
      </c>
      <c r="J3" s="31">
        <f t="shared" si="2"/>
        <v>35.0875</v>
      </c>
      <c r="K3" s="30">
        <f t="shared" si="3"/>
        <v>1969.9125</v>
      </c>
    </row>
    <row r="4">
      <c r="A4" s="27">
        <v>46176.0</v>
      </c>
      <c r="B4" s="28" t="s">
        <v>52</v>
      </c>
      <c r="C4" s="34">
        <v>3.0</v>
      </c>
      <c r="D4" s="30" t="s">
        <v>50</v>
      </c>
      <c r="E4" s="30">
        <v>3240.0</v>
      </c>
      <c r="F4" s="30">
        <v>0.0</v>
      </c>
      <c r="G4" s="30">
        <v>0.0</v>
      </c>
      <c r="H4" s="33">
        <v>0.0</v>
      </c>
      <c r="I4" s="30">
        <f t="shared" si="1"/>
        <v>3240</v>
      </c>
      <c r="J4" s="31">
        <f t="shared" si="2"/>
        <v>56.7</v>
      </c>
      <c r="K4" s="30">
        <f t="shared" si="3"/>
        <v>3183.3</v>
      </c>
    </row>
    <row r="5">
      <c r="A5" s="27">
        <v>46177.0</v>
      </c>
      <c r="B5" s="28" t="s">
        <v>53</v>
      </c>
      <c r="C5" s="35">
        <v>6.0</v>
      </c>
      <c r="D5" s="30" t="s">
        <v>50</v>
      </c>
      <c r="E5" s="30">
        <f>7560+1350</f>
        <v>8910</v>
      </c>
      <c r="F5" s="30">
        <v>3600.0</v>
      </c>
      <c r="G5" s="30">
        <v>400.0</v>
      </c>
      <c r="H5" s="30">
        <v>315.0</v>
      </c>
      <c r="I5" s="30">
        <f t="shared" si="1"/>
        <v>13225</v>
      </c>
      <c r="J5" s="31">
        <f t="shared" si="2"/>
        <v>231.4375</v>
      </c>
      <c r="K5" s="30">
        <f t="shared" si="3"/>
        <v>12993.5625</v>
      </c>
    </row>
    <row r="6">
      <c r="A6" s="27">
        <v>46178.0</v>
      </c>
      <c r="B6" s="28" t="s">
        <v>54</v>
      </c>
      <c r="C6" s="34">
        <v>0.0</v>
      </c>
      <c r="D6" s="30" t="s">
        <v>50</v>
      </c>
      <c r="E6" s="30">
        <v>0.0</v>
      </c>
      <c r="F6" s="30">
        <v>3000.0</v>
      </c>
      <c r="G6" s="30">
        <v>300.0</v>
      </c>
      <c r="H6" s="30">
        <v>105.0</v>
      </c>
      <c r="I6" s="30">
        <f t="shared" si="1"/>
        <v>3405</v>
      </c>
      <c r="J6" s="31">
        <f t="shared" si="2"/>
        <v>59.5875</v>
      </c>
      <c r="K6" s="30">
        <f t="shared" si="3"/>
        <v>3345.4125</v>
      </c>
    </row>
    <row r="7">
      <c r="A7" s="27">
        <v>46179.0</v>
      </c>
      <c r="B7" s="28" t="s">
        <v>55</v>
      </c>
      <c r="C7" s="36">
        <v>0.5</v>
      </c>
      <c r="D7" s="30" t="s">
        <v>50</v>
      </c>
      <c r="E7" s="30">
        <v>550.0</v>
      </c>
      <c r="F7" s="30">
        <v>2400.0</v>
      </c>
      <c r="G7" s="37">
        <v>1100.0</v>
      </c>
      <c r="H7" s="30">
        <v>105.0</v>
      </c>
      <c r="I7" s="30">
        <f t="shared" si="1"/>
        <v>4155</v>
      </c>
      <c r="J7" s="31">
        <f t="shared" si="2"/>
        <v>72.7125</v>
      </c>
      <c r="K7" s="30">
        <f t="shared" si="3"/>
        <v>4082.2875</v>
      </c>
    </row>
    <row r="8">
      <c r="A8" s="27">
        <v>46180.0</v>
      </c>
      <c r="B8" s="28" t="s">
        <v>56</v>
      </c>
      <c r="C8" s="34">
        <v>0.0</v>
      </c>
      <c r="D8" s="30" t="s">
        <v>50</v>
      </c>
      <c r="E8" s="30">
        <v>0.0</v>
      </c>
      <c r="F8" s="33">
        <v>600.0</v>
      </c>
      <c r="G8" s="30">
        <v>400.0</v>
      </c>
      <c r="H8" s="30">
        <v>0.0</v>
      </c>
      <c r="I8" s="30">
        <f t="shared" si="1"/>
        <v>1000</v>
      </c>
      <c r="J8" s="31">
        <f t="shared" si="2"/>
        <v>17.5</v>
      </c>
      <c r="K8" s="30">
        <f t="shared" si="3"/>
        <v>982.5</v>
      </c>
    </row>
    <row r="9">
      <c r="A9" s="27">
        <v>46181.0</v>
      </c>
      <c r="B9" s="28" t="s">
        <v>49</v>
      </c>
      <c r="C9" s="34">
        <v>0.0</v>
      </c>
      <c r="D9" s="30" t="s">
        <v>50</v>
      </c>
      <c r="E9" s="30">
        <v>0.0</v>
      </c>
      <c r="F9" s="30">
        <v>1800.0</v>
      </c>
      <c r="G9" s="37">
        <v>0.0</v>
      </c>
      <c r="H9" s="30">
        <v>0.0</v>
      </c>
      <c r="I9" s="30">
        <f t="shared" si="1"/>
        <v>1800</v>
      </c>
      <c r="J9" s="31">
        <f t="shared" si="2"/>
        <v>31.5</v>
      </c>
      <c r="K9" s="30">
        <f t="shared" si="3"/>
        <v>1768.5</v>
      </c>
    </row>
    <row r="10">
      <c r="A10" s="27">
        <v>46182.0</v>
      </c>
      <c r="B10" s="28" t="s">
        <v>51</v>
      </c>
      <c r="C10" s="34">
        <v>0.0</v>
      </c>
      <c r="D10" s="30" t="s">
        <v>50</v>
      </c>
      <c r="E10" s="30">
        <v>0.0</v>
      </c>
      <c r="F10" s="30">
        <v>0.0</v>
      </c>
      <c r="G10" s="30">
        <v>400.0</v>
      </c>
      <c r="H10" s="30">
        <v>0.0</v>
      </c>
      <c r="I10" s="30">
        <f t="shared" si="1"/>
        <v>400</v>
      </c>
      <c r="J10" s="31">
        <f t="shared" si="2"/>
        <v>7</v>
      </c>
      <c r="K10" s="30">
        <f t="shared" si="3"/>
        <v>393</v>
      </c>
    </row>
    <row r="11">
      <c r="A11" s="27">
        <v>46183.0</v>
      </c>
      <c r="B11" s="28" t="s">
        <v>52</v>
      </c>
      <c r="C11" s="36">
        <v>6.5</v>
      </c>
      <c r="D11" s="30" t="s">
        <v>50</v>
      </c>
      <c r="E11" s="30">
        <v>6940.0</v>
      </c>
      <c r="F11" s="30">
        <v>0.0</v>
      </c>
      <c r="G11" s="30">
        <v>0.0</v>
      </c>
      <c r="H11" s="30">
        <v>560.0</v>
      </c>
      <c r="I11" s="30">
        <f t="shared" si="1"/>
        <v>7500</v>
      </c>
      <c r="J11" s="31">
        <f t="shared" si="2"/>
        <v>131.25</v>
      </c>
      <c r="K11" s="30">
        <f t="shared" si="3"/>
        <v>7368.75</v>
      </c>
    </row>
    <row r="12">
      <c r="A12" s="27">
        <v>46184.0</v>
      </c>
      <c r="B12" s="28" t="s">
        <v>53</v>
      </c>
      <c r="C12" s="36">
        <v>2.5</v>
      </c>
      <c r="D12" s="30" t="s">
        <v>50</v>
      </c>
      <c r="E12" s="30">
        <v>2300.0</v>
      </c>
      <c r="F12" s="30">
        <v>900.0</v>
      </c>
      <c r="G12" s="30">
        <v>100.0</v>
      </c>
      <c r="H12" s="30">
        <v>245.0</v>
      </c>
      <c r="I12" s="30">
        <f t="shared" si="1"/>
        <v>3545</v>
      </c>
      <c r="J12" s="31">
        <f t="shared" si="2"/>
        <v>62.0375</v>
      </c>
      <c r="K12" s="30">
        <f t="shared" si="3"/>
        <v>3482.9625</v>
      </c>
    </row>
    <row r="13">
      <c r="A13" s="27">
        <v>46185.0</v>
      </c>
      <c r="B13" s="28" t="s">
        <v>54</v>
      </c>
      <c r="C13" s="34">
        <v>0.0</v>
      </c>
      <c r="D13" s="30" t="s">
        <v>50</v>
      </c>
      <c r="E13" s="30">
        <v>0.0</v>
      </c>
      <c r="F13" s="30">
        <v>0.0</v>
      </c>
      <c r="G13" s="30">
        <v>2500.0</v>
      </c>
      <c r="H13" s="30">
        <v>0.0</v>
      </c>
      <c r="I13" s="30">
        <f t="shared" si="1"/>
        <v>2500</v>
      </c>
      <c r="J13" s="31">
        <f t="shared" si="2"/>
        <v>43.75</v>
      </c>
      <c r="K13" s="30">
        <f t="shared" si="3"/>
        <v>2456.25</v>
      </c>
    </row>
    <row r="14">
      <c r="A14" s="27">
        <v>46186.0</v>
      </c>
      <c r="B14" s="28" t="s">
        <v>55</v>
      </c>
      <c r="C14" s="34">
        <v>2.0</v>
      </c>
      <c r="D14" s="30" t="s">
        <v>50</v>
      </c>
      <c r="E14" s="30">
        <v>1900.0</v>
      </c>
      <c r="F14" s="30">
        <v>0.0</v>
      </c>
      <c r="G14" s="30">
        <v>400.0</v>
      </c>
      <c r="H14" s="30">
        <v>315.0</v>
      </c>
      <c r="I14" s="30">
        <f t="shared" si="1"/>
        <v>2615</v>
      </c>
      <c r="J14" s="31">
        <f t="shared" si="2"/>
        <v>45.7625</v>
      </c>
      <c r="K14" s="30">
        <f t="shared" si="3"/>
        <v>2569.2375</v>
      </c>
    </row>
    <row r="15">
      <c r="A15" s="27">
        <v>46187.0</v>
      </c>
      <c r="B15" s="28" t="s">
        <v>56</v>
      </c>
      <c r="C15" s="34">
        <v>1.0</v>
      </c>
      <c r="D15" s="30" t="s">
        <v>50</v>
      </c>
      <c r="E15" s="30">
        <v>900.0</v>
      </c>
      <c r="F15" s="30">
        <v>2100.0</v>
      </c>
      <c r="G15" s="30">
        <v>800.0</v>
      </c>
      <c r="H15" s="30">
        <v>0.0</v>
      </c>
      <c r="I15" s="30">
        <f t="shared" si="1"/>
        <v>3800</v>
      </c>
      <c r="J15" s="31">
        <f t="shared" si="2"/>
        <v>66.5</v>
      </c>
      <c r="K15" s="30">
        <f t="shared" si="3"/>
        <v>3733.5</v>
      </c>
    </row>
    <row r="16">
      <c r="A16" s="27">
        <v>46188.0</v>
      </c>
      <c r="B16" s="28" t="s">
        <v>49</v>
      </c>
      <c r="C16" s="34">
        <v>0.0</v>
      </c>
      <c r="D16" s="30" t="s">
        <v>50</v>
      </c>
      <c r="E16" s="30">
        <v>0.0</v>
      </c>
      <c r="F16" s="30">
        <v>0.0</v>
      </c>
      <c r="G16" s="30">
        <v>100.0</v>
      </c>
      <c r="H16" s="30">
        <v>0.0</v>
      </c>
      <c r="I16" s="30">
        <f>SUM(E16:H16)</f>
        <v>100</v>
      </c>
      <c r="J16" s="31">
        <f t="shared" si="2"/>
        <v>1.75</v>
      </c>
      <c r="K16" s="30">
        <f t="shared" si="3"/>
        <v>98.25</v>
      </c>
    </row>
    <row r="17">
      <c r="A17" s="27">
        <v>46189.0</v>
      </c>
      <c r="B17" s="28" t="s">
        <v>51</v>
      </c>
      <c r="C17" s="34">
        <v>0.0</v>
      </c>
      <c r="D17" s="30" t="s">
        <v>50</v>
      </c>
      <c r="E17" s="38">
        <v>0.0</v>
      </c>
      <c r="F17" s="30">
        <v>2400.0</v>
      </c>
      <c r="G17" s="30">
        <v>300.0</v>
      </c>
      <c r="H17" s="30">
        <v>105.0</v>
      </c>
      <c r="I17" s="30">
        <f>SUM(F17:H17)</f>
        <v>2805</v>
      </c>
      <c r="J17" s="31">
        <f t="shared" si="2"/>
        <v>49.0875</v>
      </c>
      <c r="K17" s="30">
        <f t="shared" si="3"/>
        <v>2755.9125</v>
      </c>
    </row>
    <row r="18">
      <c r="A18" s="27">
        <v>46190.0</v>
      </c>
      <c r="B18" s="28" t="s">
        <v>52</v>
      </c>
      <c r="C18" s="34">
        <v>0.0</v>
      </c>
      <c r="D18" s="30" t="s">
        <v>50</v>
      </c>
      <c r="E18" s="30">
        <v>0.0</v>
      </c>
      <c r="F18" s="30">
        <v>0.0</v>
      </c>
      <c r="G18" s="30">
        <v>0.0</v>
      </c>
      <c r="H18" s="30">
        <v>210.0</v>
      </c>
      <c r="I18" s="30">
        <f t="shared" ref="I18:I21" si="4">SUM(E18:H18)</f>
        <v>210</v>
      </c>
      <c r="J18" s="31">
        <f t="shared" si="2"/>
        <v>3.675</v>
      </c>
      <c r="K18" s="30">
        <f t="shared" si="3"/>
        <v>206.325</v>
      </c>
    </row>
    <row r="19">
      <c r="A19" s="27">
        <v>46191.0</v>
      </c>
      <c r="B19" s="28" t="s">
        <v>53</v>
      </c>
      <c r="C19" s="39">
        <v>6.0</v>
      </c>
      <c r="D19" s="30" t="s">
        <v>50</v>
      </c>
      <c r="E19" s="33">
        <v>6040.0</v>
      </c>
      <c r="F19" s="30">
        <v>2400.0</v>
      </c>
      <c r="G19" s="30">
        <v>500.0</v>
      </c>
      <c r="H19" s="30">
        <v>210.0</v>
      </c>
      <c r="I19" s="30">
        <f t="shared" si="4"/>
        <v>9150</v>
      </c>
      <c r="J19" s="31">
        <f t="shared" si="2"/>
        <v>160.125</v>
      </c>
      <c r="K19" s="30">
        <f t="shared" si="3"/>
        <v>8989.875</v>
      </c>
    </row>
    <row r="20">
      <c r="A20" s="27">
        <v>46192.0</v>
      </c>
      <c r="B20" s="28" t="s">
        <v>54</v>
      </c>
      <c r="C20" s="34">
        <v>0.0</v>
      </c>
      <c r="D20" s="30" t="s">
        <v>50</v>
      </c>
      <c r="E20" s="30">
        <v>0.0</v>
      </c>
      <c r="F20" s="30">
        <v>0.0</v>
      </c>
      <c r="G20" s="30">
        <v>100.0</v>
      </c>
      <c r="H20" s="30">
        <v>0.0</v>
      </c>
      <c r="I20" s="30">
        <f t="shared" si="4"/>
        <v>100</v>
      </c>
      <c r="J20" s="31">
        <f t="shared" si="2"/>
        <v>1.75</v>
      </c>
      <c r="K20" s="30">
        <f t="shared" si="3"/>
        <v>98.25</v>
      </c>
    </row>
    <row r="21">
      <c r="A21" s="27">
        <v>46193.0</v>
      </c>
      <c r="B21" s="28" t="s">
        <v>55</v>
      </c>
      <c r="C21" s="34">
        <v>0.0</v>
      </c>
      <c r="D21" s="30" t="s">
        <v>50</v>
      </c>
      <c r="E21" s="30">
        <v>0.0</v>
      </c>
      <c r="F21" s="30">
        <v>0.0</v>
      </c>
      <c r="G21" s="30">
        <v>400.0</v>
      </c>
      <c r="H21" s="30">
        <v>350.0</v>
      </c>
      <c r="I21" s="30">
        <f t="shared" si="4"/>
        <v>750</v>
      </c>
      <c r="J21" s="31">
        <f t="shared" si="2"/>
        <v>13.125</v>
      </c>
      <c r="K21" s="30">
        <f t="shared" si="3"/>
        <v>736.875</v>
      </c>
    </row>
    <row r="22">
      <c r="A22" s="27">
        <v>46194.0</v>
      </c>
      <c r="B22" s="28" t="s">
        <v>56</v>
      </c>
      <c r="C22" s="34">
        <v>0.0</v>
      </c>
      <c r="D22" s="30" t="s">
        <v>50</v>
      </c>
      <c r="E22" s="30">
        <v>0.0</v>
      </c>
      <c r="F22" s="30">
        <v>0.0</v>
      </c>
      <c r="G22" s="30">
        <v>300.0</v>
      </c>
      <c r="H22" s="30">
        <v>600.0</v>
      </c>
      <c r="I22" s="30">
        <f>sum(E22:H22)</f>
        <v>900</v>
      </c>
      <c r="J22" s="31">
        <f t="shared" si="2"/>
        <v>15.75</v>
      </c>
      <c r="K22" s="30">
        <f t="shared" si="3"/>
        <v>884.25</v>
      </c>
    </row>
    <row r="23">
      <c r="A23" s="27">
        <v>46195.0</v>
      </c>
      <c r="B23" s="28" t="s">
        <v>49</v>
      </c>
      <c r="C23" s="39">
        <v>1.0</v>
      </c>
      <c r="D23" s="30" t="s">
        <v>50</v>
      </c>
      <c r="E23" s="33">
        <v>810.0</v>
      </c>
      <c r="F23" s="30">
        <v>2400.0</v>
      </c>
      <c r="G23" s="30">
        <v>1100.0</v>
      </c>
      <c r="H23" s="30">
        <v>455.0</v>
      </c>
      <c r="I23" s="30">
        <f t="shared" ref="I23:I31" si="5">SUM(E23:H23)</f>
        <v>4765</v>
      </c>
      <c r="J23" s="31">
        <f t="shared" si="2"/>
        <v>83.3875</v>
      </c>
      <c r="K23" s="30">
        <f t="shared" si="3"/>
        <v>4681.6125</v>
      </c>
    </row>
    <row r="24">
      <c r="A24" s="27">
        <v>46196.0</v>
      </c>
      <c r="B24" s="28" t="s">
        <v>51</v>
      </c>
      <c r="C24" s="35">
        <v>2.0</v>
      </c>
      <c r="D24" s="30" t="s">
        <v>50</v>
      </c>
      <c r="E24" s="30">
        <f>1500+1105</f>
        <v>2605</v>
      </c>
      <c r="F24" s="30">
        <v>2250.0</v>
      </c>
      <c r="G24" s="30">
        <v>600.0</v>
      </c>
      <c r="H24" s="30">
        <v>70.0</v>
      </c>
      <c r="I24" s="30">
        <f t="shared" si="5"/>
        <v>5525</v>
      </c>
      <c r="J24" s="31">
        <f t="shared" si="2"/>
        <v>96.6875</v>
      </c>
      <c r="K24" s="30">
        <f t="shared" si="3"/>
        <v>5428.3125</v>
      </c>
    </row>
    <row r="25">
      <c r="A25" s="27">
        <v>46197.0</v>
      </c>
      <c r="B25" s="28" t="s">
        <v>52</v>
      </c>
      <c r="C25" s="36">
        <v>1.5</v>
      </c>
      <c r="D25" s="30" t="s">
        <v>50</v>
      </c>
      <c r="E25" s="30">
        <v>1350.0</v>
      </c>
      <c r="F25" s="30">
        <v>900.0</v>
      </c>
      <c r="G25" s="30">
        <v>100.0</v>
      </c>
      <c r="H25" s="30">
        <v>0.0</v>
      </c>
      <c r="I25" s="30">
        <f t="shared" si="5"/>
        <v>2350</v>
      </c>
      <c r="J25" s="31">
        <f t="shared" si="2"/>
        <v>41.125</v>
      </c>
      <c r="K25" s="30">
        <f t="shared" si="3"/>
        <v>2308.875</v>
      </c>
    </row>
    <row r="26">
      <c r="A26" s="27">
        <v>46198.0</v>
      </c>
      <c r="B26" s="28" t="s">
        <v>53</v>
      </c>
      <c r="C26" s="36">
        <v>3.5</v>
      </c>
      <c r="D26" s="30" t="s">
        <v>50</v>
      </c>
      <c r="E26" s="30">
        <v>3580.0</v>
      </c>
      <c r="F26" s="30">
        <v>0.0</v>
      </c>
      <c r="G26" s="30">
        <v>300.0</v>
      </c>
      <c r="H26" s="30">
        <v>140.0</v>
      </c>
      <c r="I26" s="30">
        <f t="shared" si="5"/>
        <v>4020</v>
      </c>
      <c r="J26" s="31">
        <f t="shared" si="2"/>
        <v>70.35</v>
      </c>
      <c r="K26" s="30">
        <f t="shared" si="3"/>
        <v>3949.65</v>
      </c>
    </row>
    <row r="27">
      <c r="A27" s="27">
        <v>46199.0</v>
      </c>
      <c r="B27" s="28" t="s">
        <v>54</v>
      </c>
      <c r="C27" s="34">
        <v>2.0</v>
      </c>
      <c r="D27" s="30" t="s">
        <v>50</v>
      </c>
      <c r="E27" s="30">
        <v>1900.0</v>
      </c>
      <c r="F27" s="30">
        <v>5650.0</v>
      </c>
      <c r="G27" s="30">
        <v>200.0</v>
      </c>
      <c r="H27" s="30">
        <v>350.0</v>
      </c>
      <c r="I27" s="30">
        <f t="shared" si="5"/>
        <v>8100</v>
      </c>
      <c r="J27" s="31">
        <f t="shared" si="2"/>
        <v>141.75</v>
      </c>
      <c r="K27" s="30">
        <f t="shared" si="3"/>
        <v>7958.25</v>
      </c>
    </row>
    <row r="28">
      <c r="A28" s="27">
        <v>46200.0</v>
      </c>
      <c r="B28" s="28" t="s">
        <v>55</v>
      </c>
      <c r="C28" s="34">
        <v>0.0</v>
      </c>
      <c r="D28" s="30" t="s">
        <v>50</v>
      </c>
      <c r="E28" s="30">
        <v>0.0</v>
      </c>
      <c r="F28" s="33">
        <v>900.0</v>
      </c>
      <c r="G28" s="30">
        <v>0.0</v>
      </c>
      <c r="H28" s="33">
        <v>35.0</v>
      </c>
      <c r="I28" s="30">
        <f t="shared" si="5"/>
        <v>935</v>
      </c>
      <c r="J28" s="31">
        <f t="shared" si="2"/>
        <v>16.3625</v>
      </c>
      <c r="K28" s="30">
        <f t="shared" si="3"/>
        <v>918.6375</v>
      </c>
    </row>
    <row r="29">
      <c r="A29" s="27">
        <v>46201.0</v>
      </c>
      <c r="B29" s="28" t="s">
        <v>56</v>
      </c>
      <c r="C29" s="34">
        <v>0.0</v>
      </c>
      <c r="D29" s="30" t="s">
        <v>50</v>
      </c>
      <c r="E29" s="30">
        <v>0.0</v>
      </c>
      <c r="F29" s="30">
        <v>0.0</v>
      </c>
      <c r="G29" s="30">
        <v>800.0</v>
      </c>
      <c r="H29" s="33">
        <v>70.0</v>
      </c>
      <c r="I29" s="30">
        <f t="shared" si="5"/>
        <v>870</v>
      </c>
      <c r="J29" s="31">
        <f t="shared" si="2"/>
        <v>15.225</v>
      </c>
      <c r="K29" s="30">
        <f t="shared" si="3"/>
        <v>854.775</v>
      </c>
    </row>
    <row r="30">
      <c r="A30" s="27">
        <v>46202.0</v>
      </c>
      <c r="B30" s="28" t="s">
        <v>49</v>
      </c>
      <c r="C30" s="34">
        <v>0.0</v>
      </c>
      <c r="D30" s="30" t="s">
        <v>50</v>
      </c>
      <c r="E30" s="30">
        <v>0.0</v>
      </c>
      <c r="F30" s="30">
        <v>3600.0</v>
      </c>
      <c r="G30" s="30">
        <v>100.0</v>
      </c>
      <c r="H30" s="30">
        <v>175.0</v>
      </c>
      <c r="I30" s="30">
        <f t="shared" si="5"/>
        <v>3875</v>
      </c>
      <c r="J30" s="31">
        <f t="shared" si="2"/>
        <v>67.8125</v>
      </c>
      <c r="K30" s="30">
        <f t="shared" si="3"/>
        <v>3807.1875</v>
      </c>
    </row>
    <row r="31">
      <c r="A31" s="27">
        <v>46203.0</v>
      </c>
      <c r="B31" s="28" t="s">
        <v>51</v>
      </c>
      <c r="C31" s="29">
        <v>0.0</v>
      </c>
      <c r="D31" s="30" t="s">
        <v>50</v>
      </c>
      <c r="E31" s="40">
        <v>0.0</v>
      </c>
      <c r="F31" s="40">
        <v>1200.0</v>
      </c>
      <c r="G31" s="40">
        <v>100.0</v>
      </c>
      <c r="H31" s="40">
        <v>490.0</v>
      </c>
      <c r="I31" s="30">
        <f t="shared" si="5"/>
        <v>1790</v>
      </c>
      <c r="J31" s="31">
        <f t="shared" si="2"/>
        <v>31.325</v>
      </c>
      <c r="K31" s="30">
        <f t="shared" si="3"/>
        <v>1758.675</v>
      </c>
    </row>
    <row r="32">
      <c r="A32" s="41" t="s">
        <v>57</v>
      </c>
      <c r="B32" s="42"/>
      <c r="C32" s="43"/>
      <c r="D32" s="42"/>
      <c r="E32" s="44">
        <f t="shared" ref="E32:K32" si="6">SUM(E1:E31)</f>
        <v>42925</v>
      </c>
      <c r="F32" s="44">
        <f t="shared" si="6"/>
        <v>40300</v>
      </c>
      <c r="G32" s="44">
        <f t="shared" si="6"/>
        <v>12400</v>
      </c>
      <c r="H32" s="44">
        <f t="shared" si="6"/>
        <v>5080</v>
      </c>
      <c r="I32" s="44">
        <f t="shared" si="6"/>
        <v>100705</v>
      </c>
      <c r="J32" s="44">
        <f t="shared" si="6"/>
        <v>1762.3375</v>
      </c>
      <c r="K32" s="44">
        <f t="shared" si="6"/>
        <v>98942.6625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5" t="s">
        <v>58</v>
      </c>
      <c r="B1" s="24" t="s">
        <v>39</v>
      </c>
      <c r="C1" s="24" t="s">
        <v>59</v>
      </c>
      <c r="D1" s="24" t="s">
        <v>60</v>
      </c>
      <c r="E1" s="46" t="s">
        <v>61</v>
      </c>
      <c r="F1" s="24" t="s">
        <v>48</v>
      </c>
      <c r="G1" s="47" t="s">
        <v>62</v>
      </c>
      <c r="H1" s="47" t="s">
        <v>63</v>
      </c>
      <c r="I1" s="24" t="s">
        <v>64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8"/>
      <c r="B2" s="49" t="s">
        <v>0</v>
      </c>
      <c r="C2" s="33">
        <v>142976.0</v>
      </c>
      <c r="D2" s="33">
        <v>9009.0</v>
      </c>
      <c r="E2" s="33">
        <v>1621.0</v>
      </c>
      <c r="F2" s="30">
        <f>C2-D2-E2</f>
        <v>132346</v>
      </c>
      <c r="G2" s="33">
        <v>715.0</v>
      </c>
      <c r="H2" s="33">
        <v>143.0</v>
      </c>
      <c r="I2" s="33">
        <f>F2-G2-H2</f>
        <v>131488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8"/>
      <c r="B3" s="50"/>
      <c r="C3" s="50"/>
      <c r="D3" s="50"/>
      <c r="E3" s="50"/>
      <c r="F3" s="50"/>
      <c r="G3" s="50"/>
      <c r="H3" s="50"/>
      <c r="I3" s="5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8"/>
      <c r="B4" s="41" t="s">
        <v>57</v>
      </c>
      <c r="C4" s="44">
        <f>SUM(C2:C3)</f>
        <v>142976</v>
      </c>
      <c r="D4" s="42"/>
      <c r="E4" s="42"/>
      <c r="F4" s="44">
        <f>SUM(F2:F3)</f>
        <v>132346</v>
      </c>
      <c r="G4" s="42"/>
      <c r="H4" s="42"/>
      <c r="I4" s="44">
        <f>SUM(I2:I3)</f>
        <v>131488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17.75"/>
    <col customWidth="1" min="6" max="6" width="14.13"/>
    <col customWidth="1" min="7" max="7" width="26.25"/>
  </cols>
  <sheetData>
    <row r="1">
      <c r="A1" s="51" t="s">
        <v>39</v>
      </c>
      <c r="B1" s="51" t="s">
        <v>65</v>
      </c>
      <c r="C1" s="52" t="s">
        <v>66</v>
      </c>
      <c r="D1" s="53" t="s">
        <v>48</v>
      </c>
      <c r="E1" s="53" t="s">
        <v>67</v>
      </c>
      <c r="F1" s="53" t="s">
        <v>64</v>
      </c>
      <c r="G1" s="51" t="s">
        <v>68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4" t="s">
        <v>69</v>
      </c>
      <c r="B2" s="18">
        <v>78300.0</v>
      </c>
      <c r="C2" s="55">
        <f>B2*5%</f>
        <v>3915</v>
      </c>
      <c r="D2" s="17">
        <f t="shared" ref="D2:D4" si="1">B2-C2</f>
        <v>74385</v>
      </c>
      <c r="E2" s="56">
        <f>B2*2%</f>
        <v>1566</v>
      </c>
      <c r="F2" s="17">
        <f t="shared" ref="F2:F4" si="2">D2-E2</f>
        <v>72819</v>
      </c>
      <c r="G2" s="23" t="s">
        <v>70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4" t="s">
        <v>69</v>
      </c>
      <c r="B3" s="12">
        <v>2000.0</v>
      </c>
      <c r="C3" s="55">
        <f>B3*6%</f>
        <v>120</v>
      </c>
      <c r="D3" s="17">
        <f t="shared" si="1"/>
        <v>1880</v>
      </c>
      <c r="E3" s="23">
        <v>0.0</v>
      </c>
      <c r="F3" s="17">
        <f t="shared" si="2"/>
        <v>1880</v>
      </c>
      <c r="G3" s="23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 t="s">
        <v>69</v>
      </c>
      <c r="B4" s="12">
        <f>6120+1800+6400</f>
        <v>14320</v>
      </c>
      <c r="C4" s="55">
        <f>B4*4%</f>
        <v>572.8</v>
      </c>
      <c r="D4" s="17">
        <f t="shared" si="1"/>
        <v>13747.2</v>
      </c>
      <c r="E4" s="23">
        <v>0.0</v>
      </c>
      <c r="F4" s="17">
        <f t="shared" si="2"/>
        <v>13747.2</v>
      </c>
      <c r="G4" s="23" t="s">
        <v>71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7" t="s">
        <v>57</v>
      </c>
      <c r="B5" s="20">
        <f>SUM(B2:B4)</f>
        <v>94620</v>
      </c>
      <c r="C5" s="58"/>
      <c r="D5" s="20">
        <f>SUM(D2:D4)</f>
        <v>90012.2</v>
      </c>
      <c r="E5" s="6"/>
      <c r="F5" s="20">
        <f>SUM(F2:F4)</f>
        <v>88446.2</v>
      </c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19" t="s">
        <v>72</v>
      </c>
      <c r="B1" s="19" t="s">
        <v>73</v>
      </c>
      <c r="C1" s="19" t="s">
        <v>65</v>
      </c>
      <c r="D1" s="26" t="s">
        <v>47</v>
      </c>
      <c r="E1" s="19" t="s">
        <v>48</v>
      </c>
    </row>
    <row r="2">
      <c r="A2" s="13" t="s">
        <v>3</v>
      </c>
      <c r="B2" s="23" t="s">
        <v>74</v>
      </c>
      <c r="C2" s="60">
        <v>28500.0</v>
      </c>
      <c r="D2" s="30">
        <f>C2*2.5%*1.18</f>
        <v>840.75</v>
      </c>
      <c r="E2" s="30">
        <f>C2-D2</f>
        <v>27659.25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53" t="s">
        <v>39</v>
      </c>
      <c r="B1" s="53" t="s">
        <v>75</v>
      </c>
      <c r="C1" s="53" t="s">
        <v>76</v>
      </c>
      <c r="D1" s="53" t="s">
        <v>65</v>
      </c>
    </row>
    <row r="2">
      <c r="A2" s="10" t="s">
        <v>74</v>
      </c>
      <c r="B2" s="23" t="s">
        <v>77</v>
      </c>
      <c r="C2" s="10" t="s">
        <v>78</v>
      </c>
      <c r="D2" s="60">
        <v>15000.0</v>
      </c>
    </row>
    <row r="3">
      <c r="A3" s="16" t="s">
        <v>74</v>
      </c>
      <c r="B3" s="49" t="s">
        <v>79</v>
      </c>
      <c r="C3" s="23" t="s">
        <v>80</v>
      </c>
      <c r="D3" s="60">
        <v>2399.0</v>
      </c>
    </row>
    <row r="4">
      <c r="A4" s="16" t="s">
        <v>74</v>
      </c>
      <c r="B4" s="49" t="s">
        <v>81</v>
      </c>
      <c r="C4" s="10" t="s">
        <v>78</v>
      </c>
      <c r="D4" s="60">
        <v>5000.0</v>
      </c>
    </row>
    <row r="5">
      <c r="A5" s="8" t="s">
        <v>57</v>
      </c>
      <c r="B5" s="10"/>
      <c r="C5" s="10"/>
      <c r="D5" s="61">
        <f>SUM(D2,D4)</f>
        <v>20000</v>
      </c>
    </row>
  </sheetData>
  <drawing r:id="rId1"/>
</worksheet>
</file>