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Hudle" sheetId="3" r:id="rId7"/>
    <sheet state="visible" name="Playo" sheetId="4" r:id="rId8"/>
    <sheet state="visible" name="District" sheetId="5" r:id="rId9"/>
    <sheet state="visible" name="Khelomore" sheetId="6" r:id="rId10"/>
    <sheet state="visible" name="Corporate Events" sheetId="7" r:id="rId11"/>
    <sheet state="visible" name="Memberships" sheetId="8" r:id="rId12"/>
  </sheets>
  <definedNames/>
  <calcPr/>
</workbook>
</file>

<file path=xl/sharedStrings.xml><?xml version="1.0" encoding="utf-8"?>
<sst xmlns="http://schemas.openxmlformats.org/spreadsheetml/2006/main" count="199" uniqueCount="112">
  <si>
    <t>1 - 30 April</t>
  </si>
  <si>
    <t>Date</t>
  </si>
  <si>
    <t>Particulars</t>
  </si>
  <si>
    <t>Amount</t>
  </si>
  <si>
    <t>Link</t>
  </si>
  <si>
    <t>Total</t>
  </si>
  <si>
    <t>Pickleball</t>
  </si>
  <si>
    <t>Turf</t>
  </si>
  <si>
    <t>Pay &amp; Play</t>
  </si>
  <si>
    <t>Paid to Hudle</t>
  </si>
  <si>
    <t>Commisions (Including GST)</t>
  </si>
  <si>
    <t>Net Revenue</t>
  </si>
  <si>
    <t>TDS</t>
  </si>
  <si>
    <t>TCS</t>
  </si>
  <si>
    <t>1-7 Apr</t>
  </si>
  <si>
    <t>7-12 Apr</t>
  </si>
  <si>
    <t>Day</t>
  </si>
  <si>
    <t>13-19 Apr</t>
  </si>
  <si>
    <t>Offline booking hours</t>
  </si>
  <si>
    <t>Discount Given</t>
  </si>
  <si>
    <t>Booking Revenue</t>
  </si>
  <si>
    <t>19 - 28 Apr</t>
  </si>
  <si>
    <t>Booking Revenue (Turf)</t>
  </si>
  <si>
    <t>28 - 30 Apr</t>
  </si>
  <si>
    <t xml:space="preserve">Paddle Rental </t>
  </si>
  <si>
    <t>Total Revenue</t>
  </si>
  <si>
    <t>Payment Gateway</t>
  </si>
  <si>
    <t>1 Apr</t>
  </si>
  <si>
    <t>Wednesday</t>
  </si>
  <si>
    <t>15 and 30%</t>
  </si>
  <si>
    <t>Paid to Playo (₹)</t>
  </si>
  <si>
    <t>Commissions (₹)</t>
  </si>
  <si>
    <t>GST (₹)</t>
  </si>
  <si>
    <t>TDS (₹)</t>
  </si>
  <si>
    <t>TCS (₹)</t>
  </si>
  <si>
    <t>Final Amount (₹)</t>
  </si>
  <si>
    <t>1 - 26 Apr</t>
  </si>
  <si>
    <t xml:space="preserve">Online </t>
  </si>
  <si>
    <t>2 Apr</t>
  </si>
  <si>
    <t>Thursday</t>
  </si>
  <si>
    <t>3 Apr</t>
  </si>
  <si>
    <t>Friday</t>
  </si>
  <si>
    <t>District</t>
  </si>
  <si>
    <t>4 Apr</t>
  </si>
  <si>
    <t>Saturday</t>
  </si>
  <si>
    <t>27 - 30 Apr</t>
  </si>
  <si>
    <t>5 Apr</t>
  </si>
  <si>
    <t>Sunday</t>
  </si>
  <si>
    <t>6 Apr</t>
  </si>
  <si>
    <t>Monday</t>
  </si>
  <si>
    <t>7 Apr</t>
  </si>
  <si>
    <t>Tuesday</t>
  </si>
  <si>
    <t>Hudle</t>
  </si>
  <si>
    <t>8 Apr</t>
  </si>
  <si>
    <t>9 Apr</t>
  </si>
  <si>
    <t>10 Apr</t>
  </si>
  <si>
    <t>11 Apr</t>
  </si>
  <si>
    <t>Playo</t>
  </si>
  <si>
    <t>12 Apr</t>
  </si>
  <si>
    <t>13 Apr</t>
  </si>
  <si>
    <t>14 Apr</t>
  </si>
  <si>
    <t>Khelomore</t>
  </si>
  <si>
    <t>15 Apr</t>
  </si>
  <si>
    <t>16 Apr</t>
  </si>
  <si>
    <t>17 Apr</t>
  </si>
  <si>
    <t>Zplys</t>
  </si>
  <si>
    <t>18 Apr</t>
  </si>
  <si>
    <t>Offline</t>
  </si>
  <si>
    <t>19 Apr</t>
  </si>
  <si>
    <t>20 Apr</t>
  </si>
  <si>
    <t>21 Apr</t>
  </si>
  <si>
    <t>Bookings</t>
  </si>
  <si>
    <t>Memberships</t>
  </si>
  <si>
    <t>Community</t>
  </si>
  <si>
    <t>Pickup games</t>
  </si>
  <si>
    <t>Social Events/Tournaments</t>
  </si>
  <si>
    <t>Academy</t>
  </si>
  <si>
    <t>Events &amp; Partnership</t>
  </si>
  <si>
    <t>Corporate events</t>
  </si>
  <si>
    <t>All B2B partnerships</t>
  </si>
  <si>
    <t>Commerce</t>
  </si>
  <si>
    <t>Product rental</t>
  </si>
  <si>
    <t>Product sales</t>
  </si>
  <si>
    <t>F&amp;B</t>
  </si>
  <si>
    <t>Other Income</t>
  </si>
  <si>
    <t>Total Gross Revenue</t>
  </si>
  <si>
    <t>22 Apr</t>
  </si>
  <si>
    <t>Total Net Revenue (Post Commissions)</t>
  </si>
  <si>
    <t>23 Apr</t>
  </si>
  <si>
    <t>24 Apr</t>
  </si>
  <si>
    <t>25 Apr</t>
  </si>
  <si>
    <t>26 Apr</t>
  </si>
  <si>
    <t>27 Apr</t>
  </si>
  <si>
    <t>28 Apr</t>
  </si>
  <si>
    <t>29 Apr</t>
  </si>
  <si>
    <t>30 Apr</t>
  </si>
  <si>
    <t>Paid to District</t>
  </si>
  <si>
    <t>Total Revenue post GST</t>
  </si>
  <si>
    <t>GST on Commission</t>
  </si>
  <si>
    <t>1 - 30 Apr</t>
  </si>
  <si>
    <t>Paid to Khelomore (₹)</t>
  </si>
  <si>
    <t>1 - 30th Apr</t>
  </si>
  <si>
    <t>Name</t>
  </si>
  <si>
    <t>Sport</t>
  </si>
  <si>
    <t>Amt</t>
  </si>
  <si>
    <t>POC</t>
  </si>
  <si>
    <t>Bio Gas</t>
  </si>
  <si>
    <t>Box turf</t>
  </si>
  <si>
    <t>Rishi</t>
  </si>
  <si>
    <t>ISH</t>
  </si>
  <si>
    <t>Apr</t>
  </si>
  <si>
    <t>Turf and Pickleball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</si>
</sst>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&gt;9999999][$₹]##\,##\,##\,##0;[&gt;99999][$₹]##\,##\,##0;[$₹]##,##0"/>
    <numFmt numFmtId="165" formatCode="[$₹]#,##0"/>
    <numFmt numFmtId="166" formatCode="[$₹]#,##0.0"/>
    <numFmt numFmtId="167" formatCode="[$₹]#,##0.00"/>
    <numFmt numFmtId="168" formatCode="d mmm"/>
  </numFmts>
  <fonts count="13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color theme="1"/>
      <name val="Arial"/>
      <scheme val="minor"/>
    </font>
    <font>
      <color theme="1"/>
      <name val="Arial"/>
    </font>
    <font>
      <b/>
      <u/>
      <color rgb="FF0000FF"/>
      <name val="Arial"/>
    </font>
    <font>
      <b/>
      <u/>
      <color rgb="FF0000FF"/>
      <name val="Arial"/>
    </font>
    <font>
      <b/>
      <u/>
      <color rgb="FF0000FF"/>
      <name val="Arial"/>
    </font>
    <font>
      <b/>
      <sz val="11.0"/>
      <color theme="1"/>
      <name val="Calibri"/>
    </font>
    <font>
      <b/>
      <u/>
      <color rgb="FF0000FF"/>
      <name val="Arial"/>
    </font>
    <font>
      <sz val="10.0"/>
      <color theme="1"/>
      <name val="Arial"/>
    </font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bottom"/>
    </xf>
    <xf borderId="2" fillId="0" fontId="3" numFmtId="0" xfId="0" applyBorder="1" applyFont="1"/>
    <xf borderId="3" fillId="2" fontId="4" numFmtId="0" xfId="0" applyBorder="1" applyFill="1" applyFont="1"/>
    <xf borderId="3" fillId="0" fontId="2" numFmtId="0" xfId="0" applyAlignment="1" applyBorder="1" applyFont="1">
      <alignment horizontal="center" vertical="bottom"/>
    </xf>
    <xf borderId="3" fillId="0" fontId="4" numFmtId="0" xfId="0" applyBorder="1" applyFont="1"/>
    <xf borderId="3" fillId="0" fontId="5" numFmtId="0" xfId="0" applyAlignment="1" applyBorder="1" applyFont="1">
      <alignment vertical="bottom"/>
    </xf>
    <xf borderId="3" fillId="2" fontId="2" numFmtId="0" xfId="0" applyAlignment="1" applyBorder="1" applyFill="1" applyFont="1">
      <alignment horizontal="center" vertical="bottom"/>
    </xf>
    <xf borderId="3" fillId="2" fontId="2" numFmtId="164" xfId="0" applyAlignment="1" applyBorder="1" applyFill="1" applyFont="1" applyNumberFormat="1">
      <alignment horizontal="center" readingOrder="0" vertical="bottom"/>
    </xf>
    <xf borderId="3" fillId="2" fontId="1" numFmtId="0" xfId="0" applyAlignment="1" applyBorder="1" applyFill="1" applyFont="1">
      <alignment horizontal="center" readingOrder="0"/>
    </xf>
    <xf borderId="3" fillId="2" fontId="2" numFmtId="0" xfId="0" applyAlignment="1" applyBorder="1" applyFill="1" applyFont="1">
      <alignment horizontal="center" readingOrder="0" vertical="bottom"/>
    </xf>
    <xf borderId="3" fillId="0" fontId="2" numFmtId="0" xfId="0" applyAlignment="1" applyBorder="1" applyFont="1">
      <alignment vertical="bottom"/>
    </xf>
    <xf borderId="3" fillId="2" fontId="6" numFmtId="164" xfId="0" applyAlignment="1" applyBorder="1" applyFill="1" applyFont="1" applyNumberFormat="1">
      <alignment horizontal="center" readingOrder="0" vertical="bottom"/>
    </xf>
    <xf borderId="3" fillId="2" fontId="2" numFmtId="164" xfId="0" applyAlignment="1" applyBorder="1" applyFill="1" applyFont="1" applyNumberFormat="1">
      <alignment horizontal="center" vertical="bottom"/>
    </xf>
    <xf borderId="0" fillId="2" fontId="7" numFmtId="165" xfId="0" applyAlignment="1" applyFill="1" applyFont="1" applyNumberFormat="1">
      <alignment horizontal="center" readingOrder="0" vertical="bottom"/>
    </xf>
    <xf borderId="3" fillId="0" fontId="5" numFmtId="164" xfId="0" applyAlignment="1" applyBorder="1" applyFont="1" applyNumberFormat="1">
      <alignment vertical="bottom"/>
    </xf>
    <xf borderId="3" fillId="0" fontId="5" numFmtId="164" xfId="0" applyAlignment="1" applyBorder="1" applyFont="1" applyNumberFormat="1">
      <alignment readingOrder="0" vertical="bottom"/>
    </xf>
    <xf borderId="3" fillId="0" fontId="5" numFmtId="164" xfId="0" applyAlignment="1" applyBorder="1" applyFont="1" applyNumberFormat="1">
      <alignment horizontal="right" readingOrder="0" vertical="bottom"/>
    </xf>
    <xf borderId="3" fillId="2" fontId="2" numFmtId="165" xfId="0" applyAlignment="1" applyBorder="1" applyFill="1" applyFont="1" applyNumberFormat="1">
      <alignment horizontal="center" vertical="bottom"/>
    </xf>
    <xf borderId="3" fillId="0" fontId="5" numFmtId="164" xfId="0" applyAlignment="1" applyBorder="1" applyFont="1" applyNumberFormat="1">
      <alignment horizontal="right" vertical="bottom"/>
    </xf>
    <xf borderId="0" fillId="0" fontId="5" numFmtId="164" xfId="0" applyAlignment="1" applyFont="1" applyNumberFormat="1">
      <alignment vertical="bottom"/>
    </xf>
    <xf borderId="0" fillId="3" fontId="5" numFmtId="164" xfId="0" applyAlignment="1" applyFill="1" applyFont="1" applyNumberFormat="1">
      <alignment vertical="bottom"/>
    </xf>
    <xf borderId="3" fillId="3" fontId="5" numFmtId="164" xfId="0" applyAlignment="1" applyBorder="1" applyFill="1" applyFont="1" applyNumberFormat="1">
      <alignment readingOrder="0" vertical="bottom"/>
    </xf>
    <xf borderId="3" fillId="3" fontId="5" numFmtId="164" xfId="0" applyAlignment="1" applyBorder="1" applyFill="1" applyFont="1" applyNumberFormat="1">
      <alignment horizontal="right" readingOrder="0" vertical="bottom"/>
    </xf>
    <xf borderId="3" fillId="2" fontId="2" numFmtId="4" xfId="0" applyAlignment="1" applyBorder="1" applyFill="1" applyFont="1" applyNumberFormat="1">
      <alignment horizontal="center" vertical="bottom"/>
    </xf>
    <xf borderId="0" fillId="3" fontId="4" numFmtId="0" xfId="0" applyFill="1" applyFont="1"/>
    <xf borderId="3" fillId="2" fontId="2" numFmtId="165" xfId="0" applyAlignment="1" applyBorder="1" applyFill="1" applyFont="1" applyNumberFormat="1">
      <alignment horizontal="right" readingOrder="0" vertical="bottom"/>
    </xf>
    <xf borderId="3" fillId="2" fontId="2" numFmtId="165" xfId="0" applyAlignment="1" applyBorder="1" applyFill="1" applyFont="1" applyNumberFormat="1">
      <alignment horizontal="center" readingOrder="0" vertical="bottom"/>
    </xf>
    <xf borderId="3" fillId="2" fontId="2" numFmtId="164" xfId="0" applyAlignment="1" applyBorder="1" applyFill="1" applyFont="1" applyNumberFormat="1">
      <alignment vertical="bottom"/>
    </xf>
    <xf borderId="3" fillId="2" fontId="1" numFmtId="0" xfId="0" applyAlignment="1" applyBorder="1" applyFill="1" applyFont="1">
      <alignment readingOrder="0"/>
    </xf>
    <xf borderId="3" fillId="2" fontId="2" numFmtId="164" xfId="0" applyAlignment="1" applyBorder="1" applyFill="1" applyFont="1" applyNumberFormat="1">
      <alignment horizontal="right" vertical="bottom"/>
    </xf>
    <xf borderId="3" fillId="2" fontId="5" numFmtId="164" xfId="0" applyAlignment="1" applyBorder="1" applyFill="1" applyFont="1" applyNumberFormat="1">
      <alignment vertical="bottom"/>
    </xf>
    <xf borderId="3" fillId="3" fontId="5" numFmtId="165" xfId="0" applyAlignment="1" applyBorder="1" applyFill="1" applyFont="1" applyNumberFormat="1">
      <alignment horizontal="right" vertical="bottom"/>
    </xf>
    <xf borderId="3" fillId="3" fontId="5" numFmtId="165" xfId="0" applyAlignment="1" applyBorder="1" applyFill="1" applyFont="1" applyNumberFormat="1">
      <alignment vertical="bottom"/>
    </xf>
    <xf borderId="3" fillId="0" fontId="5" numFmtId="4" xfId="0" applyAlignment="1" applyBorder="1" applyFont="1" applyNumberFormat="1">
      <alignment horizontal="right" readingOrder="0" vertical="bottom"/>
    </xf>
    <xf borderId="3" fillId="0" fontId="5" numFmtId="165" xfId="0" applyAlignment="1" applyBorder="1" applyFont="1" applyNumberFormat="1">
      <alignment horizontal="right" readingOrder="0" vertical="bottom"/>
    </xf>
    <xf borderId="3" fillId="0" fontId="1" numFmtId="166" xfId="0" applyAlignment="1" applyBorder="1" applyFont="1" applyNumberFormat="1">
      <alignment readingOrder="0"/>
    </xf>
    <xf borderId="0" fillId="0" fontId="4" numFmtId="166" xfId="0" applyFont="1" applyNumberFormat="1"/>
    <xf borderId="3" fillId="0" fontId="5" numFmtId="165" xfId="0" applyAlignment="1" applyBorder="1" applyFont="1" applyNumberFormat="1">
      <alignment horizontal="right" vertical="bottom"/>
    </xf>
    <xf borderId="3" fillId="0" fontId="2" numFmtId="164" xfId="0" applyAlignment="1" applyBorder="1" applyFont="1" applyNumberFormat="1">
      <alignment horizontal="right" vertical="bottom"/>
    </xf>
    <xf borderId="3" fillId="0" fontId="5" numFmtId="165" xfId="0" applyAlignment="1" applyBorder="1" applyFont="1" applyNumberFormat="1">
      <alignment readingOrder="0" vertical="bottom"/>
    </xf>
    <xf borderId="3" fillId="0" fontId="4" numFmtId="165" xfId="0" applyBorder="1" applyFont="1" applyNumberFormat="1"/>
    <xf borderId="3" fillId="3" fontId="5" numFmtId="165" xfId="0" applyAlignment="1" applyBorder="1" applyFill="1" applyFont="1" applyNumberFormat="1">
      <alignment readingOrder="0" vertical="bottom"/>
    </xf>
    <xf borderId="3" fillId="3" fontId="5" numFmtId="4" xfId="0" applyAlignment="1" applyBorder="1" applyFill="1" applyFont="1" applyNumberFormat="1">
      <alignment horizontal="right" readingOrder="0" vertical="bottom"/>
    </xf>
    <xf borderId="3" fillId="2" fontId="2" numFmtId="165" xfId="0" applyAlignment="1" applyBorder="1" applyFill="1" applyFont="1" applyNumberFormat="1">
      <alignment horizontal="right" vertical="bottom"/>
    </xf>
    <xf borderId="3" fillId="0" fontId="4" numFmtId="166" xfId="0" applyBorder="1" applyFont="1" applyNumberFormat="1"/>
    <xf borderId="3" fillId="0" fontId="5" numFmtId="167" xfId="0" applyAlignment="1" applyBorder="1" applyFont="1" applyNumberFormat="1">
      <alignment vertical="bottom"/>
    </xf>
    <xf borderId="3" fillId="2" fontId="5" numFmtId="165" xfId="0" applyAlignment="1" applyBorder="1" applyFill="1" applyFont="1" applyNumberFormat="1">
      <alignment vertical="bottom"/>
    </xf>
    <xf borderId="3" fillId="0" fontId="5" numFmtId="166" xfId="0" applyAlignment="1" applyBorder="1" applyFont="1" applyNumberFormat="1">
      <alignment vertical="bottom"/>
    </xf>
    <xf borderId="3" fillId="0" fontId="5" numFmtId="0" xfId="0" applyAlignment="1" applyBorder="1" applyFont="1">
      <alignment vertical="bottom"/>
    </xf>
    <xf borderId="3" fillId="0" fontId="5" numFmtId="4" xfId="0" applyAlignment="1" applyBorder="1" applyFont="1" applyNumberFormat="1">
      <alignment readingOrder="0" vertical="bottom"/>
    </xf>
    <xf borderId="3" fillId="0" fontId="4" numFmtId="167" xfId="0" applyBorder="1" applyFont="1" applyNumberFormat="1"/>
    <xf borderId="3" fillId="0" fontId="5" numFmtId="0" xfId="0" applyAlignment="1" applyBorder="1" applyFont="1">
      <alignment readingOrder="0" vertical="bottom"/>
    </xf>
    <xf borderId="3" fillId="0" fontId="4" numFmtId="0" xfId="0" applyAlignment="1" applyBorder="1" applyFont="1">
      <alignment readingOrder="0"/>
    </xf>
    <xf borderId="3" fillId="0" fontId="2" numFmtId="0" xfId="0" applyAlignment="1" applyBorder="1" applyFont="1">
      <alignment vertical="bottom"/>
    </xf>
    <xf borderId="3" fillId="0" fontId="4" numFmtId="4" xfId="0" applyBorder="1" applyFont="1" applyNumberFormat="1"/>
    <xf borderId="3" fillId="0" fontId="2" numFmtId="164" xfId="0" applyAlignment="1" applyBorder="1" applyFont="1" applyNumberFormat="1">
      <alignment horizontal="right" readingOrder="0" vertical="bottom"/>
    </xf>
    <xf borderId="3" fillId="2" fontId="2" numFmtId="0" xfId="0" applyAlignment="1" applyBorder="1" applyFill="1" applyFont="1">
      <alignment vertical="bottom"/>
    </xf>
    <xf borderId="3" fillId="0" fontId="5" numFmtId="0" xfId="0" applyAlignment="1" applyBorder="1" applyFont="1">
      <alignment shrinkToFit="0" vertical="bottom" wrapText="1"/>
    </xf>
    <xf borderId="3" fillId="2" fontId="8" numFmtId="165" xfId="0" applyAlignment="1" applyBorder="1" applyFill="1" applyFont="1" applyNumberFormat="1">
      <alignment horizontal="center" readingOrder="0" vertical="bottom"/>
    </xf>
    <xf borderId="3" fillId="0" fontId="2" numFmtId="167" xfId="0" applyAlignment="1" applyBorder="1" applyFont="1" applyNumberFormat="1">
      <alignment vertical="bottom"/>
    </xf>
    <xf borderId="3" fillId="2" fontId="2" numFmtId="165" xfId="0" applyAlignment="1" applyBorder="1" applyFill="1" applyFont="1" applyNumberFormat="1">
      <alignment vertical="bottom"/>
    </xf>
    <xf borderId="0" fillId="2" fontId="9" numFmtId="165" xfId="0" applyAlignment="1" applyFill="1" applyFont="1" applyNumberFormat="1">
      <alignment vertical="bottom"/>
    </xf>
    <xf borderId="0" fillId="2" fontId="2" numFmtId="165" xfId="0" applyAlignment="1" applyFill="1" applyFont="1" applyNumberFormat="1">
      <alignment horizontal="center" vertical="bottom"/>
    </xf>
    <xf borderId="3" fillId="2" fontId="2" numFmtId="4" xfId="0" applyAlignment="1" applyBorder="1" applyFill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165" xfId="0" applyAlignment="1" applyFont="1" applyNumberFormat="1">
      <alignment vertical="bottom"/>
    </xf>
    <xf borderId="3" fillId="0" fontId="5" numFmtId="165" xfId="0" applyAlignment="1" applyBorder="1" applyFont="1" applyNumberFormat="1">
      <alignment vertical="bottom"/>
    </xf>
    <xf borderId="3" fillId="0" fontId="2" numFmtId="167" xfId="0" applyAlignment="1" applyBorder="1" applyFont="1" applyNumberFormat="1">
      <alignment readingOrder="0" vertical="bottom"/>
    </xf>
    <xf borderId="0" fillId="0" fontId="5" numFmtId="0" xfId="0" applyAlignment="1" applyFont="1">
      <alignment readingOrder="0" vertical="bottom"/>
    </xf>
    <xf borderId="0" fillId="2" fontId="10" numFmtId="167" xfId="0" applyAlignment="1" applyFill="1" applyFont="1" applyNumberFormat="1">
      <alignment horizontal="center" readingOrder="0" vertical="bottom"/>
    </xf>
    <xf borderId="3" fillId="2" fontId="2" numFmtId="167" xfId="0" applyAlignment="1" applyBorder="1" applyFill="1" applyFont="1" applyNumberFormat="1">
      <alignment horizontal="center" vertical="bottom"/>
    </xf>
    <xf borderId="0" fillId="0" fontId="5" numFmtId="167" xfId="0" applyAlignment="1" applyFont="1" applyNumberFormat="1">
      <alignment vertical="bottom"/>
    </xf>
    <xf borderId="3" fillId="0" fontId="5" numFmtId="167" xfId="0" applyAlignment="1" applyBorder="1" applyFont="1" applyNumberFormat="1">
      <alignment readingOrder="0" vertical="bottom"/>
    </xf>
    <xf borderId="3" fillId="0" fontId="5" numFmtId="167" xfId="0" applyAlignment="1" applyBorder="1" applyFont="1" applyNumberFormat="1">
      <alignment horizontal="right" readingOrder="0" vertical="bottom"/>
    </xf>
    <xf borderId="3" fillId="3" fontId="5" numFmtId="167" xfId="0" applyAlignment="1" applyBorder="1" applyFill="1" applyFont="1" applyNumberFormat="1">
      <alignment horizontal="right" vertical="bottom"/>
    </xf>
    <xf borderId="0" fillId="0" fontId="5" numFmtId="0" xfId="0" applyAlignment="1" applyFont="1">
      <alignment vertical="bottom"/>
    </xf>
    <xf borderId="3" fillId="2" fontId="2" numFmtId="168" xfId="0" applyAlignment="1" applyBorder="1" applyFill="1" applyFont="1" applyNumberFormat="1">
      <alignment vertical="bottom"/>
    </xf>
    <xf borderId="3" fillId="0" fontId="4" numFmtId="168" xfId="0" applyAlignment="1" applyBorder="1" applyFont="1" applyNumberFormat="1">
      <alignment readingOrder="0"/>
    </xf>
    <xf borderId="3" fillId="0" fontId="4" numFmtId="167" xfId="0" applyAlignment="1" applyBorder="1" applyFont="1" applyNumberFormat="1">
      <alignment readingOrder="0"/>
    </xf>
    <xf borderId="3" fillId="2" fontId="9" numFmtId="167" xfId="0" applyAlignment="1" applyBorder="1" applyFill="1" applyFont="1" applyNumberFormat="1">
      <alignment horizontal="right" vertical="bottom"/>
    </xf>
    <xf borderId="3" fillId="2" fontId="5" numFmtId="167" xfId="0" applyAlignment="1" applyBorder="1" applyFill="1" applyFont="1" applyNumberFormat="1">
      <alignment vertical="bottom"/>
    </xf>
    <xf borderId="0" fillId="0" fontId="9" numFmtId="1" xfId="0" applyAlignment="1" applyFont="1" applyNumberFormat="1">
      <alignment horizontal="right" vertical="bottom"/>
    </xf>
    <xf borderId="0" fillId="0" fontId="11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0" fillId="0" fontId="11" numFmtId="0" xfId="0" applyAlignment="1" applyFont="1">
      <alignment horizontal="right" readingOrder="0" vertical="bottom"/>
    </xf>
    <xf borderId="0" fillId="0" fontId="12" numFmtId="0" xfId="0" applyAlignment="1" applyFont="1">
      <alignment horizontal="right" vertical="bottom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KQiFaYdHDkmrS1nRAILuBepcJo9EBdQStRMedXHl8I4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0iw6RRS4yWI2uDwiAdlbHVmwgH4t5S2NkfVKVuXJQyg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r-4ZSIobvuvPwLu5wkXqt5RUBwyQVvzKxneJWqQyF-Q/edit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GCl9Vut7U6OzwjvZSLZbiBsHT0LdaRDFBnDerIafUH4/edit?usp=sharing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32.0"/>
  </cols>
  <sheetData>
    <row r="1">
      <c r="A1" s="1"/>
    </row>
    <row r="2">
      <c r="B2" s="2" t="s">
        <v>0</v>
      </c>
      <c r="C2" s="3"/>
      <c r="D2" s="4"/>
      <c r="E2" s="4"/>
    </row>
    <row r="3">
      <c r="B3" s="5" t="s">
        <v>2</v>
      </c>
      <c r="C3" s="5" t="s">
        <v>3</v>
      </c>
      <c r="D3" s="6"/>
      <c r="E3" s="7"/>
    </row>
    <row r="4">
      <c r="B4" s="8"/>
      <c r="C4" s="9" t="s">
        <v>5</v>
      </c>
      <c r="D4" s="10" t="s">
        <v>6</v>
      </c>
      <c r="E4" s="11" t="s">
        <v>7</v>
      </c>
    </row>
    <row r="5">
      <c r="B5" s="12" t="s">
        <v>8</v>
      </c>
      <c r="C5" s="40">
        <f t="shared" ref="C5:E5" si="1">sum(C6,C12)</f>
        <v>173128</v>
      </c>
      <c r="D5" s="40">
        <f t="shared" si="1"/>
        <v>90470</v>
      </c>
      <c r="E5" s="40">
        <f t="shared" si="1"/>
        <v>82658</v>
      </c>
    </row>
    <row r="6">
      <c r="B6" s="12" t="s">
        <v>37</v>
      </c>
      <c r="C6" s="40">
        <f t="shared" ref="C6:E6" si="2">sum(C7:C11)</f>
        <v>48628</v>
      </c>
      <c r="D6" s="40">
        <f t="shared" si="2"/>
        <v>30150</v>
      </c>
      <c r="E6" s="40">
        <f t="shared" si="2"/>
        <v>18478</v>
      </c>
    </row>
    <row r="7" outlineLevel="1">
      <c r="B7" s="7" t="s">
        <v>42</v>
      </c>
      <c r="C7" s="16">
        <f>District!C4</f>
        <v>19000</v>
      </c>
      <c r="D7" s="46">
        <f>District!B6</f>
        <v>13700</v>
      </c>
      <c r="E7" s="47">
        <f>District!B7</f>
        <v>5300</v>
      </c>
    </row>
    <row r="8" outlineLevel="1">
      <c r="B8" s="7" t="s">
        <v>52</v>
      </c>
      <c r="C8" s="16">
        <f>Hudle!C7</f>
        <v>25628</v>
      </c>
      <c r="D8" s="46">
        <f>Hudle!B9</f>
        <v>14850</v>
      </c>
      <c r="E8" s="49">
        <f>Hudle!B10</f>
        <v>10778</v>
      </c>
    </row>
    <row r="9" outlineLevel="1">
      <c r="B9" s="7" t="s">
        <v>57</v>
      </c>
      <c r="C9" s="16">
        <f>Playo!C4</f>
        <v>3200</v>
      </c>
      <c r="D9" s="46">
        <f>Playo!B6</f>
        <v>800</v>
      </c>
      <c r="E9" s="49">
        <f>Playo!B7</f>
        <v>2400</v>
      </c>
    </row>
    <row r="10" outlineLevel="1">
      <c r="B10" s="50" t="s">
        <v>61</v>
      </c>
      <c r="C10" s="16">
        <f>Khelomore!C3</f>
        <v>800</v>
      </c>
      <c r="D10" s="52">
        <f>Khelomore!C2</f>
        <v>800</v>
      </c>
      <c r="E10" s="53">
        <v>0.0</v>
      </c>
    </row>
    <row r="11" outlineLevel="1">
      <c r="B11" s="7" t="s">
        <v>65</v>
      </c>
      <c r="C11" s="17">
        <v>0.0</v>
      </c>
      <c r="D11" s="54">
        <v>0.0</v>
      </c>
      <c r="E11" s="53">
        <v>0.0</v>
      </c>
    </row>
    <row r="12">
      <c r="B12" s="55" t="s">
        <v>67</v>
      </c>
      <c r="C12" s="40">
        <f t="shared" ref="C12:E12" si="3">sum(C13:C14)</f>
        <v>124500</v>
      </c>
      <c r="D12" s="40">
        <f t="shared" si="3"/>
        <v>60320</v>
      </c>
      <c r="E12" s="40">
        <f t="shared" si="3"/>
        <v>64180</v>
      </c>
    </row>
    <row r="13" outlineLevel="1">
      <c r="B13" s="7" t="s">
        <v>71</v>
      </c>
      <c r="C13" s="16">
        <f>'Offline &amp; RG Community'!E32+'Offline &amp; RG Community'!F32</f>
        <v>105700</v>
      </c>
      <c r="D13" s="56">
        <f>'Offline &amp; RG Community'!E32</f>
        <v>50920</v>
      </c>
      <c r="E13" s="56">
        <f>'Offline &amp; RG Community'!F32</f>
        <v>54780</v>
      </c>
    </row>
    <row r="14" outlineLevel="1">
      <c r="B14" s="47" t="s">
        <v>72</v>
      </c>
      <c r="C14" s="17">
        <f>Memberships!D2</f>
        <v>18800</v>
      </c>
      <c r="D14" s="52">
        <f>Memberships!D2/2</f>
        <v>9400</v>
      </c>
      <c r="E14" s="52">
        <f>Memberships!D2/2</f>
        <v>9400</v>
      </c>
    </row>
    <row r="15">
      <c r="B15" s="55" t="s">
        <v>73</v>
      </c>
      <c r="C15" s="40">
        <f t="shared" ref="C15:E15" si="4">sum(C16:C17)</f>
        <v>0</v>
      </c>
      <c r="D15" s="40">
        <f t="shared" si="4"/>
        <v>0</v>
      </c>
      <c r="E15" s="40">
        <f t="shared" si="4"/>
        <v>0</v>
      </c>
    </row>
    <row r="16" outlineLevel="1">
      <c r="B16" s="50" t="s">
        <v>74</v>
      </c>
      <c r="C16" s="17">
        <v>0.0</v>
      </c>
      <c r="D16" s="54">
        <v>0.0</v>
      </c>
      <c r="E16" s="53">
        <v>0.0</v>
      </c>
    </row>
    <row r="17" outlineLevel="1">
      <c r="B17" s="50" t="s">
        <v>75</v>
      </c>
      <c r="C17" s="17">
        <v>0.0</v>
      </c>
      <c r="D17" s="54">
        <v>0.0</v>
      </c>
      <c r="E17" s="54">
        <v>0.0</v>
      </c>
    </row>
    <row r="18">
      <c r="B18" s="55" t="s">
        <v>76</v>
      </c>
      <c r="C18" s="57">
        <v>0.0</v>
      </c>
      <c r="D18" s="57">
        <v>0.0</v>
      </c>
      <c r="E18" s="57">
        <v>0.0</v>
      </c>
    </row>
    <row r="19">
      <c r="B19" s="12" t="s">
        <v>77</v>
      </c>
      <c r="C19" s="40">
        <f t="shared" ref="C19:E19" si="5">sum(C20,C21)</f>
        <v>2560</v>
      </c>
      <c r="D19" s="40">
        <f t="shared" si="5"/>
        <v>0</v>
      </c>
      <c r="E19" s="40">
        <f t="shared" si="5"/>
        <v>2560</v>
      </c>
    </row>
    <row r="20" outlineLevel="1">
      <c r="B20" s="7" t="s">
        <v>78</v>
      </c>
      <c r="C20" s="20">
        <f>'Corporate Events'!D2</f>
        <v>2560</v>
      </c>
      <c r="D20" s="54">
        <v>0.0</v>
      </c>
      <c r="E20" s="52">
        <f>'Corporate Events'!D2</f>
        <v>2560</v>
      </c>
    </row>
    <row r="21" outlineLevel="1">
      <c r="B21" s="50" t="s">
        <v>79</v>
      </c>
      <c r="C21" s="18">
        <v>0.0</v>
      </c>
      <c r="D21" s="54">
        <v>0.0</v>
      </c>
      <c r="E21" s="54">
        <v>0.0</v>
      </c>
    </row>
    <row r="22">
      <c r="B22" s="12" t="s">
        <v>80</v>
      </c>
      <c r="C22" s="40">
        <f t="shared" ref="C22:E22" si="6">sum(C23:C25)</f>
        <v>8225</v>
      </c>
      <c r="D22" s="40">
        <f t="shared" si="6"/>
        <v>8225</v>
      </c>
      <c r="E22" s="40">
        <f t="shared" si="6"/>
        <v>0</v>
      </c>
    </row>
    <row r="23" outlineLevel="1">
      <c r="B23" s="7" t="s">
        <v>81</v>
      </c>
      <c r="C23" s="20">
        <f>'Offline &amp; RG Community'!G32</f>
        <v>8225</v>
      </c>
      <c r="D23" s="56">
        <f>'Offline &amp; RG Community'!G32</f>
        <v>8225</v>
      </c>
      <c r="E23" s="54">
        <v>0.0</v>
      </c>
    </row>
    <row r="24" outlineLevel="1">
      <c r="B24" s="7" t="s">
        <v>82</v>
      </c>
      <c r="C24" s="17">
        <v>0.0</v>
      </c>
      <c r="D24" s="54">
        <v>0.0</v>
      </c>
      <c r="E24" s="54">
        <v>0.0</v>
      </c>
    </row>
    <row r="25" outlineLevel="1">
      <c r="B25" s="7" t="s">
        <v>83</v>
      </c>
      <c r="C25" s="18">
        <v>0.0</v>
      </c>
      <c r="D25" s="54">
        <v>0.0</v>
      </c>
      <c r="E25" s="54">
        <v>0.0</v>
      </c>
    </row>
    <row r="26">
      <c r="B26" s="12" t="s">
        <v>84</v>
      </c>
      <c r="C26" s="40">
        <v>0.0</v>
      </c>
      <c r="D26" s="40">
        <v>0.0</v>
      </c>
      <c r="E26" s="40">
        <v>0.0</v>
      </c>
    </row>
    <row r="27">
      <c r="B27" s="58" t="s">
        <v>85</v>
      </c>
      <c r="C27" s="45">
        <f t="shared" ref="C27:E27" si="7">C6+C12+C15+C18+C19+C22+C26</f>
        <v>183913</v>
      </c>
      <c r="D27" s="45">
        <f t="shared" si="7"/>
        <v>98695</v>
      </c>
      <c r="E27" s="45">
        <f t="shared" si="7"/>
        <v>85218</v>
      </c>
    </row>
    <row r="28">
      <c r="B28" s="59" t="s">
        <v>87</v>
      </c>
      <c r="C28" s="61">
        <f>'Offline &amp; RG Community'!J32+Hudle!E7+Playo!F4+District!F4+Khelomore!E3+'Corporate Events'!F2+Memberships!D2</f>
        <v>175761.6925</v>
      </c>
      <c r="D28" s="6"/>
      <c r="E28" s="6"/>
    </row>
    <row r="29">
      <c r="B29" s="12" t="s">
        <v>97</v>
      </c>
      <c r="C29" s="40">
        <f>C28/1.18</f>
        <v>148950.5869</v>
      </c>
      <c r="D29" s="6"/>
      <c r="E29" s="6"/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2" max="2" width="16.13"/>
    <col customWidth="1" min="3" max="3" width="18.25"/>
    <col customWidth="1" min="4" max="4" width="13.25"/>
    <col customWidth="1" min="5" max="5" width="15.13"/>
    <col customWidth="1" min="6" max="6" width="19.75"/>
    <col customWidth="1" min="9" max="9" width="15.25"/>
  </cols>
  <sheetData>
    <row r="1">
      <c r="A1" s="19" t="s">
        <v>1</v>
      </c>
      <c r="B1" s="19" t="s">
        <v>16</v>
      </c>
      <c r="C1" s="25" t="s">
        <v>18</v>
      </c>
      <c r="D1" s="27" t="s">
        <v>19</v>
      </c>
      <c r="E1" s="19" t="s">
        <v>20</v>
      </c>
      <c r="F1" s="28" t="s">
        <v>22</v>
      </c>
      <c r="G1" s="19" t="s">
        <v>24</v>
      </c>
      <c r="H1" s="19" t="s">
        <v>25</v>
      </c>
      <c r="I1" s="30" t="s">
        <v>26</v>
      </c>
      <c r="J1" s="30" t="s">
        <v>11</v>
      </c>
    </row>
    <row r="2">
      <c r="A2" s="33" t="s">
        <v>27</v>
      </c>
      <c r="B2" s="34" t="s">
        <v>28</v>
      </c>
      <c r="C2" s="35">
        <v>4.0</v>
      </c>
      <c r="D2" s="36" t="s">
        <v>29</v>
      </c>
      <c r="E2" s="36">
        <v>1280.0</v>
      </c>
      <c r="F2" s="36">
        <v>2560.0</v>
      </c>
      <c r="G2" s="36">
        <v>200.0</v>
      </c>
      <c r="H2" s="39">
        <f t="shared" ref="H2:H16" si="1">sum(E2:G2)</f>
        <v>4040</v>
      </c>
      <c r="I2" s="42">
        <f t="shared" ref="I2:I31" si="2">H2*2.5%*1.18</f>
        <v>119.18</v>
      </c>
      <c r="J2" s="42">
        <f t="shared" ref="J2:J31" si="3">H2-I2</f>
        <v>3920.82</v>
      </c>
    </row>
    <row r="3">
      <c r="A3" s="33" t="s">
        <v>38</v>
      </c>
      <c r="B3" s="34" t="s">
        <v>39</v>
      </c>
      <c r="C3" s="35">
        <v>4.5</v>
      </c>
      <c r="D3" s="36" t="s">
        <v>29</v>
      </c>
      <c r="E3" s="36">
        <v>1600.0</v>
      </c>
      <c r="F3" s="36">
        <v>2400.0</v>
      </c>
      <c r="G3" s="36">
        <v>350.0</v>
      </c>
      <c r="H3" s="39">
        <f t="shared" si="1"/>
        <v>4350</v>
      </c>
      <c r="I3" s="42">
        <f t="shared" si="2"/>
        <v>128.325</v>
      </c>
      <c r="J3" s="42">
        <f t="shared" si="3"/>
        <v>4221.675</v>
      </c>
    </row>
    <row r="4">
      <c r="A4" s="33" t="s">
        <v>40</v>
      </c>
      <c r="B4" s="34" t="s">
        <v>41</v>
      </c>
      <c r="C4" s="44">
        <v>4.5</v>
      </c>
      <c r="D4" s="36" t="s">
        <v>29</v>
      </c>
      <c r="E4" s="36">
        <v>0.0</v>
      </c>
      <c r="F4" s="36">
        <v>5400.0</v>
      </c>
      <c r="G4" s="36">
        <v>100.0</v>
      </c>
      <c r="H4" s="39">
        <f t="shared" si="1"/>
        <v>5500</v>
      </c>
      <c r="I4" s="42">
        <f t="shared" si="2"/>
        <v>162.25</v>
      </c>
      <c r="J4" s="42">
        <f t="shared" si="3"/>
        <v>5337.75</v>
      </c>
    </row>
    <row r="5">
      <c r="A5" s="33" t="s">
        <v>43</v>
      </c>
      <c r="B5" s="34" t="s">
        <v>44</v>
      </c>
      <c r="C5" s="35">
        <v>5.0</v>
      </c>
      <c r="D5" s="36" t="s">
        <v>29</v>
      </c>
      <c r="E5" s="36">
        <v>1280.0</v>
      </c>
      <c r="F5" s="36">
        <v>3120.0</v>
      </c>
      <c r="G5" s="36">
        <v>550.0</v>
      </c>
      <c r="H5" s="39">
        <f t="shared" si="1"/>
        <v>4950</v>
      </c>
      <c r="I5" s="42">
        <f t="shared" si="2"/>
        <v>146.025</v>
      </c>
      <c r="J5" s="42">
        <f t="shared" si="3"/>
        <v>4803.975</v>
      </c>
    </row>
    <row r="6">
      <c r="A6" s="33" t="s">
        <v>46</v>
      </c>
      <c r="B6" s="34" t="s">
        <v>47</v>
      </c>
      <c r="C6" s="35">
        <v>8.0</v>
      </c>
      <c r="D6" s="36" t="s">
        <v>29</v>
      </c>
      <c r="E6" s="36">
        <v>1920.0</v>
      </c>
      <c r="F6" s="36">
        <v>5900.0</v>
      </c>
      <c r="G6" s="36">
        <v>300.0</v>
      </c>
      <c r="H6" s="39">
        <f t="shared" si="1"/>
        <v>8120</v>
      </c>
      <c r="I6" s="42">
        <f t="shared" si="2"/>
        <v>239.54</v>
      </c>
      <c r="J6" s="42">
        <f t="shared" si="3"/>
        <v>7880.46</v>
      </c>
    </row>
    <row r="7">
      <c r="A7" s="33" t="s">
        <v>48</v>
      </c>
      <c r="B7" s="34" t="s">
        <v>49</v>
      </c>
      <c r="C7" s="35">
        <v>3.5</v>
      </c>
      <c r="D7" s="36" t="s">
        <v>29</v>
      </c>
      <c r="E7" s="36">
        <v>1600.0</v>
      </c>
      <c r="F7" s="36">
        <v>1200.0</v>
      </c>
      <c r="G7" s="36">
        <v>350.0</v>
      </c>
      <c r="H7" s="39">
        <f t="shared" si="1"/>
        <v>3150</v>
      </c>
      <c r="I7" s="42">
        <f t="shared" si="2"/>
        <v>92.925</v>
      </c>
      <c r="J7" s="42">
        <f t="shared" si="3"/>
        <v>3057.075</v>
      </c>
    </row>
    <row r="8">
      <c r="A8" s="33" t="s">
        <v>50</v>
      </c>
      <c r="B8" s="34" t="s">
        <v>51</v>
      </c>
      <c r="C8" s="35">
        <v>2.0</v>
      </c>
      <c r="D8" s="36" t="s">
        <v>29</v>
      </c>
      <c r="E8" s="36">
        <v>640.0</v>
      </c>
      <c r="F8" s="36">
        <v>1200.0</v>
      </c>
      <c r="G8" s="36">
        <v>50.0</v>
      </c>
      <c r="H8" s="39">
        <f t="shared" si="1"/>
        <v>1890</v>
      </c>
      <c r="I8" s="42">
        <f t="shared" si="2"/>
        <v>55.755</v>
      </c>
      <c r="J8" s="42">
        <f t="shared" si="3"/>
        <v>1834.245</v>
      </c>
    </row>
    <row r="9">
      <c r="A9" s="33" t="s">
        <v>53</v>
      </c>
      <c r="B9" s="34" t="s">
        <v>28</v>
      </c>
      <c r="C9" s="35">
        <v>2.5</v>
      </c>
      <c r="D9" s="36" t="s">
        <v>29</v>
      </c>
      <c r="E9" s="36">
        <v>1920.0</v>
      </c>
      <c r="F9" s="36">
        <v>0.0</v>
      </c>
      <c r="G9" s="36">
        <v>250.0</v>
      </c>
      <c r="H9" s="39">
        <f t="shared" si="1"/>
        <v>2170</v>
      </c>
      <c r="I9" s="42">
        <f t="shared" si="2"/>
        <v>64.015</v>
      </c>
      <c r="J9" s="42">
        <f t="shared" si="3"/>
        <v>2105.985</v>
      </c>
    </row>
    <row r="10">
      <c r="A10" s="33" t="s">
        <v>54</v>
      </c>
      <c r="B10" s="34" t="s">
        <v>39</v>
      </c>
      <c r="C10" s="35">
        <v>3.0</v>
      </c>
      <c r="D10" s="36" t="s">
        <v>29</v>
      </c>
      <c r="E10" s="36">
        <v>1920.0</v>
      </c>
      <c r="F10" s="36">
        <v>0.0</v>
      </c>
      <c r="G10" s="36">
        <v>150.0</v>
      </c>
      <c r="H10" s="39">
        <f t="shared" si="1"/>
        <v>2070</v>
      </c>
      <c r="I10" s="42">
        <f t="shared" si="2"/>
        <v>61.065</v>
      </c>
      <c r="J10" s="42">
        <f t="shared" si="3"/>
        <v>2008.935</v>
      </c>
    </row>
    <row r="11">
      <c r="A11" s="33" t="s">
        <v>55</v>
      </c>
      <c r="B11" s="34" t="s">
        <v>41</v>
      </c>
      <c r="C11" s="35">
        <v>6.5</v>
      </c>
      <c r="D11" s="36" t="s">
        <v>29</v>
      </c>
      <c r="E11" s="36">
        <v>1280.0</v>
      </c>
      <c r="F11" s="36">
        <v>4320.0</v>
      </c>
      <c r="G11" s="36">
        <v>450.0</v>
      </c>
      <c r="H11" s="39">
        <f t="shared" si="1"/>
        <v>6050</v>
      </c>
      <c r="I11" s="42">
        <f t="shared" si="2"/>
        <v>178.475</v>
      </c>
      <c r="J11" s="42">
        <f t="shared" si="3"/>
        <v>5871.525</v>
      </c>
    </row>
    <row r="12">
      <c r="A12" s="33" t="s">
        <v>56</v>
      </c>
      <c r="B12" s="34" t="s">
        <v>44</v>
      </c>
      <c r="C12" s="35">
        <v>7.0</v>
      </c>
      <c r="D12" s="36" t="s">
        <v>29</v>
      </c>
      <c r="E12" s="36">
        <v>3520.0</v>
      </c>
      <c r="F12" s="36">
        <v>1920.0</v>
      </c>
      <c r="G12" s="36">
        <v>700.0</v>
      </c>
      <c r="H12" s="39">
        <f t="shared" si="1"/>
        <v>6140</v>
      </c>
      <c r="I12" s="42">
        <f t="shared" si="2"/>
        <v>181.13</v>
      </c>
      <c r="J12" s="42">
        <f t="shared" si="3"/>
        <v>5958.87</v>
      </c>
    </row>
    <row r="13">
      <c r="A13" s="33" t="s">
        <v>58</v>
      </c>
      <c r="B13" s="34" t="s">
        <v>47</v>
      </c>
      <c r="C13" s="35">
        <v>9.0</v>
      </c>
      <c r="D13" s="36" t="s">
        <v>29</v>
      </c>
      <c r="E13" s="36">
        <v>4480.0</v>
      </c>
      <c r="F13" s="36">
        <v>2200.0</v>
      </c>
      <c r="G13" s="36">
        <v>900.0</v>
      </c>
      <c r="H13" s="39">
        <f t="shared" si="1"/>
        <v>7580</v>
      </c>
      <c r="I13" s="42">
        <f t="shared" si="2"/>
        <v>223.61</v>
      </c>
      <c r="J13" s="42">
        <f t="shared" si="3"/>
        <v>7356.39</v>
      </c>
    </row>
    <row r="14">
      <c r="A14" s="33" t="s">
        <v>59</v>
      </c>
      <c r="B14" s="34" t="s">
        <v>49</v>
      </c>
      <c r="C14" s="35">
        <v>2.5</v>
      </c>
      <c r="D14" s="36" t="s">
        <v>29</v>
      </c>
      <c r="E14" s="36">
        <v>1600.0</v>
      </c>
      <c r="F14" s="36">
        <v>0.0</v>
      </c>
      <c r="G14" s="36">
        <v>300.0</v>
      </c>
      <c r="H14" s="39">
        <f t="shared" si="1"/>
        <v>1900</v>
      </c>
      <c r="I14" s="42">
        <f t="shared" si="2"/>
        <v>56.05</v>
      </c>
      <c r="J14" s="42">
        <f t="shared" si="3"/>
        <v>1843.95</v>
      </c>
    </row>
    <row r="15">
      <c r="A15" s="33" t="s">
        <v>60</v>
      </c>
      <c r="B15" s="34" t="s">
        <v>51</v>
      </c>
      <c r="C15" s="35">
        <v>9.5</v>
      </c>
      <c r="D15" s="36" t="s">
        <v>29</v>
      </c>
      <c r="E15" s="36">
        <v>3520.0</v>
      </c>
      <c r="F15" s="36">
        <v>2400.0</v>
      </c>
      <c r="G15" s="36">
        <v>600.0</v>
      </c>
      <c r="H15" s="39">
        <f t="shared" si="1"/>
        <v>6520</v>
      </c>
      <c r="I15" s="42">
        <f t="shared" si="2"/>
        <v>192.34</v>
      </c>
      <c r="J15" s="42">
        <f t="shared" si="3"/>
        <v>6327.66</v>
      </c>
    </row>
    <row r="16">
      <c r="A16" s="33" t="s">
        <v>62</v>
      </c>
      <c r="B16" s="34" t="s">
        <v>28</v>
      </c>
      <c r="C16" s="51">
        <v>4.5</v>
      </c>
      <c r="D16" s="36" t="s">
        <v>29</v>
      </c>
      <c r="E16" s="41">
        <v>1920.0</v>
      </c>
      <c r="F16" s="41">
        <v>1800.0</v>
      </c>
      <c r="G16" s="41">
        <v>50.0</v>
      </c>
      <c r="H16" s="39">
        <f t="shared" si="1"/>
        <v>3770</v>
      </c>
      <c r="I16" s="42">
        <f t="shared" si="2"/>
        <v>111.215</v>
      </c>
      <c r="J16" s="42">
        <f t="shared" si="3"/>
        <v>3658.785</v>
      </c>
    </row>
    <row r="17">
      <c r="A17" s="33" t="s">
        <v>63</v>
      </c>
      <c r="B17" s="34" t="s">
        <v>39</v>
      </c>
      <c r="C17" s="51">
        <v>4.5</v>
      </c>
      <c r="D17" s="36" t="s">
        <v>29</v>
      </c>
      <c r="E17" s="41">
        <v>1600.0</v>
      </c>
      <c r="F17" s="41">
        <v>2560.0</v>
      </c>
      <c r="G17" s="41">
        <v>400.0</v>
      </c>
      <c r="H17" s="39">
        <f t="shared" ref="H17:H22" si="4">SUM(E17:G17)</f>
        <v>4560</v>
      </c>
      <c r="I17" s="42">
        <f t="shared" si="2"/>
        <v>134.52</v>
      </c>
      <c r="J17" s="42">
        <f t="shared" si="3"/>
        <v>4425.48</v>
      </c>
    </row>
    <row r="18">
      <c r="A18" s="33" t="s">
        <v>64</v>
      </c>
      <c r="B18" s="34" t="s">
        <v>41</v>
      </c>
      <c r="C18" s="51">
        <v>2.5</v>
      </c>
      <c r="D18" s="36" t="s">
        <v>29</v>
      </c>
      <c r="E18" s="41">
        <v>960.0</v>
      </c>
      <c r="F18" s="41">
        <v>1280.0</v>
      </c>
      <c r="G18" s="41">
        <v>150.0</v>
      </c>
      <c r="H18" s="39">
        <f t="shared" si="4"/>
        <v>2390</v>
      </c>
      <c r="I18" s="42">
        <f t="shared" si="2"/>
        <v>70.505</v>
      </c>
      <c r="J18" s="42">
        <f t="shared" si="3"/>
        <v>2319.495</v>
      </c>
    </row>
    <row r="19">
      <c r="A19" s="33" t="s">
        <v>66</v>
      </c>
      <c r="B19" s="34" t="s">
        <v>44</v>
      </c>
      <c r="C19" s="51">
        <v>7.0</v>
      </c>
      <c r="D19" s="36" t="s">
        <v>29</v>
      </c>
      <c r="E19" s="41">
        <v>2560.0</v>
      </c>
      <c r="F19" s="41">
        <v>3840.0</v>
      </c>
      <c r="G19" s="41">
        <v>750.0</v>
      </c>
      <c r="H19" s="39">
        <f t="shared" si="4"/>
        <v>7150</v>
      </c>
      <c r="I19" s="42">
        <f t="shared" si="2"/>
        <v>210.925</v>
      </c>
      <c r="J19" s="42">
        <f t="shared" si="3"/>
        <v>6939.075</v>
      </c>
    </row>
    <row r="20">
      <c r="A20" s="33" t="s">
        <v>68</v>
      </c>
      <c r="B20" s="34" t="s">
        <v>47</v>
      </c>
      <c r="C20" s="51">
        <v>5.0</v>
      </c>
      <c r="D20" s="36" t="s">
        <v>29</v>
      </c>
      <c r="E20" s="41">
        <v>3200.0</v>
      </c>
      <c r="F20" s="41">
        <v>0.0</v>
      </c>
      <c r="G20" s="41">
        <v>350.0</v>
      </c>
      <c r="H20" s="39">
        <f t="shared" si="4"/>
        <v>3550</v>
      </c>
      <c r="I20" s="42">
        <f t="shared" si="2"/>
        <v>104.725</v>
      </c>
      <c r="J20" s="42">
        <f t="shared" si="3"/>
        <v>3445.275</v>
      </c>
    </row>
    <row r="21">
      <c r="A21" s="33" t="s">
        <v>69</v>
      </c>
      <c r="B21" s="34" t="s">
        <v>49</v>
      </c>
      <c r="C21" s="51">
        <v>2.5</v>
      </c>
      <c r="D21" s="36" t="s">
        <v>29</v>
      </c>
      <c r="E21" s="41">
        <v>2240.0</v>
      </c>
      <c r="F21" s="41">
        <v>0.0</v>
      </c>
      <c r="G21" s="41">
        <v>50.0</v>
      </c>
      <c r="H21" s="39">
        <f t="shared" si="4"/>
        <v>2290</v>
      </c>
      <c r="I21" s="42">
        <f t="shared" si="2"/>
        <v>67.555</v>
      </c>
      <c r="J21" s="42">
        <f t="shared" si="3"/>
        <v>2222.445</v>
      </c>
    </row>
    <row r="22">
      <c r="A22" s="33" t="s">
        <v>70</v>
      </c>
      <c r="B22" s="34" t="s">
        <v>51</v>
      </c>
      <c r="C22" s="51">
        <v>3.5</v>
      </c>
      <c r="D22" s="36" t="s">
        <v>29</v>
      </c>
      <c r="E22" s="41">
        <v>2240.0</v>
      </c>
      <c r="F22" s="41">
        <v>0.0</v>
      </c>
      <c r="G22" s="41">
        <v>350.0</v>
      </c>
      <c r="H22" s="39">
        <f t="shared" si="4"/>
        <v>2590</v>
      </c>
      <c r="I22" s="42">
        <f t="shared" si="2"/>
        <v>76.405</v>
      </c>
      <c r="J22" s="42">
        <f t="shared" si="3"/>
        <v>2513.595</v>
      </c>
    </row>
    <row r="23">
      <c r="A23" s="33" t="s">
        <v>86</v>
      </c>
      <c r="B23" s="34" t="s">
        <v>28</v>
      </c>
      <c r="C23" s="51">
        <v>2.5</v>
      </c>
      <c r="D23" s="36" t="s">
        <v>29</v>
      </c>
      <c r="E23" s="41">
        <v>1600.0</v>
      </c>
      <c r="F23" s="41">
        <v>0.0</v>
      </c>
      <c r="G23" s="41">
        <v>100.0</v>
      </c>
      <c r="H23" s="39">
        <f>sum(E23:G23)</f>
        <v>1700</v>
      </c>
      <c r="I23" s="42">
        <f t="shared" si="2"/>
        <v>50.15</v>
      </c>
      <c r="J23" s="42">
        <f t="shared" si="3"/>
        <v>1649.85</v>
      </c>
    </row>
    <row r="24">
      <c r="A24" s="33" t="s">
        <v>88</v>
      </c>
      <c r="B24" s="34" t="s">
        <v>39</v>
      </c>
      <c r="C24" s="51">
        <v>3.0</v>
      </c>
      <c r="D24" s="36" t="s">
        <v>29</v>
      </c>
      <c r="E24" s="41">
        <v>1960.0</v>
      </c>
      <c r="F24" s="41"/>
      <c r="G24" s="41">
        <v>100.0</v>
      </c>
      <c r="H24" s="39">
        <f t="shared" ref="H24:H30" si="5">SUM(E24:G24)</f>
        <v>2060</v>
      </c>
      <c r="I24" s="42">
        <f t="shared" si="2"/>
        <v>60.77</v>
      </c>
      <c r="J24" s="42">
        <f t="shared" si="3"/>
        <v>1999.23</v>
      </c>
    </row>
    <row r="25">
      <c r="A25" s="33" t="s">
        <v>89</v>
      </c>
      <c r="B25" s="34" t="s">
        <v>41</v>
      </c>
      <c r="C25" s="51">
        <v>5.0</v>
      </c>
      <c r="D25" s="36" t="s">
        <v>29</v>
      </c>
      <c r="E25" s="41">
        <v>2240.0</v>
      </c>
      <c r="F25" s="41">
        <v>2560.0</v>
      </c>
      <c r="G25" s="41">
        <v>300.0</v>
      </c>
      <c r="H25" s="39">
        <f t="shared" si="5"/>
        <v>5100</v>
      </c>
      <c r="I25" s="42">
        <f t="shared" si="2"/>
        <v>150.45</v>
      </c>
      <c r="J25" s="42">
        <f t="shared" si="3"/>
        <v>4949.55</v>
      </c>
    </row>
    <row r="26">
      <c r="A26" s="33" t="s">
        <v>90</v>
      </c>
      <c r="B26" s="34" t="s">
        <v>44</v>
      </c>
      <c r="C26" s="51">
        <v>3.0</v>
      </c>
      <c r="D26" s="36" t="s">
        <v>29</v>
      </c>
      <c r="E26" s="41">
        <v>0.0</v>
      </c>
      <c r="F26" s="41">
        <v>5120.0</v>
      </c>
      <c r="G26" s="41">
        <v>0.0</v>
      </c>
      <c r="H26" s="39">
        <f t="shared" si="5"/>
        <v>5120</v>
      </c>
      <c r="I26" s="42">
        <f t="shared" si="2"/>
        <v>151.04</v>
      </c>
      <c r="J26" s="42">
        <f t="shared" si="3"/>
        <v>4968.96</v>
      </c>
    </row>
    <row r="27">
      <c r="A27" s="33" t="s">
        <v>91</v>
      </c>
      <c r="B27" s="34" t="s">
        <v>47</v>
      </c>
      <c r="C27" s="51">
        <v>1.0</v>
      </c>
      <c r="D27" s="36" t="s">
        <v>29</v>
      </c>
      <c r="E27" s="41">
        <v>640.0</v>
      </c>
      <c r="F27" s="41">
        <v>0.0</v>
      </c>
      <c r="G27" s="41">
        <v>100.0</v>
      </c>
      <c r="H27" s="39">
        <f t="shared" si="5"/>
        <v>740</v>
      </c>
      <c r="I27" s="42">
        <f t="shared" si="2"/>
        <v>21.83</v>
      </c>
      <c r="J27" s="42">
        <f t="shared" si="3"/>
        <v>718.17</v>
      </c>
    </row>
    <row r="28">
      <c r="A28" s="33" t="s">
        <v>92</v>
      </c>
      <c r="B28" s="34" t="s">
        <v>49</v>
      </c>
      <c r="C28" s="51">
        <v>2.0</v>
      </c>
      <c r="D28" s="36" t="s">
        <v>29</v>
      </c>
      <c r="E28" s="41">
        <v>320.0</v>
      </c>
      <c r="F28" s="41">
        <v>1800.0</v>
      </c>
      <c r="G28" s="41">
        <v>0.0</v>
      </c>
      <c r="H28" s="39">
        <f t="shared" si="5"/>
        <v>2120</v>
      </c>
      <c r="I28" s="42">
        <f t="shared" si="2"/>
        <v>62.54</v>
      </c>
      <c r="J28" s="42">
        <f t="shared" si="3"/>
        <v>2057.46</v>
      </c>
    </row>
    <row r="29">
      <c r="A29" s="33" t="s">
        <v>93</v>
      </c>
      <c r="B29" s="34" t="s">
        <v>51</v>
      </c>
      <c r="C29" s="51">
        <v>3.0</v>
      </c>
      <c r="D29" s="36" t="s">
        <v>29</v>
      </c>
      <c r="E29" s="41">
        <v>960.0</v>
      </c>
      <c r="F29" s="41">
        <v>2560.0</v>
      </c>
      <c r="G29" s="41">
        <v>75.0</v>
      </c>
      <c r="H29" s="39">
        <f t="shared" si="5"/>
        <v>3595</v>
      </c>
      <c r="I29" s="42">
        <f t="shared" si="2"/>
        <v>106.0525</v>
      </c>
      <c r="J29" s="42">
        <f t="shared" si="3"/>
        <v>3488.9475</v>
      </c>
    </row>
    <row r="30">
      <c r="A30" s="33" t="s">
        <v>94</v>
      </c>
      <c r="B30" s="34" t="s">
        <v>28</v>
      </c>
      <c r="C30" s="51">
        <v>3.0</v>
      </c>
      <c r="D30" s="36" t="s">
        <v>29</v>
      </c>
      <c r="E30" s="41">
        <v>1920.0</v>
      </c>
      <c r="F30" s="41">
        <v>640.0</v>
      </c>
      <c r="G30" s="41">
        <v>200.0</v>
      </c>
      <c r="H30" s="39">
        <f t="shared" si="5"/>
        <v>2760</v>
      </c>
      <c r="I30" s="42">
        <f t="shared" si="2"/>
        <v>81.42</v>
      </c>
      <c r="J30" s="42">
        <f t="shared" si="3"/>
        <v>2678.58</v>
      </c>
    </row>
    <row r="31">
      <c r="A31" s="33" t="s">
        <v>95</v>
      </c>
      <c r="B31" s="34" t="s">
        <v>39</v>
      </c>
      <c r="C31" s="51"/>
      <c r="D31" s="36" t="s">
        <v>29</v>
      </c>
      <c r="E31" s="6"/>
      <c r="F31" s="6"/>
      <c r="G31" s="6"/>
      <c r="H31" s="39"/>
      <c r="I31" s="42">
        <f t="shared" si="2"/>
        <v>0</v>
      </c>
      <c r="J31" s="42">
        <f t="shared" si="3"/>
        <v>0</v>
      </c>
    </row>
    <row r="32">
      <c r="A32" s="62" t="s">
        <v>5</v>
      </c>
      <c r="B32" s="48"/>
      <c r="C32" s="65">
        <f>SUM(C2:C31)</f>
        <v>123.5</v>
      </c>
      <c r="D32" s="65"/>
      <c r="E32" s="65">
        <f t="shared" ref="E32:J32" si="6">SUM(E2:E31)</f>
        <v>50920</v>
      </c>
      <c r="F32" s="65">
        <f t="shared" si="6"/>
        <v>54780</v>
      </c>
      <c r="G32" s="65">
        <f t="shared" si="6"/>
        <v>8225</v>
      </c>
      <c r="H32" s="65">
        <f t="shared" si="6"/>
        <v>113925</v>
      </c>
      <c r="I32" s="65">
        <f t="shared" si="6"/>
        <v>3360.7875</v>
      </c>
      <c r="J32" s="65">
        <f t="shared" si="6"/>
        <v>110564.2125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2.75"/>
    <col customWidth="1" min="4" max="4" width="23.88"/>
    <col customWidth="1" min="5" max="5" width="11.13"/>
    <col customWidth="1" min="6" max="6" width="6.13"/>
    <col customWidth="1" min="7" max="7" width="7.0"/>
  </cols>
  <sheetData>
    <row r="1">
      <c r="A1" s="13" t="s">
        <v>4</v>
      </c>
      <c r="B1" s="14" t="s">
        <v>1</v>
      </c>
      <c r="C1" s="14" t="s">
        <v>9</v>
      </c>
      <c r="D1" s="14" t="s">
        <v>10</v>
      </c>
      <c r="E1" s="14" t="s">
        <v>11</v>
      </c>
      <c r="F1" s="14" t="s">
        <v>12</v>
      </c>
      <c r="G1" s="14" t="s">
        <v>13</v>
      </c>
      <c r="H1" s="14" t="s">
        <v>3</v>
      </c>
    </row>
    <row r="2">
      <c r="A2" s="16"/>
      <c r="B2" s="17" t="s">
        <v>14</v>
      </c>
      <c r="C2" s="18">
        <v>6320.0</v>
      </c>
      <c r="D2" s="18">
        <v>821.0</v>
      </c>
      <c r="E2" s="20">
        <f t="shared" ref="E2:E6" si="1">C2-D2</f>
        <v>5499</v>
      </c>
      <c r="F2" s="18">
        <v>5.3</v>
      </c>
      <c r="G2" s="18">
        <v>26.77</v>
      </c>
      <c r="H2" s="18">
        <v>5466.0</v>
      </c>
    </row>
    <row r="3">
      <c r="A3" s="21"/>
      <c r="B3" s="17" t="s">
        <v>15</v>
      </c>
      <c r="C3" s="17">
        <v>7120.0</v>
      </c>
      <c r="D3" s="17">
        <v>925.0</v>
      </c>
      <c r="E3" s="20">
        <f t="shared" si="1"/>
        <v>6195</v>
      </c>
      <c r="F3" s="17">
        <v>6.0</v>
      </c>
      <c r="G3" s="17">
        <v>30.1</v>
      </c>
      <c r="H3" s="17">
        <v>6158.0</v>
      </c>
    </row>
    <row r="4">
      <c r="A4" s="22"/>
      <c r="B4" s="23" t="s">
        <v>17</v>
      </c>
      <c r="C4" s="24">
        <v>2880.0</v>
      </c>
      <c r="D4" s="23">
        <v>374.0</v>
      </c>
      <c r="E4" s="20">
        <f t="shared" si="1"/>
        <v>2506</v>
      </c>
      <c r="F4" s="23">
        <v>2.4</v>
      </c>
      <c r="G4" s="23">
        <v>12.0</v>
      </c>
      <c r="H4" s="24">
        <v>2490.0</v>
      </c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</row>
    <row r="5">
      <c r="A5" s="22"/>
      <c r="B5" s="23" t="s">
        <v>21</v>
      </c>
      <c r="C5" s="24">
        <v>8351.0</v>
      </c>
      <c r="D5" s="23">
        <v>1085.0</v>
      </c>
      <c r="E5" s="20">
        <f t="shared" si="1"/>
        <v>7266</v>
      </c>
      <c r="F5" s="23">
        <v>7.0</v>
      </c>
      <c r="G5" s="23">
        <v>35.0</v>
      </c>
      <c r="H5" s="24">
        <v>7222.0</v>
      </c>
    </row>
    <row r="6">
      <c r="A6" s="22"/>
      <c r="B6" s="23" t="s">
        <v>23</v>
      </c>
      <c r="C6" s="24">
        <v>957.0</v>
      </c>
      <c r="D6" s="23">
        <v>124.0</v>
      </c>
      <c r="E6" s="20">
        <f t="shared" si="1"/>
        <v>833</v>
      </c>
      <c r="F6" s="23">
        <v>0.8</v>
      </c>
      <c r="G6" s="23">
        <v>4.0</v>
      </c>
      <c r="H6" s="24">
        <v>828.0</v>
      </c>
    </row>
    <row r="7">
      <c r="A7" s="21"/>
      <c r="B7" s="29" t="s">
        <v>5</v>
      </c>
      <c r="C7" s="31">
        <f>SUM(C2:C6)</f>
        <v>25628</v>
      </c>
      <c r="D7" s="32"/>
      <c r="E7" s="31">
        <f>SUM(E2:E6)</f>
        <v>22299</v>
      </c>
      <c r="F7" s="32"/>
      <c r="G7" s="31"/>
      <c r="H7" s="31">
        <f>SUM(H2:H6)</f>
        <v>22164</v>
      </c>
    </row>
    <row r="9">
      <c r="A9" s="37" t="s">
        <v>6</v>
      </c>
      <c r="B9" s="37">
        <f>C7-B10</f>
        <v>14850</v>
      </c>
    </row>
    <row r="10">
      <c r="A10" s="37" t="s">
        <v>7</v>
      </c>
      <c r="B10" s="37">
        <v>10778.0</v>
      </c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3" max="3" width="14.0"/>
    <col customWidth="1" min="4" max="4" width="14.38"/>
    <col customWidth="1" min="5" max="5" width="6.88"/>
    <col customWidth="1" min="6" max="6" width="11.13"/>
    <col customWidth="1" min="7" max="8" width="6.88"/>
    <col customWidth="1" min="9" max="9" width="14.13"/>
  </cols>
  <sheetData>
    <row r="1">
      <c r="A1" s="15" t="s">
        <v>4</v>
      </c>
      <c r="B1" s="19" t="s">
        <v>1</v>
      </c>
      <c r="C1" s="19" t="s">
        <v>30</v>
      </c>
      <c r="D1" s="19" t="s">
        <v>31</v>
      </c>
      <c r="E1" s="19" t="s">
        <v>32</v>
      </c>
      <c r="F1" s="19" t="s">
        <v>11</v>
      </c>
      <c r="G1" s="19" t="s">
        <v>33</v>
      </c>
      <c r="H1" s="19" t="s">
        <v>34</v>
      </c>
      <c r="I1" s="19" t="s">
        <v>35</v>
      </c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</row>
    <row r="2">
      <c r="A2" s="34"/>
      <c r="B2" s="41" t="s">
        <v>36</v>
      </c>
      <c r="C2" s="36">
        <v>3200.0</v>
      </c>
      <c r="D2" s="43">
        <v>224.0</v>
      </c>
      <c r="E2" s="43">
        <v>60.0</v>
      </c>
      <c r="F2" s="39">
        <f t="shared" ref="F2:F3" si="1">C2-D2-E2</f>
        <v>2916</v>
      </c>
      <c r="G2" s="43">
        <v>5.8</v>
      </c>
      <c r="H2" s="43">
        <v>1.0</v>
      </c>
      <c r="I2" s="43">
        <v>888.72</v>
      </c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</row>
    <row r="3">
      <c r="A3" s="34"/>
      <c r="B3" s="43" t="s">
        <v>45</v>
      </c>
      <c r="C3" s="43"/>
      <c r="D3" s="43"/>
      <c r="E3" s="43"/>
      <c r="F3" s="39">
        <f t="shared" si="1"/>
        <v>0</v>
      </c>
      <c r="G3" s="43"/>
      <c r="H3" s="43"/>
      <c r="I3" s="43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</row>
    <row r="4">
      <c r="A4" s="34"/>
      <c r="B4" s="45" t="s">
        <v>5</v>
      </c>
      <c r="C4" s="45">
        <f>SUM(C2:C3)</f>
        <v>3200</v>
      </c>
      <c r="D4" s="48"/>
      <c r="E4" s="48"/>
      <c r="F4" s="45">
        <f>SUM(F2:F3)</f>
        <v>2916</v>
      </c>
      <c r="G4" s="48"/>
      <c r="H4" s="48"/>
      <c r="I4" s="45">
        <f>SUM(I2:I3)</f>
        <v>888.72</v>
      </c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</row>
    <row r="5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</row>
    <row r="6">
      <c r="A6" s="37" t="s">
        <v>6</v>
      </c>
      <c r="B6" s="37">
        <v>800.0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</row>
    <row r="7">
      <c r="A7" s="37" t="s">
        <v>7</v>
      </c>
      <c r="B7" s="37">
        <v>2400.0</v>
      </c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</row>
    <row r="8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</row>
    <row r="9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</row>
    <row r="10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</row>
    <row r="11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</row>
    <row r="12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</row>
    <row r="13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</row>
    <row r="14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</row>
    <row r="15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</row>
    <row r="16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</row>
    <row r="17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</row>
    <row r="18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</row>
    <row r="19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</row>
    <row r="20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</row>
    <row r="2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</row>
    <row r="22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</row>
    <row r="23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</row>
    <row r="24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</row>
    <row r="25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</row>
    <row r="26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</row>
    <row r="27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</row>
    <row r="28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</row>
    <row r="29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</row>
    <row r="30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</row>
    <row r="31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</row>
    <row r="32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</row>
    <row r="33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</row>
    <row r="34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</row>
    <row r="35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</row>
    <row r="36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</row>
    <row r="37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</row>
    <row r="38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</row>
    <row r="39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</row>
    <row r="40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</row>
    <row r="4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</row>
    <row r="42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</row>
    <row r="43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</row>
    <row r="44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</row>
    <row r="45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</row>
    <row r="46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</row>
    <row r="47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</row>
    <row r="48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</row>
    <row r="49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</row>
    <row r="50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</row>
    <row r="5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</row>
    <row r="52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</row>
    <row r="53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</row>
    <row r="54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</row>
    <row r="55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</row>
    <row r="56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</row>
    <row r="57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</row>
    <row r="58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</row>
    <row r="59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</row>
    <row r="60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</row>
    <row r="6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</row>
    <row r="62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</row>
    <row r="63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</row>
    <row r="64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</row>
    <row r="65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</row>
    <row r="66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</row>
    <row r="67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</row>
    <row r="68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</row>
    <row r="69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</row>
    <row r="70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</row>
    <row r="7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</row>
    <row r="72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</row>
    <row r="73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</row>
    <row r="74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</row>
    <row r="75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</row>
    <row r="76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</row>
    <row r="77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</row>
    <row r="78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</row>
    <row r="79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</row>
    <row r="80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</row>
    <row r="8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</row>
    <row r="82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</row>
    <row r="83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</row>
    <row r="84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</row>
    <row r="85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</row>
    <row r="86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</row>
    <row r="87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</row>
    <row r="88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</row>
    <row r="89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</row>
    <row r="90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</row>
    <row r="9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</row>
    <row r="92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</row>
    <row r="93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</row>
    <row r="94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</row>
    <row r="95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</row>
    <row r="96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</row>
    <row r="97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</row>
    <row r="98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</row>
    <row r="99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</row>
    <row r="100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</row>
    <row r="10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</row>
    <row r="102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</row>
    <row r="103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</row>
    <row r="104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</row>
    <row r="105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</row>
    <row r="106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</row>
    <row r="107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</row>
    <row r="108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</row>
    <row r="109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</row>
    <row r="110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</row>
    <row r="11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</row>
    <row r="112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</row>
    <row r="113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</row>
    <row r="114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</row>
    <row r="115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</row>
    <row r="116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</row>
    <row r="117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</row>
    <row r="118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</row>
    <row r="119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</row>
    <row r="120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</row>
    <row r="12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</row>
    <row r="12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</row>
    <row r="123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</row>
    <row r="124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</row>
    <row r="125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</row>
    <row r="126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</row>
    <row r="127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</row>
    <row r="128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</row>
    <row r="129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</row>
    <row r="130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</row>
    <row r="13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</row>
    <row r="13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</row>
    <row r="133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</row>
    <row r="134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</row>
    <row r="135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</row>
    <row r="136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</row>
    <row r="137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</row>
    <row r="138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</row>
    <row r="139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</row>
    <row r="140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</row>
    <row r="14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</row>
    <row r="14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</row>
    <row r="143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</row>
    <row r="144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</row>
    <row r="145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</row>
    <row r="146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</row>
    <row r="147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</row>
    <row r="148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</row>
    <row r="149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</row>
    <row r="150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</row>
    <row r="15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</row>
    <row r="15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</row>
    <row r="153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</row>
    <row r="154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</row>
    <row r="155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</row>
    <row r="156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</row>
    <row r="157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</row>
    <row r="158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</row>
    <row r="159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</row>
    <row r="160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</row>
    <row r="16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</row>
    <row r="16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</row>
    <row r="163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</row>
    <row r="164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</row>
    <row r="165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</row>
    <row r="166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</row>
    <row r="167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</row>
    <row r="168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</row>
    <row r="169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</row>
    <row r="170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</row>
    <row r="17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</row>
    <row r="17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</row>
    <row r="173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</row>
    <row r="174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</row>
    <row r="175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</row>
    <row r="176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</row>
    <row r="177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</row>
    <row r="178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</row>
    <row r="179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</row>
    <row r="180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</row>
    <row r="18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</row>
    <row r="18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</row>
    <row r="183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</row>
    <row r="184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</row>
    <row r="185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</row>
    <row r="186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</row>
    <row r="187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</row>
    <row r="188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</row>
    <row r="189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</row>
    <row r="190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</row>
    <row r="19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</row>
    <row r="19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</row>
    <row r="193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</row>
    <row r="194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</row>
    <row r="195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</row>
    <row r="196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</row>
    <row r="197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</row>
    <row r="198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</row>
    <row r="199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</row>
    <row r="200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</row>
    <row r="20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</row>
    <row r="20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</row>
    <row r="203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</row>
    <row r="204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</row>
    <row r="205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</row>
    <row r="206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</row>
    <row r="207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</row>
    <row r="208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</row>
    <row r="209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</row>
    <row r="210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</row>
    <row r="21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</row>
    <row r="21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</row>
    <row r="213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</row>
    <row r="214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</row>
    <row r="215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</row>
    <row r="216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</row>
    <row r="217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</row>
    <row r="218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</row>
    <row r="219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</row>
    <row r="220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</row>
    <row r="22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</row>
    <row r="22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</row>
    <row r="223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</row>
    <row r="224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</row>
    <row r="225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</row>
    <row r="226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</row>
    <row r="227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</row>
    <row r="228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</row>
    <row r="229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</row>
    <row r="230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</row>
    <row r="23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</row>
    <row r="23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</row>
    <row r="233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</row>
    <row r="234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</row>
    <row r="235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</row>
    <row r="236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</row>
    <row r="237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</row>
    <row r="238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</row>
    <row r="239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</row>
    <row r="240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</row>
    <row r="24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</row>
    <row r="24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</row>
    <row r="243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</row>
    <row r="244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</row>
    <row r="245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</row>
    <row r="246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</row>
    <row r="247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</row>
    <row r="248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</row>
    <row r="249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</row>
    <row r="250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</row>
    <row r="25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</row>
    <row r="25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</row>
    <row r="253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</row>
    <row r="254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</row>
    <row r="255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</row>
    <row r="256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</row>
    <row r="257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</row>
    <row r="258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</row>
    <row r="259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</row>
    <row r="260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</row>
    <row r="26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</row>
    <row r="26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</row>
    <row r="263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</row>
    <row r="264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</row>
    <row r="265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</row>
    <row r="266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</row>
    <row r="267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</row>
    <row r="268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</row>
    <row r="269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</row>
    <row r="270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</row>
    <row r="27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</row>
    <row r="27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</row>
    <row r="273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</row>
    <row r="274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</row>
    <row r="275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</row>
    <row r="276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</row>
    <row r="277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</row>
    <row r="278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</row>
    <row r="279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</row>
    <row r="280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</row>
    <row r="28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</row>
    <row r="28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</row>
    <row r="283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</row>
    <row r="284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</row>
    <row r="285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</row>
    <row r="286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</row>
    <row r="287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</row>
    <row r="288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</row>
    <row r="289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</row>
    <row r="290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</row>
    <row r="29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</row>
    <row r="29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</row>
    <row r="293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</row>
    <row r="294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</row>
    <row r="295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</row>
    <row r="296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</row>
    <row r="297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</row>
    <row r="298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</row>
    <row r="299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</row>
    <row r="300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</row>
    <row r="30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</row>
    <row r="30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</row>
    <row r="303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</row>
    <row r="304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</row>
    <row r="305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</row>
    <row r="306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</row>
    <row r="307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</row>
    <row r="308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</row>
    <row r="309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</row>
    <row r="310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</row>
    <row r="31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</row>
    <row r="31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</row>
    <row r="313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</row>
    <row r="314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</row>
    <row r="315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</row>
    <row r="316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</row>
    <row r="317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</row>
    <row r="318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</row>
    <row r="319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  <c r="AB319" s="38"/>
    </row>
    <row r="320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</row>
    <row r="32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  <c r="AB321" s="38"/>
    </row>
    <row r="32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</row>
    <row r="323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</row>
    <row r="324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  <c r="AB324" s="38"/>
    </row>
    <row r="325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  <c r="AB325" s="38"/>
    </row>
    <row r="326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</row>
    <row r="327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  <c r="AB327" s="38"/>
    </row>
    <row r="328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</row>
    <row r="329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  <c r="AB329" s="38"/>
    </row>
    <row r="330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</row>
    <row r="33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38"/>
    </row>
    <row r="33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38"/>
    </row>
    <row r="333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38"/>
    </row>
    <row r="334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</row>
    <row r="335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38"/>
    </row>
    <row r="336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</row>
    <row r="337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</row>
    <row r="338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</row>
    <row r="339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  <c r="AB339" s="38"/>
    </row>
    <row r="340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38"/>
    </row>
    <row r="34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38"/>
    </row>
    <row r="34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38"/>
    </row>
    <row r="343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</row>
    <row r="344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</row>
    <row r="345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38"/>
    </row>
    <row r="346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</row>
    <row r="347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38"/>
    </row>
    <row r="348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</row>
    <row r="349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</row>
    <row r="350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</row>
    <row r="35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38"/>
    </row>
    <row r="35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</row>
    <row r="353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</row>
    <row r="354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</row>
    <row r="355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8"/>
    </row>
    <row r="356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38"/>
    </row>
    <row r="357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8"/>
    </row>
    <row r="358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</row>
    <row r="359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8"/>
    </row>
    <row r="360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</row>
    <row r="36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8"/>
    </row>
    <row r="36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</row>
    <row r="363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</row>
    <row r="364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8"/>
    </row>
    <row r="365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8"/>
    </row>
    <row r="366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38"/>
    </row>
    <row r="367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</row>
    <row r="368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</row>
    <row r="369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</row>
    <row r="370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</row>
    <row r="37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</row>
    <row r="37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</row>
    <row r="373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</row>
    <row r="374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</row>
    <row r="375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</row>
    <row r="376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</row>
    <row r="377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</row>
    <row r="378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</row>
    <row r="379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  <c r="AB379" s="38"/>
    </row>
    <row r="380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  <c r="AB380" s="38"/>
    </row>
    <row r="38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</row>
    <row r="38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8"/>
    </row>
    <row r="383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</row>
    <row r="384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  <c r="AB384" s="38"/>
    </row>
    <row r="385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</row>
    <row r="386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</row>
    <row r="387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  <c r="AB387" s="38"/>
    </row>
    <row r="388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</row>
    <row r="389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  <c r="AB389" s="38"/>
    </row>
    <row r="390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  <c r="AB390" s="38"/>
    </row>
    <row r="39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  <c r="AB391" s="38"/>
    </row>
    <row r="39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  <c r="AB392" s="38"/>
    </row>
    <row r="393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</row>
    <row r="394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</row>
    <row r="395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8"/>
    </row>
    <row r="396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  <c r="AB396" s="38"/>
    </row>
    <row r="397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8"/>
    </row>
    <row r="398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  <c r="AB398" s="38"/>
    </row>
    <row r="399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  <c r="AB399" s="38"/>
    </row>
    <row r="400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  <c r="AB400" s="38"/>
    </row>
    <row r="40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  <c r="AB401" s="38"/>
    </row>
    <row r="40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  <c r="AB402" s="38"/>
    </row>
    <row r="403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  <c r="AB403" s="38"/>
    </row>
    <row r="404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  <c r="AB404" s="38"/>
    </row>
    <row r="405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  <c r="AB405" s="38"/>
    </row>
    <row r="406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  <c r="AB406" s="38"/>
    </row>
    <row r="407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  <c r="AB407" s="38"/>
    </row>
    <row r="408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  <c r="AB408" s="38"/>
    </row>
    <row r="409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  <c r="AB409" s="38"/>
    </row>
    <row r="410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8"/>
    </row>
    <row r="41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  <c r="AB411" s="38"/>
    </row>
    <row r="41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8"/>
    </row>
    <row r="413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  <c r="AB413" s="38"/>
    </row>
    <row r="414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  <c r="AB414" s="38"/>
    </row>
    <row r="415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  <c r="AB415" s="38"/>
    </row>
    <row r="416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</row>
    <row r="417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</row>
    <row r="418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</row>
    <row r="419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</row>
    <row r="420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8"/>
    </row>
    <row r="42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  <c r="AB421" s="38"/>
    </row>
    <row r="42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</row>
    <row r="423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</row>
    <row r="424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</row>
    <row r="425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</row>
    <row r="426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  <c r="AB426" s="38"/>
    </row>
    <row r="427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  <c r="AB427" s="38"/>
    </row>
    <row r="428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  <c r="AB428" s="38"/>
    </row>
    <row r="429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  <c r="AB429" s="38"/>
    </row>
    <row r="430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8"/>
    </row>
    <row r="43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</row>
    <row r="43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  <c r="AB432" s="38"/>
    </row>
    <row r="433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</row>
    <row r="434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8"/>
    </row>
    <row r="435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  <c r="AB435" s="38"/>
    </row>
    <row r="436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  <c r="AB436" s="38"/>
    </row>
    <row r="437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8"/>
    </row>
    <row r="438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  <c r="AB438" s="38"/>
    </row>
    <row r="439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8"/>
    </row>
    <row r="440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</row>
    <row r="44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</row>
    <row r="44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</row>
    <row r="443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</row>
    <row r="444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8"/>
    </row>
    <row r="445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</row>
    <row r="446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</row>
    <row r="447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s="38"/>
    </row>
    <row r="448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  <c r="AB448" s="38"/>
    </row>
    <row r="449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8"/>
    </row>
    <row r="450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</row>
    <row r="45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</row>
    <row r="45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8"/>
    </row>
    <row r="453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  <c r="AB453" s="38"/>
    </row>
    <row r="454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  <c r="AB454" s="38"/>
    </row>
    <row r="455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  <c r="AB455" s="38"/>
    </row>
    <row r="456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</row>
    <row r="457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</row>
    <row r="458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</row>
    <row r="459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  <c r="AB459" s="38"/>
    </row>
    <row r="460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  <c r="AB460" s="38"/>
    </row>
    <row r="46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8"/>
    </row>
    <row r="46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  <c r="AB462" s="38"/>
    </row>
    <row r="463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  <c r="AB463" s="38"/>
    </row>
    <row r="464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  <c r="AB464" s="38"/>
    </row>
    <row r="465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  <c r="AB465" s="38"/>
    </row>
    <row r="466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  <c r="AB466" s="38"/>
    </row>
    <row r="467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  <c r="AB467" s="38"/>
    </row>
    <row r="468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  <c r="AB468" s="38"/>
    </row>
    <row r="469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  <c r="AB469" s="38"/>
    </row>
    <row r="470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  <c r="AB470" s="38"/>
    </row>
    <row r="47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  <c r="AB471" s="38"/>
    </row>
    <row r="47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  <c r="AB472" s="38"/>
    </row>
    <row r="473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  <c r="AB473" s="38"/>
    </row>
    <row r="474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  <c r="AB474" s="38"/>
    </row>
    <row r="475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  <c r="AB475" s="38"/>
    </row>
    <row r="476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  <c r="AB476" s="38"/>
    </row>
    <row r="477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  <c r="AB477" s="38"/>
    </row>
    <row r="478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  <c r="AB478" s="38"/>
    </row>
    <row r="479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  <c r="AB479" s="38"/>
    </row>
    <row r="480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  <c r="AB480" s="38"/>
    </row>
    <row r="48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  <c r="AB481" s="38"/>
    </row>
    <row r="48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8"/>
    </row>
    <row r="483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  <c r="AB483" s="38"/>
    </row>
    <row r="484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  <c r="AB484" s="38"/>
    </row>
    <row r="485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  <c r="AB485" s="38"/>
    </row>
    <row r="486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</row>
    <row r="487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  <c r="AB487" s="38"/>
    </row>
    <row r="488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  <c r="AB488" s="38"/>
    </row>
    <row r="489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8"/>
    </row>
    <row r="490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</row>
    <row r="49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  <c r="AB491" s="38"/>
    </row>
    <row r="49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  <c r="AB492" s="38"/>
    </row>
    <row r="493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</row>
    <row r="494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8"/>
    </row>
    <row r="495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  <c r="AB495" s="38"/>
    </row>
    <row r="496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  <c r="AB496" s="38"/>
    </row>
    <row r="497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  <c r="AB497" s="38"/>
    </row>
    <row r="498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  <c r="AB498" s="38"/>
    </row>
    <row r="499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  <c r="AB499" s="38"/>
    </row>
    <row r="500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8"/>
    </row>
    <row r="50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  <c r="AB501" s="38"/>
    </row>
    <row r="50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</row>
    <row r="503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  <c r="AB503" s="38"/>
    </row>
    <row r="504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  <c r="AB504" s="38"/>
    </row>
    <row r="505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  <c r="AB505" s="38"/>
    </row>
    <row r="506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  <c r="AB506" s="38"/>
    </row>
    <row r="507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  <c r="AB507" s="38"/>
    </row>
    <row r="508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</row>
    <row r="509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</row>
    <row r="510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  <c r="AB510" s="38"/>
    </row>
    <row r="51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  <c r="AB511" s="38"/>
    </row>
    <row r="51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8"/>
    </row>
    <row r="513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  <c r="AB513" s="38"/>
    </row>
    <row r="514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  <c r="AB514" s="38"/>
    </row>
    <row r="515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  <c r="AB515" s="38"/>
    </row>
    <row r="516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  <c r="AB516" s="38"/>
    </row>
    <row r="517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  <c r="AB517" s="38"/>
    </row>
    <row r="518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8"/>
    </row>
    <row r="519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  <c r="AB519" s="38"/>
    </row>
    <row r="520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  <c r="AB520" s="38"/>
    </row>
    <row r="52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  <c r="AB521" s="38"/>
    </row>
    <row r="52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  <c r="AB522" s="38"/>
    </row>
    <row r="523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  <c r="AB523" s="38"/>
    </row>
    <row r="524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  <c r="AB524" s="38"/>
    </row>
    <row r="525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  <c r="AB525" s="38"/>
    </row>
    <row r="526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  <c r="AB526" s="38"/>
    </row>
    <row r="527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  <c r="AB527" s="38"/>
    </row>
    <row r="528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  <c r="AB528" s="38"/>
    </row>
    <row r="529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8"/>
    </row>
    <row r="530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  <c r="AB530" s="38"/>
    </row>
    <row r="53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  <c r="AB531" s="38"/>
    </row>
    <row r="53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  <c r="AB532" s="38"/>
    </row>
    <row r="533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  <c r="AB533" s="38"/>
    </row>
    <row r="534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  <c r="AB534" s="38"/>
    </row>
    <row r="535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  <c r="AB535" s="38"/>
    </row>
    <row r="536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  <c r="AB536" s="38"/>
    </row>
    <row r="537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  <c r="AB537" s="38"/>
    </row>
    <row r="538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  <c r="AB538" s="38"/>
    </row>
    <row r="539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  <c r="AB539" s="38"/>
    </row>
    <row r="540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  <c r="AB540" s="38"/>
    </row>
    <row r="54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  <c r="AB541" s="38"/>
    </row>
    <row r="54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  <c r="AB542" s="38"/>
    </row>
    <row r="543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  <c r="AB543" s="38"/>
    </row>
    <row r="544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  <c r="AB544" s="38"/>
    </row>
    <row r="545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  <c r="AB545" s="38"/>
    </row>
    <row r="546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  <c r="AB546" s="38"/>
    </row>
    <row r="547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  <c r="AB547" s="38"/>
    </row>
    <row r="548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  <c r="AB548" s="38"/>
    </row>
    <row r="549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  <c r="AB549" s="38"/>
    </row>
    <row r="550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  <c r="AB550" s="38"/>
    </row>
    <row r="55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  <c r="AB551" s="38"/>
    </row>
    <row r="55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  <c r="AB552" s="38"/>
    </row>
    <row r="553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  <c r="AB553" s="38"/>
    </row>
    <row r="554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  <c r="AB554" s="38"/>
    </row>
    <row r="555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  <c r="AB555" s="38"/>
    </row>
    <row r="556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  <c r="AB556" s="38"/>
    </row>
    <row r="557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  <c r="AB557" s="38"/>
    </row>
    <row r="558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  <c r="AB558" s="38"/>
    </row>
    <row r="559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  <c r="AB559" s="38"/>
    </row>
    <row r="560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  <c r="AB560" s="38"/>
    </row>
    <row r="56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  <c r="AB561" s="38"/>
    </row>
    <row r="56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  <c r="AB562" s="38"/>
    </row>
    <row r="563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  <c r="AB563" s="38"/>
    </row>
    <row r="564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  <c r="AB564" s="38"/>
    </row>
    <row r="565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  <c r="AB565" s="38"/>
    </row>
    <row r="566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  <c r="AB566" s="38"/>
    </row>
    <row r="567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  <c r="AB567" s="38"/>
    </row>
    <row r="568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  <c r="AB568" s="38"/>
    </row>
    <row r="569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  <c r="AB569" s="38"/>
    </row>
    <row r="570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  <c r="AB570" s="38"/>
    </row>
    <row r="57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  <c r="AB571" s="38"/>
    </row>
    <row r="57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  <c r="AB572" s="38"/>
    </row>
    <row r="573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  <c r="AB573" s="38"/>
    </row>
    <row r="574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  <c r="AB574" s="38"/>
    </row>
    <row r="575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  <c r="AB575" s="38"/>
    </row>
    <row r="576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  <c r="AB576" s="38"/>
    </row>
    <row r="577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  <c r="AB577" s="38"/>
    </row>
    <row r="578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  <c r="AB578" s="38"/>
    </row>
    <row r="579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  <c r="AB579" s="38"/>
    </row>
    <row r="580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  <c r="AB580" s="38"/>
    </row>
    <row r="58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  <c r="AB581" s="38"/>
    </row>
    <row r="58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  <c r="AB582" s="38"/>
    </row>
    <row r="583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  <c r="AB583" s="38"/>
    </row>
    <row r="584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  <c r="AB584" s="38"/>
    </row>
    <row r="585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  <c r="AB585" s="38"/>
    </row>
    <row r="586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  <c r="AB586" s="38"/>
    </row>
    <row r="587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  <c r="AB587" s="38"/>
    </row>
    <row r="588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  <c r="AB588" s="38"/>
    </row>
    <row r="589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  <c r="AB589" s="38"/>
    </row>
    <row r="590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  <c r="AB590" s="38"/>
    </row>
    <row r="59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  <c r="AB591" s="38"/>
    </row>
    <row r="59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  <c r="AB592" s="38"/>
    </row>
    <row r="593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  <c r="AB593" s="38"/>
    </row>
    <row r="594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  <c r="AB594" s="38"/>
    </row>
    <row r="595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  <c r="AB595" s="38"/>
    </row>
    <row r="596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  <c r="AB596" s="38"/>
    </row>
    <row r="597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  <c r="AB597" s="38"/>
    </row>
    <row r="598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  <c r="AB598" s="38"/>
    </row>
    <row r="599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  <c r="AB599" s="38"/>
    </row>
    <row r="600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  <c r="AB600" s="38"/>
    </row>
    <row r="60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  <c r="AB601" s="38"/>
    </row>
    <row r="60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  <c r="AB602" s="38"/>
    </row>
    <row r="603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  <c r="AB603" s="38"/>
    </row>
    <row r="604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  <c r="AB604" s="38"/>
    </row>
    <row r="605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  <c r="AB605" s="38"/>
    </row>
    <row r="606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  <c r="AB606" s="38"/>
    </row>
    <row r="607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  <c r="AB607" s="38"/>
    </row>
    <row r="608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  <c r="AB608" s="38"/>
    </row>
    <row r="609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  <c r="AB609" s="38"/>
    </row>
    <row r="610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  <c r="AB610" s="38"/>
    </row>
    <row r="61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  <c r="AB611" s="38"/>
    </row>
    <row r="61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  <c r="AB612" s="38"/>
    </row>
    <row r="613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  <c r="AB613" s="38"/>
    </row>
    <row r="614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  <c r="AB614" s="38"/>
    </row>
    <row r="615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  <c r="AB615" s="38"/>
    </row>
    <row r="616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  <c r="AB616" s="38"/>
    </row>
    <row r="617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  <c r="AB617" s="38"/>
    </row>
    <row r="618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  <c r="AB618" s="38"/>
    </row>
    <row r="619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  <c r="AB619" s="38"/>
    </row>
    <row r="620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  <c r="AB620" s="38"/>
    </row>
    <row r="62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  <c r="AB621" s="38"/>
    </row>
    <row r="62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  <c r="AB622" s="38"/>
    </row>
    <row r="623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  <c r="AB623" s="38"/>
    </row>
    <row r="624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  <c r="AB624" s="38"/>
    </row>
    <row r="625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  <c r="AB625" s="38"/>
    </row>
    <row r="626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  <c r="AB626" s="38"/>
    </row>
    <row r="627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  <c r="AB627" s="38"/>
    </row>
    <row r="628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  <c r="AB628" s="38"/>
    </row>
    <row r="629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  <c r="AB629" s="38"/>
    </row>
    <row r="630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  <c r="AB630" s="38"/>
    </row>
    <row r="63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  <c r="AB631" s="38"/>
    </row>
    <row r="63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  <c r="AB632" s="38"/>
    </row>
    <row r="633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  <c r="AB633" s="38"/>
    </row>
    <row r="634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  <c r="AB634" s="38"/>
    </row>
    <row r="635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  <c r="AB635" s="38"/>
    </row>
    <row r="636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  <c r="AB636" s="38"/>
    </row>
    <row r="637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  <c r="AB637" s="38"/>
    </row>
    <row r="638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  <c r="AB638" s="38"/>
    </row>
    <row r="639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  <c r="AB639" s="38"/>
    </row>
    <row r="640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  <c r="AB640" s="38"/>
    </row>
    <row r="64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  <c r="AB641" s="38"/>
    </row>
    <row r="64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  <c r="AB642" s="38"/>
    </row>
    <row r="643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  <c r="AB643" s="38"/>
    </row>
    <row r="644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  <c r="AB644" s="38"/>
    </row>
    <row r="645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  <c r="AB645" s="38"/>
    </row>
    <row r="646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  <c r="AB646" s="38"/>
    </row>
    <row r="647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  <c r="AB647" s="38"/>
    </row>
    <row r="648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  <c r="AB648" s="38"/>
    </row>
    <row r="649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  <c r="AB649" s="38"/>
    </row>
    <row r="650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  <c r="AB650" s="38"/>
    </row>
    <row r="65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  <c r="AB651" s="38"/>
    </row>
    <row r="65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  <c r="AB652" s="38"/>
    </row>
    <row r="653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  <c r="AB653" s="38"/>
    </row>
    <row r="654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  <c r="AB654" s="38"/>
    </row>
    <row r="655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  <c r="AB655" s="38"/>
    </row>
    <row r="656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  <c r="AB656" s="38"/>
    </row>
    <row r="657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  <c r="AB657" s="38"/>
    </row>
    <row r="658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  <c r="AB658" s="38"/>
    </row>
    <row r="659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  <c r="AB659" s="38"/>
    </row>
    <row r="660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  <c r="AB660" s="38"/>
    </row>
    <row r="66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  <c r="AB661" s="38"/>
    </row>
    <row r="66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</row>
    <row r="663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  <c r="AB663" s="38"/>
    </row>
    <row r="664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  <c r="AB664" s="38"/>
    </row>
    <row r="665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  <c r="AB665" s="38"/>
    </row>
    <row r="666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  <c r="AB666" s="38"/>
    </row>
    <row r="667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  <c r="AB667" s="38"/>
    </row>
    <row r="668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  <c r="AB668" s="38"/>
    </row>
    <row r="669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  <c r="AB669" s="38"/>
    </row>
    <row r="670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  <c r="AB670" s="38"/>
    </row>
    <row r="67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  <c r="AB671" s="38"/>
    </row>
    <row r="67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  <c r="AB672" s="38"/>
    </row>
    <row r="673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  <c r="AB673" s="38"/>
    </row>
    <row r="674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  <c r="AB674" s="38"/>
    </row>
    <row r="675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  <c r="AB675" s="38"/>
    </row>
    <row r="676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  <c r="AB676" s="38"/>
    </row>
    <row r="677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  <c r="AB677" s="38"/>
    </row>
    <row r="678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  <c r="AB678" s="38"/>
    </row>
    <row r="679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  <c r="AB679" s="38"/>
    </row>
    <row r="680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  <c r="AB680" s="38"/>
    </row>
    <row r="68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  <c r="AB681" s="38"/>
    </row>
    <row r="68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  <c r="AB682" s="38"/>
    </row>
    <row r="683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  <c r="AB683" s="38"/>
    </row>
    <row r="684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  <c r="AB684" s="38"/>
    </row>
    <row r="685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  <c r="AB685" s="38"/>
    </row>
    <row r="686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  <c r="AB686" s="38"/>
    </row>
    <row r="687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  <c r="AB687" s="38"/>
    </row>
    <row r="688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  <c r="AB688" s="38"/>
    </row>
    <row r="689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  <c r="AB689" s="38"/>
    </row>
    <row r="690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  <c r="AB690" s="38"/>
    </row>
    <row r="69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  <c r="AB691" s="38"/>
    </row>
    <row r="69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  <c r="AB692" s="38"/>
    </row>
    <row r="693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  <c r="AB693" s="38"/>
    </row>
    <row r="694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  <c r="AB694" s="38"/>
    </row>
    <row r="695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  <c r="AB695" s="38"/>
    </row>
    <row r="696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  <c r="AB696" s="38"/>
    </row>
    <row r="697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  <c r="AB697" s="38"/>
    </row>
    <row r="698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  <c r="AB698" s="38"/>
    </row>
    <row r="699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  <c r="AB699" s="38"/>
    </row>
    <row r="700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  <c r="AB700" s="38"/>
    </row>
    <row r="70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  <c r="AB701" s="38"/>
    </row>
    <row r="70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  <c r="AB702" s="38"/>
    </row>
    <row r="703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  <c r="AB703" s="38"/>
    </row>
    <row r="704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  <c r="AB704" s="38"/>
    </row>
    <row r="705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  <c r="AB705" s="38"/>
    </row>
    <row r="706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  <c r="AB706" s="38"/>
    </row>
    <row r="707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  <c r="AB707" s="38"/>
    </row>
    <row r="708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  <c r="AB708" s="38"/>
    </row>
    <row r="709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  <c r="AB709" s="38"/>
    </row>
    <row r="710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  <c r="AB710" s="38"/>
    </row>
    <row r="71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  <c r="AB711" s="38"/>
    </row>
    <row r="71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  <c r="AB712" s="38"/>
    </row>
    <row r="713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  <c r="AB713" s="38"/>
    </row>
    <row r="714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  <c r="AB714" s="38"/>
    </row>
    <row r="715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  <c r="AB715" s="38"/>
    </row>
    <row r="716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  <c r="AB716" s="38"/>
    </row>
    <row r="717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  <c r="AB717" s="38"/>
    </row>
    <row r="718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  <c r="AB718" s="38"/>
    </row>
    <row r="719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  <c r="AB719" s="38"/>
    </row>
    <row r="720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  <c r="AB720" s="38"/>
    </row>
    <row r="72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  <c r="AB721" s="38"/>
    </row>
    <row r="72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</row>
    <row r="723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  <c r="AB723" s="38"/>
    </row>
    <row r="724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  <c r="AB724" s="38"/>
    </row>
    <row r="725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  <c r="AB725" s="38"/>
    </row>
    <row r="726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  <c r="AB726" s="38"/>
    </row>
    <row r="727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  <c r="AB727" s="38"/>
    </row>
    <row r="728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  <c r="AB728" s="38"/>
    </row>
    <row r="729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  <c r="AB729" s="38"/>
    </row>
    <row r="730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  <c r="AB730" s="38"/>
    </row>
    <row r="73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  <c r="AB731" s="38"/>
    </row>
    <row r="73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  <c r="AB732" s="38"/>
    </row>
    <row r="733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  <c r="AB733" s="38"/>
    </row>
    <row r="734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  <c r="AB734" s="38"/>
    </row>
    <row r="735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  <c r="AB735" s="38"/>
    </row>
    <row r="736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  <c r="AB736" s="38"/>
    </row>
    <row r="737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  <c r="AB737" s="38"/>
    </row>
    <row r="738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  <c r="AB738" s="38"/>
    </row>
    <row r="739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  <c r="AB739" s="38"/>
    </row>
    <row r="740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  <c r="AB740" s="38"/>
    </row>
    <row r="74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  <c r="AB741" s="38"/>
    </row>
    <row r="74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  <c r="AB742" s="38"/>
    </row>
    <row r="743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  <c r="AB743" s="38"/>
    </row>
    <row r="744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  <c r="AB744" s="38"/>
    </row>
    <row r="745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  <c r="AB745" s="38"/>
    </row>
    <row r="746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  <c r="AB746" s="38"/>
    </row>
    <row r="747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  <c r="AB747" s="38"/>
    </row>
    <row r="748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  <c r="AB748" s="38"/>
    </row>
    <row r="749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  <c r="AB749" s="38"/>
    </row>
    <row r="750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  <c r="AB750" s="38"/>
    </row>
    <row r="75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  <c r="AB751" s="38"/>
    </row>
    <row r="75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  <c r="AB752" s="38"/>
    </row>
    <row r="753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  <c r="AB753" s="38"/>
    </row>
    <row r="754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  <c r="AB754" s="38"/>
    </row>
    <row r="755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  <c r="AB755" s="38"/>
    </row>
    <row r="756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  <c r="AB756" s="38"/>
    </row>
    <row r="757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  <c r="AB757" s="38"/>
    </row>
    <row r="758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  <c r="AB758" s="38"/>
    </row>
    <row r="759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  <c r="AB759" s="38"/>
    </row>
    <row r="760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  <c r="AB760" s="38"/>
    </row>
    <row r="76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  <c r="AB761" s="38"/>
    </row>
    <row r="76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  <c r="AB762" s="38"/>
    </row>
    <row r="763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  <c r="AB763" s="38"/>
    </row>
    <row r="764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  <c r="AB764" s="38"/>
    </row>
    <row r="765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  <c r="AB765" s="38"/>
    </row>
    <row r="766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  <c r="AB766" s="38"/>
    </row>
    <row r="767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  <c r="AB767" s="38"/>
    </row>
    <row r="768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  <c r="AB768" s="38"/>
    </row>
    <row r="769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  <c r="AB769" s="38"/>
    </row>
    <row r="770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  <c r="AB770" s="38"/>
    </row>
    <row r="77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  <c r="AB771" s="38"/>
    </row>
    <row r="77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  <c r="AB772" s="38"/>
    </row>
    <row r="773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  <c r="AB773" s="38"/>
    </row>
    <row r="774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  <c r="AB774" s="38"/>
    </row>
    <row r="775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  <c r="AB775" s="38"/>
    </row>
    <row r="776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  <c r="AB776" s="38"/>
    </row>
    <row r="777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  <c r="AB777" s="38"/>
    </row>
    <row r="778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  <c r="AB778" s="38"/>
    </row>
    <row r="779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  <c r="AB779" s="38"/>
    </row>
    <row r="780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  <c r="AB780" s="38"/>
    </row>
    <row r="78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  <c r="AB781" s="38"/>
    </row>
    <row r="78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  <c r="AB782" s="38"/>
    </row>
    <row r="783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  <c r="AB783" s="38"/>
    </row>
    <row r="784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  <c r="AB784" s="38"/>
    </row>
    <row r="785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  <c r="AB785" s="38"/>
    </row>
    <row r="786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  <c r="AB786" s="38"/>
    </row>
    <row r="787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  <c r="AB787" s="38"/>
    </row>
    <row r="788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  <c r="AB788" s="38"/>
    </row>
    <row r="789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  <c r="AB789" s="38"/>
    </row>
    <row r="790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  <c r="AB790" s="38"/>
    </row>
    <row r="79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  <c r="AB791" s="38"/>
    </row>
    <row r="79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  <c r="AB792" s="38"/>
    </row>
    <row r="793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  <c r="AB793" s="38"/>
    </row>
    <row r="794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  <c r="AB794" s="38"/>
    </row>
    <row r="795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  <c r="AB795" s="38"/>
    </row>
    <row r="796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  <c r="AB796" s="38"/>
    </row>
    <row r="797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  <c r="AB797" s="38"/>
    </row>
    <row r="798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  <c r="AB798" s="38"/>
    </row>
    <row r="799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  <c r="AB799" s="38"/>
    </row>
    <row r="800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  <c r="AB800" s="38"/>
    </row>
    <row r="80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  <c r="AB801" s="38"/>
    </row>
    <row r="80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  <c r="AB802" s="38"/>
    </row>
    <row r="803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  <c r="AB803" s="38"/>
    </row>
    <row r="804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  <c r="AB804" s="38"/>
    </row>
    <row r="805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  <c r="AB805" s="38"/>
    </row>
    <row r="806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  <c r="AB806" s="38"/>
    </row>
    <row r="807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  <c r="AB807" s="38"/>
    </row>
    <row r="808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  <c r="AB808" s="38"/>
    </row>
    <row r="809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  <c r="AB809" s="38"/>
    </row>
    <row r="810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  <c r="AB810" s="38"/>
    </row>
    <row r="81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  <c r="AB811" s="38"/>
    </row>
    <row r="81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  <c r="AB812" s="38"/>
    </row>
    <row r="813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  <c r="AB813" s="38"/>
    </row>
    <row r="814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  <c r="AB814" s="38"/>
    </row>
    <row r="815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  <c r="AB815" s="38"/>
    </row>
    <row r="816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  <c r="AB816" s="38"/>
    </row>
    <row r="817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  <c r="AB817" s="38"/>
    </row>
    <row r="818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  <c r="AB818" s="38"/>
    </row>
    <row r="819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  <c r="AB819" s="38"/>
    </row>
    <row r="820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  <c r="AB820" s="38"/>
    </row>
    <row r="82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  <c r="AB821" s="38"/>
    </row>
    <row r="82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  <c r="AB822" s="38"/>
    </row>
    <row r="823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  <c r="AB823" s="38"/>
    </row>
    <row r="824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  <c r="AB824" s="38"/>
    </row>
    <row r="825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  <c r="AB825" s="38"/>
    </row>
    <row r="826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  <c r="AB826" s="38"/>
    </row>
    <row r="827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  <c r="AB827" s="38"/>
    </row>
    <row r="828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  <c r="AB828" s="38"/>
    </row>
    <row r="829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  <c r="AB829" s="38"/>
    </row>
    <row r="830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  <c r="AB830" s="38"/>
    </row>
    <row r="83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  <c r="AB831" s="38"/>
    </row>
    <row r="83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  <c r="AB832" s="38"/>
    </row>
    <row r="833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  <c r="AB833" s="38"/>
    </row>
    <row r="834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  <c r="AB834" s="38"/>
    </row>
    <row r="835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  <c r="AB835" s="38"/>
    </row>
    <row r="836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  <c r="AB836" s="38"/>
    </row>
    <row r="837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  <c r="AB837" s="38"/>
    </row>
    <row r="838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  <c r="AB838" s="38"/>
    </row>
    <row r="839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  <c r="AB839" s="38"/>
    </row>
    <row r="840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  <c r="AB840" s="38"/>
    </row>
    <row r="84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  <c r="AB841" s="38"/>
    </row>
    <row r="84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  <c r="AB842" s="38"/>
    </row>
    <row r="843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  <c r="AB843" s="38"/>
    </row>
    <row r="844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  <c r="AB844" s="38"/>
    </row>
    <row r="845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  <c r="AB845" s="38"/>
    </row>
    <row r="846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  <c r="AB846" s="38"/>
    </row>
    <row r="847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  <c r="AB847" s="38"/>
    </row>
    <row r="848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  <c r="AB848" s="38"/>
    </row>
    <row r="849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  <c r="AB849" s="38"/>
    </row>
    <row r="850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  <c r="AB850" s="38"/>
    </row>
    <row r="85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  <c r="AB851" s="38"/>
    </row>
    <row r="85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  <c r="AB852" s="38"/>
    </row>
    <row r="853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  <c r="AB853" s="38"/>
    </row>
    <row r="854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  <c r="AB854" s="38"/>
    </row>
    <row r="855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  <c r="AB855" s="38"/>
    </row>
    <row r="856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  <c r="AB856" s="38"/>
    </row>
    <row r="857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  <c r="AB857" s="38"/>
    </row>
    <row r="858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  <c r="AB858" s="38"/>
    </row>
    <row r="859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  <c r="AB859" s="38"/>
    </row>
    <row r="860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  <c r="AB860" s="38"/>
    </row>
    <row r="86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  <c r="AB861" s="38"/>
    </row>
    <row r="86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  <c r="AB862" s="38"/>
    </row>
    <row r="863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  <c r="AB863" s="38"/>
    </row>
    <row r="864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  <c r="AB864" s="38"/>
    </row>
    <row r="865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  <c r="AB865" s="38"/>
    </row>
    <row r="866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  <c r="AB866" s="38"/>
    </row>
    <row r="867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  <c r="AB867" s="38"/>
    </row>
    <row r="868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  <c r="AB868" s="38"/>
    </row>
    <row r="869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  <c r="AB869" s="38"/>
    </row>
    <row r="870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  <c r="AB870" s="38"/>
    </row>
    <row r="87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  <c r="AB871" s="38"/>
    </row>
    <row r="87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  <c r="AB872" s="38"/>
    </row>
    <row r="873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  <c r="AB873" s="38"/>
    </row>
    <row r="874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  <c r="AB874" s="38"/>
    </row>
    <row r="875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  <c r="AB875" s="38"/>
    </row>
    <row r="876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  <c r="AB876" s="38"/>
    </row>
    <row r="877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  <c r="AB877" s="38"/>
    </row>
    <row r="878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  <c r="AB878" s="38"/>
    </row>
    <row r="879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  <c r="AB879" s="38"/>
    </row>
    <row r="880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  <c r="AB880" s="38"/>
    </row>
    <row r="88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  <c r="AB881" s="38"/>
    </row>
    <row r="88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  <c r="AB882" s="38"/>
    </row>
    <row r="883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  <c r="AB883" s="38"/>
    </row>
    <row r="884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  <c r="AB884" s="38"/>
    </row>
    <row r="885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  <c r="AB885" s="38"/>
    </row>
    <row r="886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  <c r="AB886" s="38"/>
    </row>
    <row r="887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  <c r="AB887" s="38"/>
    </row>
    <row r="888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  <c r="AB888" s="38"/>
    </row>
    <row r="889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  <c r="AB889" s="38"/>
    </row>
    <row r="890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  <c r="AB890" s="38"/>
    </row>
    <row r="89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  <c r="AB891" s="38"/>
    </row>
    <row r="89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  <c r="AB892" s="38"/>
    </row>
    <row r="893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  <c r="AB893" s="38"/>
    </row>
    <row r="894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  <c r="AB894" s="38"/>
    </row>
    <row r="895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  <c r="AB895" s="38"/>
    </row>
    <row r="896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  <c r="AB896" s="38"/>
    </row>
    <row r="897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  <c r="AB897" s="38"/>
    </row>
    <row r="898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  <c r="AB898" s="38"/>
    </row>
    <row r="899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  <c r="AB899" s="38"/>
    </row>
    <row r="900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  <c r="AB900" s="38"/>
    </row>
    <row r="90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  <c r="AB901" s="38"/>
    </row>
    <row r="90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  <c r="AB902" s="38"/>
    </row>
    <row r="903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  <c r="AB903" s="38"/>
    </row>
    <row r="904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  <c r="AB904" s="38"/>
    </row>
    <row r="90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  <c r="AB905" s="38"/>
    </row>
    <row r="906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  <c r="AB906" s="38"/>
    </row>
    <row r="907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  <c r="AB907" s="38"/>
    </row>
    <row r="908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  <c r="AB908" s="38"/>
    </row>
    <row r="909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  <c r="AB909" s="38"/>
    </row>
    <row r="910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  <c r="AB910" s="38"/>
    </row>
    <row r="91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  <c r="AB911" s="38"/>
    </row>
    <row r="91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  <c r="AB912" s="38"/>
    </row>
    <row r="913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</row>
    <row r="914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  <c r="AB914" s="38"/>
    </row>
    <row r="91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  <c r="AB915" s="38"/>
    </row>
    <row r="916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  <c r="AB916" s="38"/>
    </row>
    <row r="917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8"/>
    </row>
    <row r="918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  <c r="AB918" s="38"/>
    </row>
    <row r="919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  <c r="AB919" s="38"/>
    </row>
    <row r="920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  <c r="AB920" s="38"/>
    </row>
    <row r="92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  <c r="AB921" s="38"/>
    </row>
    <row r="92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  <c r="AB922" s="38"/>
    </row>
    <row r="923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  <c r="AB923" s="38"/>
    </row>
    <row r="924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  <c r="AB924" s="38"/>
    </row>
    <row r="92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  <c r="AB925" s="38"/>
    </row>
    <row r="926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  <c r="AB926" s="38"/>
    </row>
    <row r="927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  <c r="AB927" s="38"/>
    </row>
    <row r="928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  <c r="AB928" s="38"/>
    </row>
    <row r="929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  <c r="AB929" s="38"/>
    </row>
    <row r="930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  <c r="AB930" s="38"/>
    </row>
    <row r="93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  <c r="AB931" s="38"/>
    </row>
    <row r="93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  <c r="AB932" s="38"/>
    </row>
    <row r="933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  <c r="AB933" s="38"/>
    </row>
    <row r="934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  <c r="AB934" s="38"/>
    </row>
    <row r="935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  <c r="AB935" s="38"/>
    </row>
    <row r="936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  <c r="AB936" s="38"/>
    </row>
    <row r="937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  <c r="AB937" s="38"/>
    </row>
    <row r="938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  <c r="AB938" s="38"/>
    </row>
    <row r="939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  <c r="AB939" s="38"/>
    </row>
    <row r="940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  <c r="AB940" s="38"/>
    </row>
    <row r="94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  <c r="AB941" s="38"/>
    </row>
    <row r="942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  <c r="AB942" s="38"/>
    </row>
    <row r="943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  <c r="AB943" s="38"/>
    </row>
    <row r="944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  <c r="AB944" s="38"/>
    </row>
    <row r="945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  <c r="AB945" s="38"/>
    </row>
    <row r="946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  <c r="AB946" s="38"/>
    </row>
    <row r="947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  <c r="AB947" s="38"/>
    </row>
    <row r="948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  <c r="AB948" s="38"/>
    </row>
    <row r="949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  <c r="AB949" s="38"/>
    </row>
    <row r="950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  <c r="AB950" s="38"/>
    </row>
    <row r="95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  <c r="AB951" s="38"/>
    </row>
    <row r="952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  <c r="AB952" s="38"/>
    </row>
    <row r="953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  <c r="AB953" s="38"/>
    </row>
    <row r="954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  <c r="AB954" s="38"/>
    </row>
    <row r="955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  <c r="AB955" s="38"/>
    </row>
    <row r="956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  <c r="AB956" s="38"/>
    </row>
    <row r="957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  <c r="AB957" s="38"/>
    </row>
    <row r="958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  <c r="AB958" s="38"/>
    </row>
    <row r="959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  <c r="AB959" s="38"/>
    </row>
    <row r="960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  <c r="AB960" s="38"/>
    </row>
    <row r="96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  <c r="AB961" s="38"/>
    </row>
    <row r="962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  <c r="AB962" s="38"/>
    </row>
    <row r="963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  <c r="AB963" s="38"/>
    </row>
    <row r="964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  <c r="AB964" s="38"/>
    </row>
    <row r="965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  <c r="AB965" s="38"/>
    </row>
    <row r="966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  <c r="AB966" s="38"/>
    </row>
    <row r="967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  <c r="AB967" s="38"/>
    </row>
    <row r="968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  <c r="AB968" s="38"/>
    </row>
    <row r="969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  <c r="AB969" s="38"/>
    </row>
    <row r="970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  <c r="AB970" s="38"/>
    </row>
    <row r="97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  <c r="AB971" s="38"/>
    </row>
    <row r="972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  <c r="AB972" s="38"/>
    </row>
    <row r="973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  <c r="AB973" s="38"/>
    </row>
    <row r="974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  <c r="AB974" s="38"/>
    </row>
    <row r="975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  <c r="AB975" s="38"/>
    </row>
    <row r="976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  <c r="AB976" s="38"/>
    </row>
    <row r="977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  <c r="AB977" s="38"/>
    </row>
    <row r="978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  <c r="AB978" s="38"/>
    </row>
    <row r="979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  <c r="AB979" s="38"/>
    </row>
    <row r="980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  <c r="AB980" s="38"/>
    </row>
    <row r="98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  <c r="AB981" s="38"/>
    </row>
    <row r="982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  <c r="AB982" s="38"/>
    </row>
    <row r="983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  <c r="AB983" s="38"/>
    </row>
    <row r="984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  <c r="AB984" s="38"/>
    </row>
    <row r="985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  <c r="AB985" s="38"/>
    </row>
    <row r="986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  <c r="AB986" s="38"/>
    </row>
    <row r="987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  <c r="AB987" s="38"/>
    </row>
    <row r="988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  <c r="AB988" s="38"/>
    </row>
    <row r="989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  <c r="AB989" s="38"/>
    </row>
    <row r="990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  <c r="AB990" s="38"/>
    </row>
    <row r="99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  <c r="AB991" s="38"/>
    </row>
    <row r="992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  <c r="AB992" s="38"/>
    </row>
    <row r="993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  <c r="AB993" s="38"/>
    </row>
    <row r="994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  <c r="AB994" s="38"/>
    </row>
    <row r="995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  <c r="AB995" s="38"/>
    </row>
    <row r="996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  <c r="AB996" s="38"/>
    </row>
    <row r="997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  <c r="AB997" s="38"/>
    </row>
    <row r="998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  <c r="AA998" s="38"/>
      <c r="AB998" s="38"/>
    </row>
  </sheetData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3" max="3" width="14.75"/>
    <col customWidth="1" min="4" max="4" width="14.38"/>
    <col customWidth="1" min="5" max="5" width="16.0"/>
    <col customWidth="1" min="6" max="6" width="11.13"/>
    <col customWidth="1" min="7" max="8" width="6.88"/>
    <col customWidth="1" min="9" max="9" width="14.13"/>
  </cols>
  <sheetData>
    <row r="1">
      <c r="A1" s="60" t="s">
        <v>4</v>
      </c>
      <c r="B1" s="19" t="s">
        <v>1</v>
      </c>
      <c r="C1" s="19" t="s">
        <v>96</v>
      </c>
      <c r="D1" s="19" t="s">
        <v>31</v>
      </c>
      <c r="E1" s="63" t="s">
        <v>98</v>
      </c>
      <c r="F1" s="19" t="s">
        <v>11</v>
      </c>
      <c r="G1" s="64" t="s">
        <v>13</v>
      </c>
      <c r="H1" s="64" t="s">
        <v>12</v>
      </c>
      <c r="I1" s="19" t="s">
        <v>35</v>
      </c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>
      <c r="A2" s="67"/>
      <c r="B2" s="41" t="s">
        <v>99</v>
      </c>
      <c r="C2" s="36">
        <v>19000.0</v>
      </c>
      <c r="D2" s="36">
        <v>900.0</v>
      </c>
      <c r="E2" s="36">
        <v>162.0</v>
      </c>
      <c r="F2" s="39">
        <f>C2-D2-E2</f>
        <v>17938</v>
      </c>
      <c r="G2" s="36">
        <v>95.0</v>
      </c>
      <c r="H2" s="36">
        <v>19.0</v>
      </c>
      <c r="I2" s="36">
        <v>17824.0</v>
      </c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>
      <c r="A3" s="67"/>
      <c r="B3" s="68"/>
      <c r="C3" s="41"/>
      <c r="D3" s="41"/>
      <c r="E3" s="41"/>
      <c r="F3" s="39"/>
      <c r="G3" s="41"/>
      <c r="H3" s="41"/>
      <c r="I3" s="68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>
      <c r="A4" s="67"/>
      <c r="B4" s="62" t="s">
        <v>5</v>
      </c>
      <c r="C4" s="45">
        <f>SUM(C2:C3)</f>
        <v>19000</v>
      </c>
      <c r="D4" s="48"/>
      <c r="E4" s="48"/>
      <c r="F4" s="45">
        <f>SUM(F2:F3)</f>
        <v>17938</v>
      </c>
      <c r="G4" s="48"/>
      <c r="H4" s="48"/>
      <c r="I4" s="45">
        <f>SUM(I2:I3)</f>
        <v>17824</v>
      </c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>
      <c r="A5" s="66"/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>
      <c r="A6" s="37" t="s">
        <v>6</v>
      </c>
      <c r="B6" s="37">
        <f>C4-B7</f>
        <v>13700</v>
      </c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>
      <c r="A7" s="37" t="s">
        <v>7</v>
      </c>
      <c r="B7" s="69">
        <f>1500 + 3100 + 700 </f>
        <v>5300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>
      <c r="A8" s="66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>
      <c r="A9" s="70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>
      <c r="A11" s="66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>
      <c r="A13" s="66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>
      <c r="A16" s="66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>
      <c r="A17" s="66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>
      <c r="A18" s="66"/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>
      <c r="A19" s="66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>
      <c r="A20" s="66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>
      <c r="A21" s="66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>
      <c r="A22" s="66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>
      <c r="A23" s="66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>
      <c r="A24" s="66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>
      <c r="A26" s="66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>
      <c r="A28" s="66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>
      <c r="A32" s="66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>
      <c r="A33" s="66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</row>
    <row r="314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</row>
    <row r="316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</row>
    <row r="317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</row>
    <row r="318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</row>
    <row r="319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</row>
    <row r="320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</row>
    <row r="32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</row>
    <row r="322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</row>
    <row r="323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</row>
    <row r="324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</row>
    <row r="326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</row>
    <row r="327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</row>
    <row r="328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</row>
    <row r="329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</row>
    <row r="330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</row>
    <row r="33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</row>
    <row r="334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</row>
    <row r="335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</row>
    <row r="336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</row>
    <row r="337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</row>
    <row r="338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</row>
    <row r="339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</row>
    <row r="340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</row>
    <row r="34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</row>
    <row r="343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</row>
    <row r="344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</row>
    <row r="345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</row>
    <row r="346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</row>
    <row r="347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</row>
    <row r="348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</row>
    <row r="349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</row>
    <row r="350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</row>
    <row r="352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</row>
    <row r="353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</row>
    <row r="354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</row>
    <row r="355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</row>
    <row r="356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</row>
    <row r="357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</row>
    <row r="358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</row>
    <row r="359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</row>
    <row r="360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</row>
    <row r="36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</row>
    <row r="369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</row>
    <row r="370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</row>
    <row r="37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</row>
    <row r="372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</row>
    <row r="373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</row>
    <row r="374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</row>
    <row r="375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</row>
    <row r="376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</row>
    <row r="377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</row>
    <row r="378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</row>
    <row r="379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</row>
    <row r="380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</row>
    <row r="384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</row>
    <row r="385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</row>
    <row r="386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</row>
    <row r="387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</row>
    <row r="389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</row>
    <row r="390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</row>
    <row r="39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</row>
    <row r="392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</row>
    <row r="393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</row>
    <row r="394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</row>
    <row r="395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</row>
    <row r="396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</row>
    <row r="398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</row>
    <row r="399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</row>
    <row r="400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  <row r="966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</row>
    <row r="967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</row>
    <row r="968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</row>
    <row r="969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</row>
    <row r="970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</row>
    <row r="97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</row>
    <row r="972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</row>
    <row r="973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</row>
    <row r="975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</row>
    <row r="976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</row>
    <row r="977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</row>
    <row r="978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</row>
    <row r="979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</row>
    <row r="980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</row>
    <row r="98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</row>
    <row r="982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</row>
    <row r="983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</row>
    <row r="984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</row>
    <row r="985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</row>
    <row r="986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</row>
    <row r="987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</row>
    <row r="988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</row>
    <row r="989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</row>
    <row r="990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</row>
    <row r="99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</row>
    <row r="992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</row>
    <row r="993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</row>
    <row r="994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</row>
    <row r="995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</row>
    <row r="996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</row>
  </sheetData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2.25"/>
    <col customWidth="1" min="3" max="3" width="18.25"/>
    <col customWidth="1" min="4" max="4" width="14.38"/>
    <col customWidth="1" min="5" max="5" width="14.13"/>
  </cols>
  <sheetData>
    <row r="1">
      <c r="A1" s="71" t="s">
        <v>4</v>
      </c>
      <c r="B1" s="72" t="s">
        <v>1</v>
      </c>
      <c r="C1" s="72" t="s">
        <v>100</v>
      </c>
      <c r="D1" s="72" t="s">
        <v>31</v>
      </c>
      <c r="E1" s="72" t="s">
        <v>35</v>
      </c>
    </row>
    <row r="2">
      <c r="A2" s="73"/>
      <c r="B2" s="74" t="s">
        <v>101</v>
      </c>
      <c r="C2" s="75">
        <v>800.0</v>
      </c>
      <c r="D2" s="76">
        <f>C2*5%</f>
        <v>40</v>
      </c>
      <c r="E2" s="76">
        <f>C2-D2</f>
        <v>760</v>
      </c>
    </row>
    <row r="3">
      <c r="A3" s="77"/>
      <c r="B3" s="78" t="s">
        <v>5</v>
      </c>
      <c r="C3" s="81">
        <f>SUM(C2)</f>
        <v>800</v>
      </c>
      <c r="D3" s="82"/>
      <c r="E3" s="81">
        <f>SUM(E2)</f>
        <v>760</v>
      </c>
      <c r="F3" s="66"/>
      <c r="G3" s="66"/>
      <c r="H3" s="66"/>
      <c r="I3" s="66"/>
      <c r="J3" s="66"/>
      <c r="K3" s="83"/>
      <c r="L3" s="66"/>
      <c r="M3" s="83"/>
      <c r="N3" s="83"/>
    </row>
    <row r="4">
      <c r="A4" s="84"/>
      <c r="B4" s="85"/>
      <c r="C4" s="86"/>
      <c r="D4" s="84"/>
      <c r="E4" s="87"/>
    </row>
    <row r="5">
      <c r="A5" s="84"/>
      <c r="B5" s="84"/>
      <c r="D5" s="84"/>
      <c r="E5" s="87"/>
    </row>
  </sheetData>
  <hyperlinks>
    <hyperlink r:id="rId1" ref="A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5" max="5" width="15.25"/>
  </cols>
  <sheetData>
    <row r="1">
      <c r="A1" s="30" t="s">
        <v>102</v>
      </c>
      <c r="B1" s="30" t="s">
        <v>1</v>
      </c>
      <c r="C1" s="30" t="s">
        <v>103</v>
      </c>
      <c r="D1" s="30" t="s">
        <v>104</v>
      </c>
      <c r="E1" s="30" t="s">
        <v>26</v>
      </c>
      <c r="F1" s="30" t="s">
        <v>11</v>
      </c>
      <c r="G1" s="30" t="s">
        <v>105</v>
      </c>
    </row>
    <row r="2">
      <c r="A2" s="54" t="s">
        <v>106</v>
      </c>
      <c r="B2" s="79">
        <v>46142.0</v>
      </c>
      <c r="C2" s="54" t="s">
        <v>107</v>
      </c>
      <c r="D2" s="80">
        <v>2560.0</v>
      </c>
      <c r="E2" s="52">
        <f>D2*2.5%*1.18</f>
        <v>75.52</v>
      </c>
      <c r="F2" s="52">
        <f>D2-E2</f>
        <v>2484.48</v>
      </c>
      <c r="G2" s="54" t="s">
        <v>108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14.63"/>
  </cols>
  <sheetData>
    <row r="1">
      <c r="A1" s="30" t="s">
        <v>102</v>
      </c>
      <c r="B1" s="30" t="s">
        <v>1</v>
      </c>
      <c r="C1" s="30" t="s">
        <v>103</v>
      </c>
      <c r="D1" s="30" t="s">
        <v>104</v>
      </c>
    </row>
    <row r="2">
      <c r="A2" s="54" t="s">
        <v>109</v>
      </c>
      <c r="B2" s="54" t="s">
        <v>110</v>
      </c>
      <c r="C2" s="54" t="s">
        <v>111</v>
      </c>
      <c r="D2" s="80">
        <v>18800.0</v>
      </c>
    </row>
    <row r="32">
      <c r="G32" s="88">
        <f>SUM(I2:I31)</f>
        <v>0</v>
      </c>
    </row>
  </sheetData>
  <drawing r:id="rId1"/>
</worksheet>
</file>