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District" sheetId="3" r:id="rId7"/>
    <sheet state="visible" name="Social EventsTournaments" sheetId="4" r:id="rId8"/>
    <sheet state="visible" name="Academy" sheetId="5" r:id="rId9"/>
  </sheets>
  <definedNames/>
  <calcPr/>
</workbook>
</file>

<file path=xl/sharedStrings.xml><?xml version="1.0" encoding="utf-8"?>
<sst xmlns="http://schemas.openxmlformats.org/spreadsheetml/2006/main" count="126" uniqueCount="61">
  <si>
    <t>1 - 30 June</t>
  </si>
  <si>
    <t>Date</t>
  </si>
  <si>
    <t>Particulars</t>
  </si>
  <si>
    <t>Day</t>
  </si>
  <si>
    <t>Amount</t>
  </si>
  <si>
    <t>Offline booking hours</t>
  </si>
  <si>
    <t>Pickleball</t>
  </si>
  <si>
    <t>Discount Given</t>
  </si>
  <si>
    <t>Booking Revenue</t>
  </si>
  <si>
    <t>Community Revenue</t>
  </si>
  <si>
    <t>Pay &amp; Play</t>
  </si>
  <si>
    <t xml:space="preserve">Paddle Rental </t>
  </si>
  <si>
    <t>F&amp;B</t>
  </si>
  <si>
    <t>Total Revenue</t>
  </si>
  <si>
    <t>Payment Gateway</t>
  </si>
  <si>
    <t>Link</t>
  </si>
  <si>
    <t>Net Revenue</t>
  </si>
  <si>
    <t>Monday</t>
  </si>
  <si>
    <t xml:space="preserve">Online </t>
  </si>
  <si>
    <t>0 and 10%</t>
  </si>
  <si>
    <t>District</t>
  </si>
  <si>
    <t>Paid to District</t>
  </si>
  <si>
    <t>Commissions (₹)</t>
  </si>
  <si>
    <t>Hudle</t>
  </si>
  <si>
    <t>GST on Commission</t>
  </si>
  <si>
    <t>Amt</t>
  </si>
  <si>
    <t>TCS</t>
  </si>
  <si>
    <t>Playo</t>
  </si>
  <si>
    <t>Khelomore</t>
  </si>
  <si>
    <t>TDS</t>
  </si>
  <si>
    <t>Final Amount (₹)</t>
  </si>
  <si>
    <t>Post Comission</t>
  </si>
  <si>
    <t>Zplys</t>
  </si>
  <si>
    <t xml:space="preserve">TDS </t>
  </si>
  <si>
    <t>Offline</t>
  </si>
  <si>
    <t>Bookings</t>
  </si>
  <si>
    <t>Tuesday</t>
  </si>
  <si>
    <t>Wednesday</t>
  </si>
  <si>
    <t>Memberships</t>
  </si>
  <si>
    <t>Community</t>
  </si>
  <si>
    <t>Thursday</t>
  </si>
  <si>
    <t>Pickup games</t>
  </si>
  <si>
    <t>Social Events/Tournaments</t>
  </si>
  <si>
    <t>Friday</t>
  </si>
  <si>
    <t>Academy</t>
  </si>
  <si>
    <t>Saturday</t>
  </si>
  <si>
    <t>Sunday</t>
  </si>
  <si>
    <t>Events &amp; Partnership</t>
  </si>
  <si>
    <t>Corporate events</t>
  </si>
  <si>
    <t>All B2B partnerships</t>
  </si>
  <si>
    <t>Total</t>
  </si>
  <si>
    <t>Commerce</t>
  </si>
  <si>
    <t>Product rental</t>
  </si>
  <si>
    <t>Product sales</t>
  </si>
  <si>
    <t>Other Income</t>
  </si>
  <si>
    <t>Total Gross Revenue</t>
  </si>
  <si>
    <t>Total Net Revenue (Post Commissions)</t>
  </si>
  <si>
    <t>Total Revenue post GST</t>
  </si>
  <si>
    <t>Sports</t>
  </si>
  <si>
    <t>Month</t>
  </si>
  <si>
    <t>June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</si>
</sst>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₹]#,##0"/>
    <numFmt numFmtId="165" formatCode="[&gt;9999999][$₹]##\,##\,##\,##0;[&gt;99999][$₹]##\,##\,##0;[$₹]##,##0"/>
    <numFmt numFmtId="166" formatCode="[$₹]#,##0.0"/>
    <numFmt numFmtId="167" formatCode="d mmmm"/>
    <numFmt numFmtId="168" formatCode="[$₹]#,##0.00"/>
    <numFmt numFmtId="169" formatCode="d mmm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0000FF"/>
      <name val="Arial"/>
    </font>
    <font>
      <b/>
      <sz val="11.0"/>
      <color theme="1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bottom"/>
    </xf>
    <xf borderId="2" fillId="0" fontId="3" numFmtId="0" xfId="0" applyBorder="1" applyFont="1"/>
    <xf borderId="3" fillId="2" fontId="2" numFmtId="164" xfId="0" applyAlignment="1" applyBorder="1" applyFill="1" applyFont="1" applyNumberFormat="1">
      <alignment horizontal="center" vertical="bottom"/>
    </xf>
    <xf borderId="3" fillId="0" fontId="2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3" fillId="2" fontId="4" numFmtId="0" xfId="0" applyAlignment="1" applyBorder="1" applyFill="1" applyFont="1">
      <alignment vertical="bottom"/>
    </xf>
    <xf borderId="3" fillId="2" fontId="2" numFmtId="3" xfId="0" applyAlignment="1" applyBorder="1" applyFill="1" applyFont="1" applyNumberFormat="1">
      <alignment horizontal="center" vertical="bottom"/>
    </xf>
    <xf borderId="3" fillId="2" fontId="2" numFmtId="165" xfId="0" applyAlignment="1" applyBorder="1" applyFill="1" applyFont="1" applyNumberFormat="1">
      <alignment horizontal="center" vertical="bottom"/>
    </xf>
    <xf borderId="3" fillId="0" fontId="2" numFmtId="0" xfId="0" applyAlignment="1" applyBorder="1" applyFont="1">
      <alignment vertical="bottom"/>
    </xf>
    <xf borderId="3" fillId="2" fontId="2" numFmtId="166" xfId="0" applyAlignment="1" applyBorder="1" applyFill="1" applyFont="1" applyNumberFormat="1">
      <alignment vertical="bottom"/>
    </xf>
    <xf borderId="3" fillId="2" fontId="2" numFmtId="0" xfId="0" applyAlignment="1" applyBorder="1" applyFill="1" applyFont="1">
      <alignment vertical="bottom"/>
    </xf>
    <xf borderId="3" fillId="3" fontId="4" numFmtId="167" xfId="0" applyAlignment="1" applyBorder="1" applyFill="1" applyFont="1" applyNumberFormat="1">
      <alignment horizontal="right" vertical="bottom"/>
    </xf>
    <xf borderId="3" fillId="0" fontId="2" numFmtId="165" xfId="0" applyAlignment="1" applyBorder="1" applyFont="1" applyNumberFormat="1">
      <alignment horizontal="right" vertical="bottom"/>
    </xf>
    <xf borderId="3" fillId="3" fontId="4" numFmtId="164" xfId="0" applyAlignment="1" applyBorder="1" applyFill="1" applyFont="1" applyNumberFormat="1">
      <alignment vertical="bottom"/>
    </xf>
    <xf borderId="3" fillId="3" fontId="4" numFmtId="3" xfId="0" applyAlignment="1" applyBorder="1" applyFill="1" applyFont="1" applyNumberFormat="1">
      <alignment horizontal="right" vertical="bottom"/>
    </xf>
    <xf borderId="3" fillId="0" fontId="4" numFmtId="164" xfId="0" applyAlignment="1" applyBorder="1" applyFont="1" applyNumberFormat="1">
      <alignment horizontal="right" vertical="bottom"/>
    </xf>
    <xf borderId="3" fillId="0" fontId="4" numFmtId="0" xfId="0" applyAlignment="1" applyBorder="1" applyFont="1">
      <alignment vertical="bottom"/>
    </xf>
    <xf borderId="3" fillId="2" fontId="5" numFmtId="168" xfId="0" applyAlignment="1" applyBorder="1" applyFill="1" applyFont="1" applyNumberFormat="1">
      <alignment horizontal="center" readingOrder="0" vertical="bottom"/>
    </xf>
    <xf borderId="3" fillId="0" fontId="4" numFmtId="165" xfId="0" applyAlignment="1" applyBorder="1" applyFont="1" applyNumberFormat="1">
      <alignment vertical="bottom"/>
    </xf>
    <xf borderId="3" fillId="2" fontId="2" numFmtId="0" xfId="0" applyAlignment="1" applyBorder="1" applyFill="1" applyFont="1">
      <alignment horizontal="center" vertical="bottom"/>
    </xf>
    <xf borderId="0" fillId="2" fontId="6" numFmtId="164" xfId="0" applyAlignment="1" applyFill="1" applyFont="1" applyNumberFormat="1">
      <alignment vertical="bottom"/>
    </xf>
    <xf borderId="3" fillId="0" fontId="4" numFmtId="165" xfId="0" applyAlignment="1" applyBorder="1" applyFont="1" applyNumberFormat="1">
      <alignment readingOrder="0" vertical="bottom"/>
    </xf>
    <xf borderId="0" fillId="2" fontId="2" numFmtId="164" xfId="0" applyAlignment="1" applyFill="1" applyFont="1" applyNumberFormat="1">
      <alignment horizontal="center" vertical="bottom"/>
    </xf>
    <xf borderId="3" fillId="2" fontId="2" numFmtId="0" xfId="0" applyAlignment="1" applyBorder="1" applyFill="1" applyFont="1">
      <alignment horizontal="center" vertical="bottom"/>
    </xf>
    <xf borderId="3" fillId="0" fontId="4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3" fillId="2" fontId="2" numFmtId="168" xfId="0" applyAlignment="1" applyBorder="1" applyFill="1" applyFont="1" applyNumberFormat="1">
      <alignment horizontal="center" vertical="bottom"/>
    </xf>
    <xf borderId="3" fillId="0" fontId="2" numFmtId="0" xfId="0" applyAlignment="1" applyBorder="1" applyFont="1">
      <alignment vertical="bottom"/>
    </xf>
    <xf borderId="0" fillId="0" fontId="4" numFmtId="164" xfId="0" applyAlignment="1" applyFont="1" applyNumberFormat="1">
      <alignment vertical="bottom"/>
    </xf>
    <xf borderId="3" fillId="0" fontId="4" numFmtId="164" xfId="0" applyAlignment="1" applyBorder="1" applyFont="1" applyNumberFormat="1">
      <alignment horizontal="right" vertical="bottom"/>
    </xf>
    <xf borderId="3" fillId="0" fontId="4" numFmtId="168" xfId="0" applyAlignment="1" applyBorder="1" applyFont="1" applyNumberFormat="1">
      <alignment readingOrder="0" vertical="bottom"/>
    </xf>
    <xf borderId="3" fillId="0" fontId="4" numFmtId="164" xfId="0" applyAlignment="1" applyBorder="1" applyFont="1" applyNumberFormat="1">
      <alignment horizontal="right" readingOrder="0" vertical="bottom"/>
    </xf>
    <xf borderId="3" fillId="0" fontId="4" numFmtId="167" xfId="0" applyAlignment="1" applyBorder="1" applyFont="1" applyNumberFormat="1">
      <alignment horizontal="right" readingOrder="0" vertical="bottom"/>
    </xf>
    <xf borderId="3" fillId="0" fontId="4" numFmtId="165" xfId="0" applyAlignment="1" applyBorder="1" applyFont="1" applyNumberFormat="1">
      <alignment horizontal="right" readingOrder="0" vertical="bottom"/>
    </xf>
    <xf borderId="3" fillId="0" fontId="4" numFmtId="168" xfId="0" applyAlignment="1" applyBorder="1" applyFont="1" applyNumberFormat="1">
      <alignment vertical="bottom"/>
    </xf>
    <xf borderId="3" fillId="0" fontId="4" numFmtId="3" xfId="0" applyAlignment="1" applyBorder="1" applyFont="1" applyNumberFormat="1">
      <alignment horizontal="right" vertical="bottom"/>
    </xf>
    <xf borderId="3" fillId="0" fontId="4" numFmtId="168" xfId="0" applyAlignment="1" applyBorder="1" applyFont="1" applyNumberFormat="1">
      <alignment horizontal="right" vertical="bottom"/>
    </xf>
    <xf borderId="3" fillId="0" fontId="4" numFmtId="4" xfId="0" applyAlignment="1" applyBorder="1" applyFont="1" applyNumberFormat="1">
      <alignment horizontal="right" vertical="bottom"/>
    </xf>
    <xf borderId="3" fillId="0" fontId="4" numFmtId="165" xfId="0" applyAlignment="1" applyBorder="1" applyFont="1" applyNumberFormat="1">
      <alignment horizontal="right" vertical="bottom"/>
    </xf>
    <xf borderId="3" fillId="0" fontId="4" numFmtId="0" xfId="0" applyAlignment="1" applyBorder="1" applyFont="1">
      <alignment horizontal="right" vertical="bottom"/>
    </xf>
    <xf borderId="3" fillId="0" fontId="4" numFmtId="164" xfId="0" applyAlignment="1" applyBorder="1" applyFont="1" applyNumberFormat="1">
      <alignment readingOrder="0" vertical="bottom"/>
    </xf>
    <xf borderId="0" fillId="0" fontId="4" numFmtId="164" xfId="0" applyAlignment="1" applyFont="1" applyNumberFormat="1">
      <alignment horizontal="right" vertical="bottom"/>
    </xf>
    <xf borderId="3" fillId="0" fontId="2" numFmtId="165" xfId="0" applyAlignment="1" applyBorder="1" applyFont="1" applyNumberFormat="1">
      <alignment horizontal="right" readingOrder="0" vertical="bottom"/>
    </xf>
    <xf borderId="3" fillId="0" fontId="4" numFmtId="164" xfId="0" applyAlignment="1" applyBorder="1" applyFont="1" applyNumberFormat="1">
      <alignment vertical="bottom"/>
    </xf>
    <xf borderId="3" fillId="2" fontId="2" numFmtId="164" xfId="0" applyAlignment="1" applyBorder="1" applyFill="1" applyFont="1" applyNumberFormat="1">
      <alignment vertical="bottom"/>
    </xf>
    <xf borderId="3" fillId="0" fontId="4" numFmtId="0" xfId="0" applyAlignment="1" applyBorder="1" applyFont="1">
      <alignment horizontal="right" vertical="bottom"/>
    </xf>
    <xf borderId="3" fillId="2" fontId="2" numFmtId="164" xfId="0" applyAlignment="1" applyBorder="1" applyFill="1" applyFont="1" applyNumberFormat="1">
      <alignment horizontal="right" vertical="bottom"/>
    </xf>
    <xf borderId="3" fillId="2" fontId="4" numFmtId="164" xfId="0" applyAlignment="1" applyBorder="1" applyFill="1" applyFont="1" applyNumberFormat="1">
      <alignment vertical="bottom"/>
    </xf>
    <xf borderId="3" fillId="2" fontId="2" numFmtId="0" xfId="0" applyAlignment="1" applyBorder="1" applyFill="1" applyFont="1">
      <alignment horizontal="right" vertical="bottom"/>
    </xf>
    <xf borderId="3" fillId="0" fontId="4" numFmtId="3" xfId="0" applyAlignment="1" applyBorder="1" applyFont="1" applyNumberFormat="1">
      <alignment horizontal="right" readingOrder="0" vertical="bottom"/>
    </xf>
    <xf borderId="3" fillId="2" fontId="2" numFmtId="165" xfId="0" applyAlignment="1" applyBorder="1" applyFill="1" applyFont="1" applyNumberFormat="1">
      <alignment horizontal="right" vertical="bottom"/>
    </xf>
    <xf borderId="3" fillId="2" fontId="4" numFmtId="168" xfId="0" applyAlignment="1" applyBorder="1" applyFill="1" applyFont="1" applyNumberFormat="1">
      <alignment vertical="bottom"/>
    </xf>
    <xf borderId="3" fillId="0" fontId="4" numFmtId="0" xfId="0" applyAlignment="1" applyBorder="1" applyFont="1">
      <alignment shrinkToFit="0" vertical="bottom" wrapText="1"/>
    </xf>
    <xf borderId="3" fillId="0" fontId="2" numFmtId="168" xfId="0" applyAlignment="1" applyBorder="1" applyFont="1" applyNumberFormat="1">
      <alignment vertical="bottom"/>
    </xf>
    <xf borderId="0" fillId="0" fontId="4" numFmtId="169" xfId="0" applyAlignment="1" applyFont="1" applyNumberFormat="1">
      <alignment vertical="bottom"/>
    </xf>
    <xf borderId="3" fillId="0" fontId="4" numFmtId="4" xfId="0" applyAlignment="1" applyBorder="1" applyFont="1" applyNumberFormat="1">
      <alignment horizontal="right" readingOrder="0" vertical="bottom"/>
    </xf>
    <xf borderId="0" fillId="0" fontId="7" numFmtId="0" xfId="0" applyAlignment="1" applyFont="1">
      <alignment readingOrder="0"/>
    </xf>
    <xf borderId="3" fillId="3" fontId="4" numFmtId="164" xfId="0" applyAlignment="1" applyBorder="1" applyFill="1" applyFont="1" applyNumberFormat="1">
      <alignment horizontal="right" vertical="bottom"/>
    </xf>
    <xf borderId="0" fillId="3" fontId="7" numFmtId="0" xfId="0" applyFill="1" applyFont="1"/>
    <xf borderId="0" fillId="3" fontId="7" numFmtId="0" xfId="0" applyAlignment="1" applyFill="1" applyFont="1">
      <alignment readingOrder="0"/>
    </xf>
    <xf borderId="3" fillId="2" fontId="2" numFmtId="4" xfId="0" applyAlignment="1" applyBorder="1" applyFill="1" applyFont="1" applyNumberFormat="1">
      <alignment horizontal="right" vertical="bottom"/>
    </xf>
    <xf borderId="3" fillId="2" fontId="1" numFmtId="0" xfId="0" applyAlignment="1" applyBorder="1" applyFill="1" applyFont="1">
      <alignment readingOrder="0"/>
    </xf>
    <xf borderId="3" fillId="0" fontId="7" numFmtId="0" xfId="0" applyAlignment="1" applyBorder="1" applyFont="1">
      <alignment readingOrder="0"/>
    </xf>
    <xf borderId="3" fillId="0" fontId="7" numFmtId="168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9Gkk9R_-n86yEtOKMIHPfVB4rh5fkdiW9mdI9HfhTdY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</cols>
  <sheetData>
    <row r="1">
      <c r="A1" s="1"/>
    </row>
    <row r="2">
      <c r="B2" s="2" t="s">
        <v>0</v>
      </c>
      <c r="C2" s="3"/>
    </row>
    <row r="3">
      <c r="B3" s="5" t="s">
        <v>2</v>
      </c>
      <c r="C3" s="5" t="s">
        <v>4</v>
      </c>
      <c r="E3" s="6"/>
    </row>
    <row r="4">
      <c r="B4" s="7"/>
      <c r="C4" s="9" t="s">
        <v>6</v>
      </c>
      <c r="E4" s="6"/>
    </row>
    <row r="5">
      <c r="B5" s="10" t="s">
        <v>10</v>
      </c>
      <c r="C5" s="14">
        <f>sum(C6,C12)</f>
        <v>187817</v>
      </c>
      <c r="E5" s="6"/>
    </row>
    <row r="6">
      <c r="B6" s="10" t="s">
        <v>18</v>
      </c>
      <c r="C6" s="14">
        <f>sum(C7:C11)</f>
        <v>122537</v>
      </c>
      <c r="E6" s="6"/>
    </row>
    <row r="7" outlineLevel="1">
      <c r="B7" s="18" t="s">
        <v>20</v>
      </c>
      <c r="C7" s="20">
        <f>District!C4</f>
        <v>122537</v>
      </c>
      <c r="E7" s="6"/>
    </row>
    <row r="8" outlineLevel="1">
      <c r="B8" s="18" t="s">
        <v>23</v>
      </c>
      <c r="C8" s="23">
        <v>0.0</v>
      </c>
      <c r="E8" s="6"/>
    </row>
    <row r="9" outlineLevel="1">
      <c r="B9" s="18" t="s">
        <v>27</v>
      </c>
      <c r="C9" s="23">
        <v>0.0</v>
      </c>
      <c r="E9" s="6"/>
    </row>
    <row r="10" outlineLevel="1">
      <c r="B10" s="26" t="s">
        <v>28</v>
      </c>
      <c r="C10" s="23">
        <v>0.0</v>
      </c>
      <c r="E10" s="27"/>
    </row>
    <row r="11" outlineLevel="1">
      <c r="B11" s="18" t="s">
        <v>32</v>
      </c>
      <c r="C11" s="23">
        <v>0.0</v>
      </c>
      <c r="E11" s="27"/>
    </row>
    <row r="12">
      <c r="B12" s="29" t="s">
        <v>34</v>
      </c>
      <c r="C12" s="14">
        <f>sum(C13:C14)</f>
        <v>65280</v>
      </c>
    </row>
    <row r="13" outlineLevel="1">
      <c r="B13" s="18" t="s">
        <v>35</v>
      </c>
      <c r="C13" s="20">
        <f>'Offline &amp; RG Community'!E32</f>
        <v>65280</v>
      </c>
    </row>
    <row r="14" outlineLevel="1">
      <c r="B14" s="36" t="s">
        <v>38</v>
      </c>
      <c r="C14" s="23">
        <v>0.0</v>
      </c>
      <c r="E14" s="6"/>
    </row>
    <row r="15">
      <c r="B15" s="29" t="s">
        <v>39</v>
      </c>
      <c r="C15" s="14">
        <f>sum(C16:C17)</f>
        <v>44484</v>
      </c>
      <c r="E15" s="6"/>
    </row>
    <row r="16" outlineLevel="1">
      <c r="B16" s="26" t="s">
        <v>41</v>
      </c>
      <c r="C16" s="20">
        <f>'Offline &amp; RG Community'!F32</f>
        <v>38100</v>
      </c>
      <c r="E16" s="6"/>
    </row>
    <row r="17" outlineLevel="1">
      <c r="B17" s="26" t="s">
        <v>42</v>
      </c>
      <c r="C17" s="23">
        <f>'Social EventsTournaments'!B4</f>
        <v>6384</v>
      </c>
    </row>
    <row r="18">
      <c r="B18" s="29" t="s">
        <v>44</v>
      </c>
      <c r="C18" s="44">
        <f>Academy!C2</f>
        <v>6500</v>
      </c>
      <c r="E18" s="6"/>
    </row>
    <row r="19">
      <c r="B19" s="10" t="s">
        <v>47</v>
      </c>
      <c r="C19" s="44">
        <v>0.0</v>
      </c>
    </row>
    <row r="20" outlineLevel="1">
      <c r="B20" s="18" t="s">
        <v>48</v>
      </c>
      <c r="C20" s="40">
        <v>0.0</v>
      </c>
    </row>
    <row r="21" outlineLevel="1">
      <c r="B21" s="26" t="s">
        <v>49</v>
      </c>
      <c r="C21" s="35">
        <v>0.0</v>
      </c>
    </row>
    <row r="22">
      <c r="B22" s="10" t="s">
        <v>51</v>
      </c>
      <c r="C22" s="14">
        <f>sum(C23:C25)</f>
        <v>8890</v>
      </c>
    </row>
    <row r="23" outlineLevel="1">
      <c r="B23" s="18" t="s">
        <v>52</v>
      </c>
      <c r="C23" s="40">
        <f>'Offline &amp; RG Community'!G32</f>
        <v>8650</v>
      </c>
    </row>
    <row r="24" outlineLevel="1">
      <c r="B24" s="18" t="s">
        <v>53</v>
      </c>
      <c r="C24" s="23">
        <v>0.0</v>
      </c>
    </row>
    <row r="25" outlineLevel="1">
      <c r="B25" s="18" t="s">
        <v>12</v>
      </c>
      <c r="C25" s="40">
        <f>'Offline &amp; RG Community'!H32</f>
        <v>240</v>
      </c>
    </row>
    <row r="26">
      <c r="B26" s="10" t="s">
        <v>54</v>
      </c>
      <c r="C26" s="14">
        <v>0.0</v>
      </c>
    </row>
    <row r="27">
      <c r="B27" s="12" t="s">
        <v>55</v>
      </c>
      <c r="C27" s="48">
        <f>C6+C12+C15+C18+C19+C22+C26</f>
        <v>247691</v>
      </c>
    </row>
    <row r="28">
      <c r="B28" s="54" t="s">
        <v>56</v>
      </c>
      <c r="C28" s="55">
        <f>'Offline &amp; RG Community'!K32+District!F4+'Social EventsTournaments'!D4+Academy!E2</f>
        <v>236003.325</v>
      </c>
    </row>
    <row r="29">
      <c r="B29" s="10" t="s">
        <v>57</v>
      </c>
      <c r="C29" s="14">
        <f>C28/1.18</f>
        <v>200002.8178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6.88"/>
    <col customWidth="1" min="2" max="2" width="9.75"/>
    <col customWidth="1" min="3" max="3" width="18.25"/>
    <col customWidth="1" min="4" max="4" width="13.25"/>
    <col customWidth="1" min="5" max="5" width="15.13"/>
    <col customWidth="1" min="6" max="6" width="17.63"/>
    <col customWidth="1" min="8" max="8" width="5.38"/>
    <col customWidth="1" min="9" max="9" width="12.25"/>
    <col customWidth="1" min="10" max="10" width="15.25"/>
    <col customWidth="1" min="11" max="11" width="11.13"/>
  </cols>
  <sheetData>
    <row r="1">
      <c r="A1" s="4" t="s">
        <v>1</v>
      </c>
      <c r="B1" s="4" t="s">
        <v>3</v>
      </c>
      <c r="C1" s="8" t="s">
        <v>5</v>
      </c>
      <c r="D1" s="4" t="s">
        <v>7</v>
      </c>
      <c r="E1" s="4" t="s">
        <v>8</v>
      </c>
      <c r="F1" s="4" t="s">
        <v>9</v>
      </c>
      <c r="G1" s="4" t="s">
        <v>11</v>
      </c>
      <c r="H1" s="4" t="s">
        <v>12</v>
      </c>
      <c r="I1" s="4" t="s">
        <v>13</v>
      </c>
      <c r="J1" s="11" t="s">
        <v>14</v>
      </c>
      <c r="K1" s="12" t="s">
        <v>16</v>
      </c>
    </row>
    <row r="2">
      <c r="A2" s="13">
        <v>46174.0</v>
      </c>
      <c r="B2" s="15" t="s">
        <v>17</v>
      </c>
      <c r="C2" s="16">
        <v>1.0</v>
      </c>
      <c r="D2" s="17" t="s">
        <v>19</v>
      </c>
      <c r="E2" s="17">
        <v>720.0</v>
      </c>
      <c r="F2" s="17">
        <v>3200.0</v>
      </c>
      <c r="G2" s="17">
        <v>200.0</v>
      </c>
      <c r="H2" s="17">
        <v>105.0</v>
      </c>
      <c r="I2" s="17">
        <f t="shared" ref="I2:I15" si="1">sum(E2:H2)</f>
        <v>4225</v>
      </c>
      <c r="J2" s="31">
        <f t="shared" ref="J2:J31" si="2">I2*1.75%</f>
        <v>73.9375</v>
      </c>
      <c r="K2" s="17">
        <f t="shared" ref="K2:K31" si="3">I2-J2</f>
        <v>4151.0625</v>
      </c>
    </row>
    <row r="3">
      <c r="A3" s="13">
        <v>46175.0</v>
      </c>
      <c r="B3" s="15" t="s">
        <v>36</v>
      </c>
      <c r="C3" s="16">
        <v>0.0</v>
      </c>
      <c r="D3" s="17" t="s">
        <v>19</v>
      </c>
      <c r="E3" s="17">
        <v>0.0</v>
      </c>
      <c r="F3" s="17">
        <v>3800.0</v>
      </c>
      <c r="G3" s="17">
        <v>100.0</v>
      </c>
      <c r="H3" s="17">
        <v>100.0</v>
      </c>
      <c r="I3" s="17">
        <f t="shared" si="1"/>
        <v>4000</v>
      </c>
      <c r="J3" s="31">
        <f t="shared" si="2"/>
        <v>70</v>
      </c>
      <c r="K3" s="17">
        <f t="shared" si="3"/>
        <v>3930</v>
      </c>
    </row>
    <row r="4">
      <c r="A4" s="13">
        <v>46176.0</v>
      </c>
      <c r="B4" s="15" t="s">
        <v>37</v>
      </c>
      <c r="C4" s="37">
        <v>1.0</v>
      </c>
      <c r="D4" s="17" t="s">
        <v>19</v>
      </c>
      <c r="E4" s="17">
        <v>640.0</v>
      </c>
      <c r="F4" s="17">
        <v>2400.0</v>
      </c>
      <c r="G4" s="17">
        <v>250.0</v>
      </c>
      <c r="H4" s="17">
        <v>0.0</v>
      </c>
      <c r="I4" s="17">
        <f t="shared" si="1"/>
        <v>3290</v>
      </c>
      <c r="J4" s="31">
        <f t="shared" si="2"/>
        <v>57.575</v>
      </c>
      <c r="K4" s="17">
        <f t="shared" si="3"/>
        <v>3232.425</v>
      </c>
    </row>
    <row r="5">
      <c r="A5" s="13">
        <v>46177.0</v>
      </c>
      <c r="B5" s="15" t="s">
        <v>40</v>
      </c>
      <c r="C5" s="39">
        <v>1.5</v>
      </c>
      <c r="D5" s="17" t="s">
        <v>19</v>
      </c>
      <c r="E5" s="17">
        <v>1120.0</v>
      </c>
      <c r="F5" s="17">
        <v>3000.0</v>
      </c>
      <c r="G5" s="17">
        <v>450.0</v>
      </c>
      <c r="H5" s="17">
        <v>0.0</v>
      </c>
      <c r="I5" s="17">
        <f t="shared" si="1"/>
        <v>4570</v>
      </c>
      <c r="J5" s="31">
        <f t="shared" si="2"/>
        <v>79.975</v>
      </c>
      <c r="K5" s="17">
        <f t="shared" si="3"/>
        <v>4490.025</v>
      </c>
    </row>
    <row r="6">
      <c r="A6" s="13">
        <v>46178.0</v>
      </c>
      <c r="B6" s="15" t="s">
        <v>43</v>
      </c>
      <c r="C6" s="37">
        <v>3.0</v>
      </c>
      <c r="D6" s="17" t="s">
        <v>19</v>
      </c>
      <c r="E6" s="17">
        <v>4410.0</v>
      </c>
      <c r="F6" s="17">
        <v>0.0</v>
      </c>
      <c r="G6" s="17">
        <v>0.0</v>
      </c>
      <c r="H6" s="17">
        <v>0.0</v>
      </c>
      <c r="I6" s="17">
        <f t="shared" si="1"/>
        <v>4410</v>
      </c>
      <c r="J6" s="31">
        <f t="shared" si="2"/>
        <v>77.175</v>
      </c>
      <c r="K6" s="17">
        <f t="shared" si="3"/>
        <v>4332.825</v>
      </c>
    </row>
    <row r="7">
      <c r="A7" s="13">
        <v>46179.0</v>
      </c>
      <c r="B7" s="15" t="s">
        <v>45</v>
      </c>
      <c r="C7" s="37">
        <v>10.0</v>
      </c>
      <c r="D7" s="17" t="s">
        <v>19</v>
      </c>
      <c r="E7" s="17">
        <v>6400.0</v>
      </c>
      <c r="F7" s="17">
        <v>0.0</v>
      </c>
      <c r="G7" s="43">
        <v>300.0</v>
      </c>
      <c r="H7" s="17">
        <v>0.0</v>
      </c>
      <c r="I7" s="17">
        <f t="shared" si="1"/>
        <v>6700</v>
      </c>
      <c r="J7" s="31">
        <f t="shared" si="2"/>
        <v>117.25</v>
      </c>
      <c r="K7" s="17">
        <f t="shared" si="3"/>
        <v>6582.75</v>
      </c>
    </row>
    <row r="8">
      <c r="A8" s="13">
        <v>46180.0</v>
      </c>
      <c r="B8" s="15" t="s">
        <v>46</v>
      </c>
      <c r="C8" s="39">
        <v>5.5</v>
      </c>
      <c r="D8" s="17" t="s">
        <v>19</v>
      </c>
      <c r="E8" s="17">
        <v>7560.0</v>
      </c>
      <c r="F8" s="17">
        <v>0.0</v>
      </c>
      <c r="G8" s="17">
        <v>0.0</v>
      </c>
      <c r="H8" s="17">
        <v>0.0</v>
      </c>
      <c r="I8" s="17">
        <f t="shared" si="1"/>
        <v>7560</v>
      </c>
      <c r="J8" s="31">
        <f t="shared" si="2"/>
        <v>132.3</v>
      </c>
      <c r="K8" s="17">
        <f t="shared" si="3"/>
        <v>7427.7</v>
      </c>
    </row>
    <row r="9">
      <c r="A9" s="13">
        <v>46181.0</v>
      </c>
      <c r="B9" s="15" t="s">
        <v>17</v>
      </c>
      <c r="C9" s="37">
        <v>0.0</v>
      </c>
      <c r="D9" s="17" t="s">
        <v>19</v>
      </c>
      <c r="E9" s="17">
        <v>0.0</v>
      </c>
      <c r="F9" s="17">
        <v>3000.0</v>
      </c>
      <c r="G9" s="43">
        <v>150.0</v>
      </c>
      <c r="H9" s="17">
        <v>0.0</v>
      </c>
      <c r="I9" s="17">
        <f t="shared" si="1"/>
        <v>3150</v>
      </c>
      <c r="J9" s="31">
        <f t="shared" si="2"/>
        <v>55.125</v>
      </c>
      <c r="K9" s="17">
        <f t="shared" si="3"/>
        <v>3094.875</v>
      </c>
    </row>
    <row r="10">
      <c r="A10" s="13">
        <v>46182.0</v>
      </c>
      <c r="B10" s="15" t="s">
        <v>36</v>
      </c>
      <c r="C10" s="39">
        <v>1.5</v>
      </c>
      <c r="D10" s="17" t="s">
        <v>19</v>
      </c>
      <c r="E10" s="17">
        <v>1080.0</v>
      </c>
      <c r="F10" s="17">
        <v>0.0</v>
      </c>
      <c r="G10" s="17">
        <v>200.0</v>
      </c>
      <c r="H10" s="17">
        <v>0.0</v>
      </c>
      <c r="I10" s="17">
        <f t="shared" si="1"/>
        <v>1280</v>
      </c>
      <c r="J10" s="31">
        <f t="shared" si="2"/>
        <v>22.4</v>
      </c>
      <c r="K10" s="17">
        <f t="shared" si="3"/>
        <v>1257.6</v>
      </c>
    </row>
    <row r="11">
      <c r="A11" s="13">
        <v>46183.0</v>
      </c>
      <c r="B11" s="15" t="s">
        <v>37</v>
      </c>
      <c r="C11" s="39">
        <v>2.5</v>
      </c>
      <c r="D11" s="17" t="s">
        <v>19</v>
      </c>
      <c r="E11" s="17">
        <v>1720.0</v>
      </c>
      <c r="F11" s="17">
        <v>0.0</v>
      </c>
      <c r="G11" s="17">
        <v>50.0</v>
      </c>
      <c r="H11" s="17">
        <v>0.0</v>
      </c>
      <c r="I11" s="17">
        <f t="shared" si="1"/>
        <v>1770</v>
      </c>
      <c r="J11" s="31">
        <f t="shared" si="2"/>
        <v>30.975</v>
      </c>
      <c r="K11" s="17">
        <f t="shared" si="3"/>
        <v>1739.025</v>
      </c>
    </row>
    <row r="12">
      <c r="A12" s="13">
        <v>46184.0</v>
      </c>
      <c r="B12" s="15" t="s">
        <v>40</v>
      </c>
      <c r="C12" s="39">
        <v>0.5</v>
      </c>
      <c r="D12" s="17" t="s">
        <v>19</v>
      </c>
      <c r="E12" s="17">
        <v>360.0</v>
      </c>
      <c r="F12" s="17">
        <v>800.0</v>
      </c>
      <c r="G12" s="17">
        <v>400.0</v>
      </c>
      <c r="H12" s="17">
        <v>0.0</v>
      </c>
      <c r="I12" s="17">
        <f t="shared" si="1"/>
        <v>1560</v>
      </c>
      <c r="J12" s="31">
        <f t="shared" si="2"/>
        <v>27.3</v>
      </c>
      <c r="K12" s="17">
        <f t="shared" si="3"/>
        <v>1532.7</v>
      </c>
    </row>
    <row r="13">
      <c r="A13" s="13">
        <v>46185.0</v>
      </c>
      <c r="B13" s="15" t="s">
        <v>43</v>
      </c>
      <c r="C13" s="51">
        <v>3.0</v>
      </c>
      <c r="D13" s="17" t="s">
        <v>19</v>
      </c>
      <c r="E13" s="17">
        <v>720.0</v>
      </c>
      <c r="F13" s="17">
        <v>2400.0</v>
      </c>
      <c r="G13" s="33">
        <v>700.0</v>
      </c>
      <c r="H13" s="17">
        <v>0.0</v>
      </c>
      <c r="I13" s="17">
        <f t="shared" si="1"/>
        <v>3820</v>
      </c>
      <c r="J13" s="31">
        <f t="shared" si="2"/>
        <v>66.85</v>
      </c>
      <c r="K13" s="17">
        <f t="shared" si="3"/>
        <v>3753.15</v>
      </c>
    </row>
    <row r="14">
      <c r="A14" s="13">
        <v>46186.0</v>
      </c>
      <c r="B14" s="15" t="s">
        <v>45</v>
      </c>
      <c r="C14" s="39">
        <v>3.5</v>
      </c>
      <c r="D14" s="17" t="s">
        <v>19</v>
      </c>
      <c r="E14" s="17">
        <v>2400.0</v>
      </c>
      <c r="F14" s="17">
        <v>3200.0</v>
      </c>
      <c r="G14" s="17">
        <v>650.0</v>
      </c>
      <c r="H14" s="17">
        <v>35.0</v>
      </c>
      <c r="I14" s="17">
        <f t="shared" si="1"/>
        <v>6285</v>
      </c>
      <c r="J14" s="31">
        <f t="shared" si="2"/>
        <v>109.9875</v>
      </c>
      <c r="K14" s="17">
        <f t="shared" si="3"/>
        <v>6175.0125</v>
      </c>
    </row>
    <row r="15">
      <c r="A15" s="13">
        <v>46187.0</v>
      </c>
      <c r="B15" s="15" t="s">
        <v>46</v>
      </c>
      <c r="C15" s="39">
        <v>3.5</v>
      </c>
      <c r="D15" s="17" t="s">
        <v>19</v>
      </c>
      <c r="E15" s="17">
        <v>2480.0</v>
      </c>
      <c r="F15" s="17">
        <v>0.0</v>
      </c>
      <c r="G15" s="17">
        <v>650.0</v>
      </c>
      <c r="H15" s="17">
        <v>0.0</v>
      </c>
      <c r="I15" s="17">
        <f t="shared" si="1"/>
        <v>3130</v>
      </c>
      <c r="J15" s="31">
        <f t="shared" si="2"/>
        <v>54.775</v>
      </c>
      <c r="K15" s="17">
        <f t="shared" si="3"/>
        <v>3075.225</v>
      </c>
    </row>
    <row r="16">
      <c r="A16" s="13">
        <v>46188.0</v>
      </c>
      <c r="B16" s="15" t="s">
        <v>17</v>
      </c>
      <c r="C16" s="37">
        <v>4.0</v>
      </c>
      <c r="D16" s="17" t="s">
        <v>19</v>
      </c>
      <c r="E16" s="17">
        <v>2880.0</v>
      </c>
      <c r="F16" s="17">
        <v>800.0</v>
      </c>
      <c r="G16" s="17">
        <v>200.0</v>
      </c>
      <c r="H16" s="17">
        <v>0.0</v>
      </c>
      <c r="I16" s="17">
        <f t="shared" ref="I16:I21" si="4">SUM(E16:H16)</f>
        <v>3880</v>
      </c>
      <c r="J16" s="31">
        <f t="shared" si="2"/>
        <v>67.9</v>
      </c>
      <c r="K16" s="17">
        <f t="shared" si="3"/>
        <v>3812.1</v>
      </c>
    </row>
    <row r="17">
      <c r="A17" s="13">
        <v>46189.0</v>
      </c>
      <c r="B17" s="15" t="s">
        <v>36</v>
      </c>
      <c r="C17" s="37">
        <v>6.0</v>
      </c>
      <c r="D17" s="17" t="s">
        <v>19</v>
      </c>
      <c r="E17" s="33">
        <v>5030.0</v>
      </c>
      <c r="F17" s="17">
        <v>600.0</v>
      </c>
      <c r="G17" s="17">
        <v>200.0</v>
      </c>
      <c r="H17" s="17">
        <v>0.0</v>
      </c>
      <c r="I17" s="17">
        <f t="shared" si="4"/>
        <v>5830</v>
      </c>
      <c r="J17" s="31">
        <f t="shared" si="2"/>
        <v>102.025</v>
      </c>
      <c r="K17" s="17">
        <f t="shared" si="3"/>
        <v>5727.975</v>
      </c>
    </row>
    <row r="18">
      <c r="A18" s="13">
        <v>46190.0</v>
      </c>
      <c r="B18" s="15" t="s">
        <v>37</v>
      </c>
      <c r="C18" s="39">
        <v>5.5</v>
      </c>
      <c r="D18" s="17" t="s">
        <v>19</v>
      </c>
      <c r="E18" s="17">
        <v>3800.0</v>
      </c>
      <c r="F18" s="17">
        <v>1600.0</v>
      </c>
      <c r="G18" s="17">
        <v>150.0</v>
      </c>
      <c r="H18" s="17">
        <v>0.0</v>
      </c>
      <c r="I18" s="17">
        <f t="shared" si="4"/>
        <v>5550</v>
      </c>
      <c r="J18" s="31">
        <f t="shared" si="2"/>
        <v>97.125</v>
      </c>
      <c r="K18" s="17">
        <f t="shared" si="3"/>
        <v>5452.875</v>
      </c>
    </row>
    <row r="19">
      <c r="A19" s="13">
        <v>46191.0</v>
      </c>
      <c r="B19" s="15" t="s">
        <v>40</v>
      </c>
      <c r="C19" s="37">
        <v>5.0</v>
      </c>
      <c r="D19" s="17" t="s">
        <v>19</v>
      </c>
      <c r="E19" s="17">
        <v>3520.0</v>
      </c>
      <c r="F19" s="17">
        <v>2400.0</v>
      </c>
      <c r="G19" s="17">
        <v>550.0</v>
      </c>
      <c r="H19" s="17">
        <v>0.0</v>
      </c>
      <c r="I19" s="17">
        <f t="shared" si="4"/>
        <v>6470</v>
      </c>
      <c r="J19" s="31">
        <f t="shared" si="2"/>
        <v>113.225</v>
      </c>
      <c r="K19" s="17">
        <f t="shared" si="3"/>
        <v>6356.775</v>
      </c>
    </row>
    <row r="20">
      <c r="A20" s="13">
        <v>46192.0</v>
      </c>
      <c r="B20" s="15" t="s">
        <v>43</v>
      </c>
      <c r="C20" s="39">
        <v>1.5</v>
      </c>
      <c r="D20" s="17" t="s">
        <v>19</v>
      </c>
      <c r="E20" s="17">
        <v>1080.0</v>
      </c>
      <c r="F20" s="17">
        <v>1400.0</v>
      </c>
      <c r="G20" s="17">
        <v>250.0</v>
      </c>
      <c r="H20" s="17">
        <v>0.0</v>
      </c>
      <c r="I20" s="17">
        <f t="shared" si="4"/>
        <v>2730</v>
      </c>
      <c r="J20" s="31">
        <f t="shared" si="2"/>
        <v>47.775</v>
      </c>
      <c r="K20" s="17">
        <f t="shared" si="3"/>
        <v>2682.225</v>
      </c>
    </row>
    <row r="21">
      <c r="A21" s="13">
        <v>46193.0</v>
      </c>
      <c r="B21" s="15" t="s">
        <v>45</v>
      </c>
      <c r="C21" s="37">
        <v>1.0</v>
      </c>
      <c r="D21" s="17" t="s">
        <v>19</v>
      </c>
      <c r="E21" s="17">
        <v>720.0</v>
      </c>
      <c r="F21" s="17">
        <v>0.0</v>
      </c>
      <c r="G21" s="17">
        <v>100.0</v>
      </c>
      <c r="H21" s="17">
        <v>0.0</v>
      </c>
      <c r="I21" s="17">
        <f t="shared" si="4"/>
        <v>820</v>
      </c>
      <c r="J21" s="31">
        <f t="shared" si="2"/>
        <v>14.35</v>
      </c>
      <c r="K21" s="17">
        <f t="shared" si="3"/>
        <v>805.65</v>
      </c>
    </row>
    <row r="22">
      <c r="A22" s="13">
        <v>46194.0</v>
      </c>
      <c r="B22" s="15" t="s">
        <v>46</v>
      </c>
      <c r="C22" s="57">
        <v>2.0</v>
      </c>
      <c r="D22" s="17" t="s">
        <v>19</v>
      </c>
      <c r="E22" s="33">
        <v>1860.0</v>
      </c>
      <c r="F22" s="33">
        <v>2200.0</v>
      </c>
      <c r="G22" s="17">
        <v>450.0</v>
      </c>
      <c r="H22" s="17">
        <v>0.0</v>
      </c>
      <c r="I22" s="17">
        <f>sum(E22:H22)</f>
        <v>4510</v>
      </c>
      <c r="J22" s="31">
        <f t="shared" si="2"/>
        <v>78.925</v>
      </c>
      <c r="K22" s="17">
        <f t="shared" si="3"/>
        <v>4431.075</v>
      </c>
    </row>
    <row r="23">
      <c r="A23" s="13">
        <v>46195.0</v>
      </c>
      <c r="B23" s="15" t="s">
        <v>17</v>
      </c>
      <c r="C23" s="39">
        <v>0.0</v>
      </c>
      <c r="D23" s="17" t="s">
        <v>19</v>
      </c>
      <c r="E23" s="17">
        <v>0.0</v>
      </c>
      <c r="F23" s="17">
        <v>1400.0</v>
      </c>
      <c r="G23" s="17">
        <v>200.0</v>
      </c>
      <c r="H23" s="17">
        <v>0.0</v>
      </c>
      <c r="I23" s="17">
        <f t="shared" ref="I23:I31" si="5">SUM(E23:H23)</f>
        <v>1600</v>
      </c>
      <c r="J23" s="31">
        <f t="shared" si="2"/>
        <v>28</v>
      </c>
      <c r="K23" s="17">
        <f t="shared" si="3"/>
        <v>1572</v>
      </c>
    </row>
    <row r="24">
      <c r="A24" s="13">
        <v>46196.0</v>
      </c>
      <c r="B24" s="15" t="s">
        <v>36</v>
      </c>
      <c r="C24" s="39">
        <v>2.5</v>
      </c>
      <c r="D24" s="17" t="s">
        <v>19</v>
      </c>
      <c r="E24" s="17">
        <v>1740.0</v>
      </c>
      <c r="F24" s="17">
        <v>0.0</v>
      </c>
      <c r="G24" s="33">
        <v>350.0</v>
      </c>
      <c r="H24" s="17">
        <v>0.0</v>
      </c>
      <c r="I24" s="17">
        <f t="shared" si="5"/>
        <v>2090</v>
      </c>
      <c r="J24" s="31">
        <f t="shared" si="2"/>
        <v>36.575</v>
      </c>
      <c r="K24" s="17">
        <f t="shared" si="3"/>
        <v>2053.425</v>
      </c>
    </row>
    <row r="25">
      <c r="A25" s="13">
        <v>46197.0</v>
      </c>
      <c r="B25" s="15" t="s">
        <v>37</v>
      </c>
      <c r="C25" s="39">
        <v>0.0</v>
      </c>
      <c r="D25" s="17" t="s">
        <v>19</v>
      </c>
      <c r="E25" s="17">
        <v>0.0</v>
      </c>
      <c r="F25" s="17">
        <v>0.0</v>
      </c>
      <c r="G25" s="17">
        <v>100.0</v>
      </c>
      <c r="H25" s="17">
        <v>0.0</v>
      </c>
      <c r="I25" s="17">
        <f t="shared" si="5"/>
        <v>100</v>
      </c>
      <c r="J25" s="31">
        <f t="shared" si="2"/>
        <v>1.75</v>
      </c>
      <c r="K25" s="17">
        <f t="shared" si="3"/>
        <v>98.25</v>
      </c>
    </row>
    <row r="26">
      <c r="A26" s="13">
        <v>46198.0</v>
      </c>
      <c r="B26" s="15" t="s">
        <v>40</v>
      </c>
      <c r="C26" s="39">
        <v>3.5</v>
      </c>
      <c r="D26" s="17" t="s">
        <v>19</v>
      </c>
      <c r="E26" s="17">
        <v>2440.0</v>
      </c>
      <c r="F26" s="17">
        <v>1400.0</v>
      </c>
      <c r="G26" s="17">
        <v>350.0</v>
      </c>
      <c r="H26" s="17">
        <v>0.0</v>
      </c>
      <c r="I26" s="17">
        <f t="shared" si="5"/>
        <v>4190</v>
      </c>
      <c r="J26" s="31">
        <f t="shared" si="2"/>
        <v>73.325</v>
      </c>
      <c r="K26" s="17">
        <f t="shared" si="3"/>
        <v>4116.675</v>
      </c>
    </row>
    <row r="27">
      <c r="A27" s="13">
        <v>46199.0</v>
      </c>
      <c r="B27" s="15" t="s">
        <v>43</v>
      </c>
      <c r="C27" s="39">
        <v>2.5</v>
      </c>
      <c r="D27" s="17" t="s">
        <v>19</v>
      </c>
      <c r="E27" s="17">
        <v>1680.0</v>
      </c>
      <c r="F27" s="33">
        <v>700.0</v>
      </c>
      <c r="G27" s="17">
        <v>100.0</v>
      </c>
      <c r="H27" s="17">
        <v>0.0</v>
      </c>
      <c r="I27" s="17">
        <f t="shared" si="5"/>
        <v>2480</v>
      </c>
      <c r="J27" s="31">
        <f t="shared" si="2"/>
        <v>43.4</v>
      </c>
      <c r="K27" s="17">
        <f t="shared" si="3"/>
        <v>2436.6</v>
      </c>
      <c r="N27" s="58">
        <v>5.5</v>
      </c>
      <c r="O27" s="58">
        <v>1.5</v>
      </c>
    </row>
    <row r="28">
      <c r="A28" s="13">
        <v>46200.0</v>
      </c>
      <c r="B28" s="15" t="s">
        <v>45</v>
      </c>
      <c r="C28" s="39">
        <v>6.5</v>
      </c>
      <c r="D28" s="17" t="s">
        <v>19</v>
      </c>
      <c r="E28" s="17">
        <v>4060.0</v>
      </c>
      <c r="F28" s="17">
        <v>0.0</v>
      </c>
      <c r="G28" s="17">
        <v>350.0</v>
      </c>
      <c r="H28" s="17">
        <v>0.0</v>
      </c>
      <c r="I28" s="17">
        <f t="shared" si="5"/>
        <v>4410</v>
      </c>
      <c r="J28" s="31">
        <f t="shared" si="2"/>
        <v>77.175</v>
      </c>
      <c r="K28" s="17">
        <f t="shared" si="3"/>
        <v>4332.825</v>
      </c>
      <c r="M28" s="58">
        <v>3200.0</v>
      </c>
    </row>
    <row r="29">
      <c r="A29" s="13">
        <v>46201.0</v>
      </c>
      <c r="B29" s="15" t="s">
        <v>46</v>
      </c>
      <c r="C29" s="39">
        <v>5.5</v>
      </c>
      <c r="D29" s="17" t="s">
        <v>19</v>
      </c>
      <c r="E29" s="17">
        <v>3200.0</v>
      </c>
      <c r="F29" s="17">
        <v>2400.0</v>
      </c>
      <c r="G29" s="17">
        <v>800.0</v>
      </c>
      <c r="H29" s="17">
        <v>0.0</v>
      </c>
      <c r="I29" s="17">
        <f t="shared" si="5"/>
        <v>6400</v>
      </c>
      <c r="J29" s="31">
        <f t="shared" si="2"/>
        <v>112</v>
      </c>
      <c r="K29" s="17">
        <f t="shared" si="3"/>
        <v>6288</v>
      </c>
      <c r="M29" s="58">
        <v>2400.0</v>
      </c>
    </row>
    <row r="30">
      <c r="A30" s="13">
        <v>46202.0</v>
      </c>
      <c r="B30" s="15" t="s">
        <v>17</v>
      </c>
      <c r="C30" s="51">
        <v>3.0</v>
      </c>
      <c r="D30" s="17" t="s">
        <v>19</v>
      </c>
      <c r="E30" s="33">
        <v>1660.0</v>
      </c>
      <c r="F30" s="17">
        <v>600.0</v>
      </c>
      <c r="G30" s="33">
        <v>400.0</v>
      </c>
      <c r="H30" s="17">
        <v>0.0</v>
      </c>
      <c r="I30" s="17">
        <f t="shared" si="5"/>
        <v>2660</v>
      </c>
      <c r="J30" s="31">
        <f t="shared" si="2"/>
        <v>46.55</v>
      </c>
      <c r="K30" s="17">
        <f t="shared" si="3"/>
        <v>2613.45</v>
      </c>
      <c r="M30" s="58">
        <v>400.0</v>
      </c>
    </row>
    <row r="31">
      <c r="A31" s="13">
        <v>46203.0</v>
      </c>
      <c r="B31" s="15" t="s">
        <v>36</v>
      </c>
      <c r="C31" s="16">
        <v>3.0</v>
      </c>
      <c r="D31" s="17" t="s">
        <v>19</v>
      </c>
      <c r="E31" s="59">
        <v>2000.0</v>
      </c>
      <c r="F31" s="59">
        <v>800.0</v>
      </c>
      <c r="G31" s="59">
        <v>0.0</v>
      </c>
      <c r="H31" s="59">
        <v>0.0</v>
      </c>
      <c r="I31" s="17">
        <f t="shared" si="5"/>
        <v>2800</v>
      </c>
      <c r="J31" s="31">
        <f t="shared" si="2"/>
        <v>49</v>
      </c>
      <c r="K31" s="17">
        <f t="shared" si="3"/>
        <v>2751</v>
      </c>
      <c r="L31" s="60"/>
      <c r="M31" s="61"/>
      <c r="N31" s="60"/>
      <c r="O31" s="60"/>
      <c r="P31" s="60"/>
      <c r="Q31" s="60"/>
      <c r="R31" s="60"/>
      <c r="S31" s="60"/>
      <c r="T31" s="60"/>
      <c r="U31" s="60"/>
    </row>
    <row r="32">
      <c r="A32" s="46" t="s">
        <v>50</v>
      </c>
      <c r="B32" s="49"/>
      <c r="C32" s="62">
        <f>SUM(C1:C31)</f>
        <v>88</v>
      </c>
      <c r="D32" s="49"/>
      <c r="E32" s="48">
        <f t="shared" ref="E32:K32" si="6">SUM(E1:E31)</f>
        <v>65280</v>
      </c>
      <c r="F32" s="48">
        <f t="shared" si="6"/>
        <v>38100</v>
      </c>
      <c r="G32" s="48">
        <f t="shared" si="6"/>
        <v>8650</v>
      </c>
      <c r="H32" s="48">
        <f t="shared" si="6"/>
        <v>240</v>
      </c>
      <c r="I32" s="48">
        <f t="shared" si="6"/>
        <v>112270</v>
      </c>
      <c r="J32" s="48">
        <f t="shared" si="6"/>
        <v>1964.725</v>
      </c>
      <c r="K32" s="48">
        <f t="shared" si="6"/>
        <v>110305.275</v>
      </c>
      <c r="L32" s="60"/>
      <c r="M32" s="60"/>
      <c r="N32" s="60"/>
      <c r="O32" s="60"/>
      <c r="P32" s="60"/>
      <c r="Q32" s="60"/>
      <c r="R32" s="60"/>
      <c r="S32" s="60"/>
      <c r="T32" s="60"/>
      <c r="U32" s="60"/>
    </row>
    <row r="33">
      <c r="M33" s="1">
        <v>300.0</v>
      </c>
    </row>
    <row r="35">
      <c r="M35" s="58">
        <v>5.0</v>
      </c>
      <c r="N35" s="58">
        <v>3.0</v>
      </c>
    </row>
    <row r="36">
      <c r="M36" s="58">
        <v>1.5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75"/>
    <col customWidth="1" min="4" max="4" width="14.38"/>
    <col customWidth="1" min="5" max="5" width="16.0"/>
    <col customWidth="1" min="6" max="6" width="11.13"/>
    <col customWidth="1" min="7" max="8" width="6.88"/>
    <col customWidth="1" min="9" max="9" width="14.13"/>
  </cols>
  <sheetData>
    <row r="1">
      <c r="A1" s="19" t="s">
        <v>15</v>
      </c>
      <c r="B1" s="4" t="s">
        <v>1</v>
      </c>
      <c r="C1" s="4" t="s">
        <v>21</v>
      </c>
      <c r="D1" s="4" t="s">
        <v>22</v>
      </c>
      <c r="E1" s="22" t="s">
        <v>24</v>
      </c>
      <c r="F1" s="4" t="s">
        <v>16</v>
      </c>
      <c r="G1" s="24" t="s">
        <v>26</v>
      </c>
      <c r="H1" s="24" t="s">
        <v>29</v>
      </c>
      <c r="I1" s="4" t="s">
        <v>30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30"/>
      <c r="B2" s="32" t="s">
        <v>0</v>
      </c>
      <c r="C2" s="33">
        <v>122537.0</v>
      </c>
      <c r="D2" s="33">
        <v>7807.0</v>
      </c>
      <c r="E2" s="33">
        <v>1405.0</v>
      </c>
      <c r="F2" s="17">
        <f>C2-D2-E2</f>
        <v>113325</v>
      </c>
      <c r="G2" s="33">
        <v>613.0</v>
      </c>
      <c r="H2" s="33">
        <v>122.0</v>
      </c>
      <c r="I2" s="33">
        <f>F2-G2-H2</f>
        <v>112590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0"/>
      <c r="B3" s="42"/>
      <c r="C3" s="42"/>
      <c r="D3" s="42"/>
      <c r="E3" s="42"/>
      <c r="F3" s="17"/>
      <c r="G3" s="42"/>
      <c r="H3" s="42"/>
      <c r="I3" s="4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0"/>
      <c r="B4" s="46" t="s">
        <v>50</v>
      </c>
      <c r="C4" s="48">
        <f>SUM(C2:C3)</f>
        <v>122537</v>
      </c>
      <c r="D4" s="49"/>
      <c r="E4" s="49"/>
      <c r="F4" s="48">
        <f>SUM(F2:F3)</f>
        <v>113325</v>
      </c>
      <c r="G4" s="49"/>
      <c r="H4" s="49"/>
      <c r="I4" s="48">
        <f>SUM(I2:I3)</f>
        <v>112590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5.25"/>
    <col customWidth="1" min="6" max="6" width="14.13"/>
  </cols>
  <sheetData>
    <row r="1">
      <c r="A1" s="21" t="s">
        <v>1</v>
      </c>
      <c r="B1" s="25" t="s">
        <v>25</v>
      </c>
      <c r="C1" s="28" t="s">
        <v>31</v>
      </c>
      <c r="D1" s="25" t="s">
        <v>16</v>
      </c>
      <c r="E1" s="25" t="s">
        <v>33</v>
      </c>
      <c r="F1" s="25" t="s">
        <v>30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34">
        <v>46193.0</v>
      </c>
      <c r="B2" s="35">
        <v>6384.0</v>
      </c>
      <c r="C2" s="38">
        <f>B2*5%</f>
        <v>319.2</v>
      </c>
      <c r="D2" s="40">
        <f>B2-C2</f>
        <v>6064.8</v>
      </c>
      <c r="E2" s="41">
        <f>B2*2%</f>
        <v>127.68</v>
      </c>
      <c r="F2" s="40">
        <f>D2-E2</f>
        <v>5937.12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47"/>
      <c r="B3" s="40"/>
      <c r="C3" s="38"/>
      <c r="D3" s="40"/>
      <c r="E3" s="41"/>
      <c r="F3" s="40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50" t="s">
        <v>50</v>
      </c>
      <c r="B4" s="52">
        <f>SUM(B2:B3)</f>
        <v>6384</v>
      </c>
      <c r="C4" s="53"/>
      <c r="D4" s="52">
        <f>SUM(D2:D3)</f>
        <v>6064.8</v>
      </c>
      <c r="E4" s="7"/>
      <c r="F4" s="52">
        <f>SUM(F2:F3)</f>
        <v>5937.12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56"/>
      <c r="B5" s="6"/>
      <c r="C5" s="30"/>
      <c r="D5" s="30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5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5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4" max="4" width="15.25"/>
  </cols>
  <sheetData>
    <row r="1">
      <c r="A1" s="63" t="s">
        <v>58</v>
      </c>
      <c r="B1" s="63" t="s">
        <v>59</v>
      </c>
      <c r="C1" s="63" t="s">
        <v>25</v>
      </c>
      <c r="D1" s="11" t="s">
        <v>14</v>
      </c>
      <c r="E1" s="12" t="s">
        <v>16</v>
      </c>
    </row>
    <row r="2">
      <c r="A2" s="64" t="s">
        <v>6</v>
      </c>
      <c r="B2" s="64" t="s">
        <v>60</v>
      </c>
      <c r="C2" s="65">
        <v>6500.0</v>
      </c>
      <c r="D2" s="17">
        <f>C2*2.5%*1.18</f>
        <v>191.75</v>
      </c>
      <c r="E2" s="17">
        <f>C2-D2</f>
        <v>6308.25</v>
      </c>
    </row>
  </sheetData>
  <drawing r:id="rId1"/>
</worksheet>
</file>