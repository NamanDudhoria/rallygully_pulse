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Khelomore" sheetId="5" r:id="rId9"/>
    <sheet state="visible" name="Other Income" sheetId="6" r:id="rId10"/>
  </sheets>
  <definedNames/>
  <calcPr/>
</workbook>
</file>

<file path=xl/sharedStrings.xml><?xml version="1.0" encoding="utf-8"?>
<sst xmlns="http://schemas.openxmlformats.org/spreadsheetml/2006/main" count="162" uniqueCount="96">
  <si>
    <t>Date: 1 - 31 Mar</t>
  </si>
  <si>
    <t>Particulars</t>
  </si>
  <si>
    <t>Amount</t>
  </si>
  <si>
    <t>Offline</t>
  </si>
  <si>
    <t>Rentals</t>
  </si>
  <si>
    <t>F&amp;B</t>
  </si>
  <si>
    <t>Product Sales</t>
  </si>
  <si>
    <t>Bookings</t>
  </si>
  <si>
    <t>Online: Third Party Platform</t>
  </si>
  <si>
    <t>Hudle</t>
  </si>
  <si>
    <t>Playo</t>
  </si>
  <si>
    <t>District</t>
  </si>
  <si>
    <t>Khelomore</t>
  </si>
  <si>
    <t>Zplys</t>
  </si>
  <si>
    <t>Community</t>
  </si>
  <si>
    <t>Courtly (Organized by RallyGully)</t>
  </si>
  <si>
    <t>Sportomic (Organized by RallyGully)</t>
  </si>
  <si>
    <t xml:space="preserve">Rallygully Community games </t>
  </si>
  <si>
    <t>Misfits Community</t>
  </si>
  <si>
    <t>Memberships</t>
  </si>
  <si>
    <t>Coaching</t>
  </si>
  <si>
    <t>Corporate Events</t>
  </si>
  <si>
    <t>Brand Activation</t>
  </si>
  <si>
    <t>Other Income</t>
  </si>
  <si>
    <t>Total Gross Revenue</t>
  </si>
  <si>
    <t>Total Net Revenue (Post Commissions)</t>
  </si>
  <si>
    <t>Total Revenue post GST</t>
  </si>
  <si>
    <t>Date</t>
  </si>
  <si>
    <t>Day</t>
  </si>
  <si>
    <t>Offline booking hours</t>
  </si>
  <si>
    <t>Discount Given</t>
  </si>
  <si>
    <t>Booking Revenue</t>
  </si>
  <si>
    <t>Community Revenue</t>
  </si>
  <si>
    <t xml:space="preserve">Paddle Rental </t>
  </si>
  <si>
    <t>Total Revenue</t>
  </si>
  <si>
    <t>1 Mar</t>
  </si>
  <si>
    <t>Sunday</t>
  </si>
  <si>
    <t>20% and 25%</t>
  </si>
  <si>
    <t>2 Mar</t>
  </si>
  <si>
    <t>Monday</t>
  </si>
  <si>
    <t>3 Mar</t>
  </si>
  <si>
    <t>Tuesday</t>
  </si>
  <si>
    <t>4 Mar</t>
  </si>
  <si>
    <t>Wednesday</t>
  </si>
  <si>
    <t>5 Mar</t>
  </si>
  <si>
    <t>Thursday</t>
  </si>
  <si>
    <t>6 Mar</t>
  </si>
  <si>
    <t>Friday</t>
  </si>
  <si>
    <t>7 Mar</t>
  </si>
  <si>
    <t>Saturday</t>
  </si>
  <si>
    <t>8 Mar</t>
  </si>
  <si>
    <t>9 Mar</t>
  </si>
  <si>
    <t>10 Mar</t>
  </si>
  <si>
    <t>11 Mar</t>
  </si>
  <si>
    <t>12 Mar</t>
  </si>
  <si>
    <t>13 Mar</t>
  </si>
  <si>
    <t>14 Mar</t>
  </si>
  <si>
    <t>15 Mar</t>
  </si>
  <si>
    <t>16 Mar</t>
  </si>
  <si>
    <t>17 Mar</t>
  </si>
  <si>
    <t>18 Mar</t>
  </si>
  <si>
    <t>19 Mar</t>
  </si>
  <si>
    <t>20 Mar</t>
  </si>
  <si>
    <t>21 Mar</t>
  </si>
  <si>
    <t>22 Mar</t>
  </si>
  <si>
    <t>23 Mar</t>
  </si>
  <si>
    <t>24 Mar</t>
  </si>
  <si>
    <t>25 Mar</t>
  </si>
  <si>
    <t>26 Mar</t>
  </si>
  <si>
    <t>27 Mar</t>
  </si>
  <si>
    <t>28 Mar</t>
  </si>
  <si>
    <t>29 Mar</t>
  </si>
  <si>
    <t>30 Mar</t>
  </si>
  <si>
    <t>31 Mar</t>
  </si>
  <si>
    <t>Total</t>
  </si>
  <si>
    <t>Link</t>
  </si>
  <si>
    <t>Paid to Hudle</t>
  </si>
  <si>
    <t>Commisions (Including GST)</t>
  </si>
  <si>
    <t>Net Revenue</t>
  </si>
  <si>
    <t>TDS</t>
  </si>
  <si>
    <t>TCS</t>
  </si>
  <si>
    <t>1 - 23 Mar</t>
  </si>
  <si>
    <t>23 - 31 Mar</t>
  </si>
  <si>
    <t>Paid to Playo (₹)</t>
  </si>
  <si>
    <t>Commissions (₹)</t>
  </si>
  <si>
    <t>GST (₹)</t>
  </si>
  <si>
    <t>TDS (₹)</t>
  </si>
  <si>
    <t>TCS (₹)</t>
  </si>
  <si>
    <t>Final Amount (₹)</t>
  </si>
  <si>
    <t>1 - 31 Mar</t>
  </si>
  <si>
    <t>Paid to Khelomore (₹)</t>
  </si>
  <si>
    <t>Month</t>
  </si>
  <si>
    <t>Sports Type</t>
  </si>
  <si>
    <t>Amount Collected</t>
  </si>
  <si>
    <t>Mar</t>
  </si>
  <si>
    <t>Padel Operations &amp; Management Fees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</si>
</sst>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&gt;9999999][$₹]##\,##\,##\,##0;[&gt;99999][$₹]##\,##\,##0;[$₹]##,##0"/>
    <numFmt numFmtId="165" formatCode="[$₹]#,##0.00"/>
    <numFmt numFmtId="166" formatCode="[&gt;9999999][$₹]##\,##\,##\,##0.00;[&gt;99999][$₹]##\,##\,##0.00;[$₹]##,##0.00"/>
    <numFmt numFmtId="167" formatCode="d mmm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b/>
      <sz val="11.0"/>
      <color theme="1"/>
      <name val="Calibri"/>
    </font>
    <font>
      <sz val="10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3" fillId="0" fontId="2" numFmtId="0" xfId="0" applyAlignment="1" applyBorder="1" applyFont="1">
      <alignment vertical="bottom"/>
    </xf>
    <xf borderId="3" fillId="0" fontId="2" numFmtId="164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vertical="bottom"/>
    </xf>
    <xf borderId="3" fillId="0" fontId="4" numFmtId="164" xfId="0" applyAlignment="1" applyBorder="1" applyFont="1" applyNumberFormat="1">
      <alignment horizontal="right" vertical="bottom"/>
    </xf>
    <xf borderId="3" fillId="0" fontId="4" numFmtId="164" xfId="0" applyAlignment="1" applyBorder="1" applyFont="1" applyNumberFormat="1">
      <alignment horizontal="right" readingOrder="0" vertical="bottom"/>
    </xf>
    <xf borderId="3" fillId="0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0" fontId="4" numFmtId="165" xfId="0" applyAlignment="1" applyBorder="1" applyFont="1" applyNumberFormat="1">
      <alignment readingOrder="0" vertical="bottom"/>
    </xf>
    <xf borderId="3" fillId="0" fontId="2" numFmtId="0" xfId="0" applyAlignment="1" applyBorder="1" applyFont="1">
      <alignment readingOrder="0" vertical="bottom"/>
    </xf>
    <xf borderId="3" fillId="0" fontId="2" numFmtId="164" xfId="0" applyAlignment="1" applyBorder="1" applyFont="1" applyNumberFormat="1">
      <alignment horizontal="right" readingOrder="0" vertical="bottom"/>
    </xf>
    <xf borderId="3" fillId="0" fontId="1" numFmtId="164" xfId="0" applyAlignment="1" applyBorder="1" applyFont="1" applyNumberFormat="1">
      <alignment horizontal="right" readingOrder="0"/>
    </xf>
    <xf borderId="4" fillId="0" fontId="2" numFmtId="0" xfId="0" applyAlignment="1" applyBorder="1" applyFont="1">
      <alignment vertical="bottom"/>
    </xf>
    <xf borderId="4" fillId="0" fontId="4" numFmtId="164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shrinkToFit="0" vertical="bottom" wrapText="1"/>
    </xf>
    <xf borderId="3" fillId="0" fontId="2" numFmtId="165" xfId="0" applyAlignment="1" applyBorder="1" applyFont="1" applyNumberFormat="1">
      <alignment horizontal="right" readingOrder="0" vertical="bottom"/>
    </xf>
    <xf borderId="3" fillId="2" fontId="2" numFmtId="49" xfId="0" applyAlignment="1" applyBorder="1" applyFill="1" applyFont="1" applyNumberFormat="1">
      <alignment horizontal="center" vertical="bottom"/>
    </xf>
    <xf borderId="3" fillId="2" fontId="2" numFmtId="4" xfId="0" applyAlignment="1" applyBorder="1" applyFill="1" applyFont="1" applyNumberFormat="1">
      <alignment horizontal="center" vertical="bottom"/>
    </xf>
    <xf borderId="3" fillId="3" fontId="4" numFmtId="49" xfId="0" applyAlignment="1" applyBorder="1" applyFill="1" applyFont="1" applyNumberFormat="1">
      <alignment horizontal="right" vertical="bottom"/>
    </xf>
    <xf borderId="3" fillId="3" fontId="4" numFmtId="49" xfId="0" applyAlignment="1" applyBorder="1" applyFill="1" applyFont="1" applyNumberFormat="1">
      <alignment vertical="bottom"/>
    </xf>
    <xf borderId="3" fillId="0" fontId="4" numFmtId="4" xfId="0" applyAlignment="1" applyBorder="1" applyFont="1" applyNumberFormat="1">
      <alignment readingOrder="0" vertical="bottom"/>
    </xf>
    <xf borderId="3" fillId="0" fontId="4" numFmtId="0" xfId="0" applyAlignment="1" applyBorder="1" applyFont="1">
      <alignment horizontal="right" readingOrder="0" vertical="bottom"/>
    </xf>
    <xf borderId="3" fillId="0" fontId="4" numFmtId="165" xfId="0" applyAlignment="1" applyBorder="1" applyFont="1" applyNumberFormat="1">
      <alignment horizontal="right" vertical="bottom"/>
    </xf>
    <xf borderId="3" fillId="0" fontId="4" numFmtId="4" xfId="0" applyAlignment="1" applyBorder="1" applyFont="1" applyNumberFormat="1">
      <alignment horizontal="right" readingOrder="0" vertical="bottom"/>
    </xf>
    <xf borderId="3" fillId="0" fontId="4" numFmtId="165" xfId="0" applyAlignment="1" applyBorder="1" applyFont="1" applyNumberFormat="1">
      <alignment horizontal="right" readingOrder="0" vertical="bottom"/>
    </xf>
    <xf borderId="3" fillId="0" fontId="4" numFmtId="4" xfId="0" applyAlignment="1" applyBorder="1" applyFont="1" applyNumberFormat="1">
      <alignment horizontal="right" vertical="bottom"/>
    </xf>
    <xf borderId="3" fillId="0" fontId="4" numFmtId="4" xfId="0" applyAlignment="1" applyBorder="1" applyFont="1" applyNumberFormat="1">
      <alignment vertical="bottom"/>
    </xf>
    <xf borderId="3" fillId="0" fontId="4" numFmtId="165" xfId="0" applyAlignment="1" applyBorder="1" applyFont="1" applyNumberFormat="1">
      <alignment vertical="bottom"/>
    </xf>
    <xf borderId="3" fillId="3" fontId="4" numFmtId="4" xfId="0" applyAlignment="1" applyBorder="1" applyFill="1" applyFont="1" applyNumberFormat="1">
      <alignment horizontal="right" readingOrder="0" vertical="bottom"/>
    </xf>
    <xf borderId="3" fillId="3" fontId="4" numFmtId="165" xfId="0" applyAlignment="1" applyBorder="1" applyFill="1" applyFont="1" applyNumberFormat="1">
      <alignment horizontal="right" readingOrder="0" vertical="bottom"/>
    </xf>
    <xf borderId="3" fillId="3" fontId="4" numFmtId="4" xfId="0" applyAlignment="1" applyBorder="1" applyFill="1" applyFont="1" applyNumberFormat="1">
      <alignment vertical="bottom"/>
    </xf>
    <xf borderId="3" fillId="3" fontId="4" numFmtId="165" xfId="0" applyAlignment="1" applyBorder="1" applyFill="1" applyFont="1" applyNumberFormat="1">
      <alignment vertical="bottom"/>
    </xf>
    <xf borderId="3" fillId="2" fontId="2" numFmtId="49" xfId="0" applyAlignment="1" applyBorder="1" applyFill="1" applyFont="1" applyNumberFormat="1">
      <alignment vertical="bottom"/>
    </xf>
    <xf borderId="3" fillId="2" fontId="4" numFmtId="49" xfId="0" applyAlignment="1" applyBorder="1" applyFill="1" applyFont="1" applyNumberFormat="1">
      <alignment vertical="bottom"/>
    </xf>
    <xf borderId="3" fillId="2" fontId="2" numFmtId="4" xfId="0" applyAlignment="1" applyBorder="1" applyFill="1" applyFont="1" applyNumberFormat="1">
      <alignment horizontal="right" vertical="bottom"/>
    </xf>
    <xf borderId="3" fillId="2" fontId="2" numFmtId="165" xfId="0" applyAlignment="1" applyBorder="1" applyFill="1" applyFont="1" applyNumberFormat="1">
      <alignment horizontal="right" vertical="bottom"/>
    </xf>
    <xf borderId="3" fillId="2" fontId="5" numFmtId="0" xfId="0" applyAlignment="1" applyBorder="1" applyFill="1" applyFont="1">
      <alignment horizontal="center" readingOrder="0" vertical="bottom"/>
    </xf>
    <xf borderId="3" fillId="2" fontId="2" numFmtId="0" xfId="0" applyAlignment="1" applyBorder="1" applyFill="1" applyFont="1">
      <alignment horizontal="center" vertical="bottom"/>
    </xf>
    <xf borderId="3" fillId="2" fontId="2" numFmtId="165" xfId="0" applyAlignment="1" applyBorder="1" applyFill="1" applyFont="1" applyNumberFormat="1">
      <alignment horizontal="center" vertical="bottom"/>
    </xf>
    <xf borderId="3" fillId="0" fontId="4" numFmtId="166" xfId="0" applyAlignment="1" applyBorder="1" applyFont="1" applyNumberFormat="1">
      <alignment horizontal="right" readingOrder="0" vertical="bottom"/>
    </xf>
    <xf borderId="3" fillId="0" fontId="4" numFmtId="166" xfId="0" applyAlignment="1" applyBorder="1" applyFont="1" applyNumberFormat="1">
      <alignment horizontal="right" vertical="bottom"/>
    </xf>
    <xf borderId="0" fillId="0" fontId="4" numFmtId="165" xfId="0" applyAlignment="1" applyFont="1" applyNumberFormat="1">
      <alignment vertical="bottom"/>
    </xf>
    <xf borderId="3" fillId="2" fontId="2" numFmtId="0" xfId="0" applyAlignment="1" applyBorder="1" applyFill="1" applyFont="1">
      <alignment vertical="bottom"/>
    </xf>
    <xf borderId="3" fillId="2" fontId="2" numFmtId="166" xfId="0" applyAlignment="1" applyBorder="1" applyFill="1" applyFont="1" applyNumberFormat="1">
      <alignment horizontal="right" vertical="bottom"/>
    </xf>
    <xf borderId="3" fillId="2" fontId="4" numFmtId="0" xfId="0" applyAlignment="1" applyBorder="1" applyFill="1" applyFont="1">
      <alignment vertical="bottom"/>
    </xf>
    <xf borderId="3" fillId="3" fontId="4" numFmtId="0" xfId="0" applyAlignment="1" applyBorder="1" applyFill="1" applyFont="1">
      <alignment vertical="bottom"/>
    </xf>
    <xf borderId="3" fillId="3" fontId="4" numFmtId="0" xfId="0" applyAlignment="1" applyBorder="1" applyFill="1" applyFont="1">
      <alignment readingOrder="0" vertical="bottom"/>
    </xf>
    <xf borderId="3" fillId="3" fontId="2" numFmtId="4" xfId="0" applyAlignment="1" applyBorder="1" applyFill="1" applyFont="1" applyNumberFormat="1">
      <alignment readingOrder="0" vertical="bottom"/>
    </xf>
    <xf borderId="3" fillId="0" fontId="2" numFmtId="166" xfId="0" applyAlignment="1" applyBorder="1" applyFont="1" applyNumberFormat="1">
      <alignment horizontal="right" vertical="bottom"/>
    </xf>
    <xf borderId="3" fillId="3" fontId="2" numFmtId="4" xfId="0" applyAlignment="1" applyBorder="1" applyFill="1" applyFont="1" applyNumberFormat="1">
      <alignment vertical="bottom"/>
    </xf>
    <xf borderId="3" fillId="2" fontId="2" numFmtId="0" xfId="0" applyAlignment="1" applyBorder="1" applyFill="1" applyFont="1">
      <alignment horizontal="right" vertical="bottom"/>
    </xf>
    <xf borderId="3" fillId="2" fontId="4" numFmtId="4" xfId="0" applyAlignment="1" applyBorder="1" applyFill="1" applyFont="1" applyNumberFormat="1">
      <alignment vertical="bottom"/>
    </xf>
    <xf borderId="0" fillId="2" fontId="6" numFmtId="165" xfId="0" applyAlignment="1" applyFill="1" applyFont="1" applyNumberFormat="1">
      <alignment horizontal="center" readingOrder="0" vertical="bottom"/>
    </xf>
    <xf borderId="3" fillId="3" fontId="4" numFmtId="165" xfId="0" applyAlignment="1" applyBorder="1" applyFill="1" applyFont="1" applyNumberFormat="1">
      <alignment horizontal="right" vertical="bottom"/>
    </xf>
    <xf borderId="0" fillId="0" fontId="4" numFmtId="0" xfId="0" applyAlignment="1" applyFont="1">
      <alignment vertical="bottom"/>
    </xf>
    <xf borderId="3" fillId="2" fontId="2" numFmtId="167" xfId="0" applyAlignment="1" applyBorder="1" applyFill="1" applyFont="1" applyNumberFormat="1">
      <alignment vertical="bottom"/>
    </xf>
    <xf borderId="3" fillId="2" fontId="7" numFmtId="165" xfId="0" applyAlignment="1" applyBorder="1" applyFill="1" applyFont="1" applyNumberFormat="1">
      <alignment horizontal="right" vertical="bottom"/>
    </xf>
    <xf borderId="3" fillId="2" fontId="4" numFmtId="165" xfId="0" applyAlignment="1" applyBorder="1" applyFill="1" applyFont="1" applyNumberFormat="1">
      <alignment vertical="bottom"/>
    </xf>
    <xf borderId="0" fillId="0" fontId="7" numFmtId="1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0" fontId="9" numFmtId="0" xfId="0" applyAlignment="1" applyFont="1">
      <alignment horizontal="right" vertical="bottom"/>
    </xf>
    <xf borderId="3" fillId="0" fontId="4" numFmtId="0" xfId="0" applyAlignment="1" applyBorder="1" applyFont="1">
      <alignment readingOrder="0" vertical="bottom"/>
    </xf>
    <xf borderId="3" fillId="0" fontId="4" numFmtId="166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WyH3mDpCNf4V9ZAzzh0I2MxHZ0wTuLPfhrz0xK0frg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q400fT_B2awvFEPO9mMRN8Xp70V0UanxskUrkiwT7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5e-oYSmmAicNIA5qnZ6zI4eNXJWqBG4gEzQXVhxtFs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2" t="s">
        <v>0</v>
      </c>
      <c r="C2" s="3"/>
    </row>
    <row r="3">
      <c r="B3" s="4" t="s">
        <v>1</v>
      </c>
      <c r="C3" s="4" t="s">
        <v>2</v>
      </c>
      <c r="E3" s="5"/>
    </row>
    <row r="4">
      <c r="B4" s="6" t="s">
        <v>3</v>
      </c>
      <c r="C4" s="7">
        <f>SUM(C5,C6,C7,, C8)</f>
        <v>29635</v>
      </c>
      <c r="E4" s="5"/>
    </row>
    <row r="5" outlineLevel="1">
      <c r="B5" s="8" t="s">
        <v>4</v>
      </c>
      <c r="C5" s="9">
        <f>'Offline &amp; RG Community'!G33</f>
        <v>0</v>
      </c>
      <c r="E5" s="5"/>
    </row>
    <row r="6" outlineLevel="1">
      <c r="B6" s="8" t="s">
        <v>5</v>
      </c>
      <c r="C6" s="10">
        <v>0.0</v>
      </c>
      <c r="E6" s="5"/>
    </row>
    <row r="7" outlineLevel="1">
      <c r="B7" s="8" t="s">
        <v>6</v>
      </c>
      <c r="C7" s="9">
        <v>0.0</v>
      </c>
      <c r="E7" s="5"/>
    </row>
    <row r="8" outlineLevel="1">
      <c r="B8" s="8" t="s">
        <v>7</v>
      </c>
      <c r="C8" s="9">
        <f>'Offline &amp; RG Community'!E33</f>
        <v>29635</v>
      </c>
      <c r="E8" s="5"/>
    </row>
    <row r="9">
      <c r="B9" s="6" t="s">
        <v>8</v>
      </c>
      <c r="C9" s="7">
        <f>SUM(C10:C14)</f>
        <v>39125</v>
      </c>
      <c r="E9" s="5"/>
    </row>
    <row r="10" outlineLevel="1">
      <c r="B10" s="11" t="s">
        <v>9</v>
      </c>
      <c r="C10" s="10">
        <f>Hudle!C4</f>
        <v>6350</v>
      </c>
      <c r="E10" s="12"/>
    </row>
    <row r="11" outlineLevel="1">
      <c r="B11" s="8" t="s">
        <v>10</v>
      </c>
      <c r="C11" s="10">
        <f>Playo!C2</f>
        <v>25760</v>
      </c>
      <c r="E11" s="12"/>
    </row>
    <row r="12" outlineLevel="1">
      <c r="B12" s="11" t="s">
        <v>11</v>
      </c>
      <c r="C12" s="10">
        <v>0.0</v>
      </c>
    </row>
    <row r="13" outlineLevel="1">
      <c r="B13" s="8" t="s">
        <v>12</v>
      </c>
      <c r="C13" s="10">
        <f>Khelomore!C3</f>
        <v>7015</v>
      </c>
    </row>
    <row r="14">
      <c r="B14" s="13" t="s">
        <v>13</v>
      </c>
      <c r="C14" s="10">
        <v>0.0</v>
      </c>
      <c r="E14" s="5"/>
    </row>
    <row r="15">
      <c r="B15" s="14" t="s">
        <v>14</v>
      </c>
      <c r="C15" s="7">
        <f>SUM(C16:C19)</f>
        <v>0</v>
      </c>
      <c r="E15" s="5"/>
    </row>
    <row r="16" outlineLevel="1">
      <c r="B16" s="11" t="s">
        <v>15</v>
      </c>
      <c r="C16" s="10">
        <v>0.0</v>
      </c>
      <c r="E16" s="5"/>
    </row>
    <row r="17" outlineLevel="1">
      <c r="B17" s="11" t="s">
        <v>16</v>
      </c>
      <c r="C17" s="10">
        <v>0.0</v>
      </c>
    </row>
    <row r="18" outlineLevel="1">
      <c r="B18" s="11" t="s">
        <v>17</v>
      </c>
      <c r="C18" s="9">
        <f>'Offline &amp; RG Community'!F33</f>
        <v>0</v>
      </c>
      <c r="E18" s="5"/>
    </row>
    <row r="19" outlineLevel="1">
      <c r="B19" s="8" t="s">
        <v>18</v>
      </c>
      <c r="C19" s="10">
        <v>0.0</v>
      </c>
    </row>
    <row r="20">
      <c r="B20" s="6" t="s">
        <v>19</v>
      </c>
      <c r="C20" s="15">
        <v>0.0</v>
      </c>
    </row>
    <row r="21">
      <c r="B21" s="14" t="s">
        <v>20</v>
      </c>
      <c r="C21" s="16">
        <v>0.0</v>
      </c>
    </row>
    <row r="22">
      <c r="B22" s="6" t="s">
        <v>21</v>
      </c>
      <c r="C22" s="10">
        <v>0.0</v>
      </c>
    </row>
    <row r="23">
      <c r="B23" s="6" t="s">
        <v>22</v>
      </c>
      <c r="C23" s="10">
        <f>0</f>
        <v>0</v>
      </c>
    </row>
    <row r="24">
      <c r="B24" s="17" t="s">
        <v>23</v>
      </c>
      <c r="C24" s="18">
        <f>'Other Income'!C2</f>
        <v>118000</v>
      </c>
    </row>
    <row r="25">
      <c r="B25" s="6" t="s">
        <v>24</v>
      </c>
      <c r="C25" s="7">
        <f>sum(C4,C9,C20,C22,C23,C24,C15, C21)</f>
        <v>186760</v>
      </c>
    </row>
    <row r="26">
      <c r="B26" s="19" t="s">
        <v>25</v>
      </c>
      <c r="C26" s="20">
        <f>Khelomore!E3+'Other Income'!C2+'Offline &amp; RG Community'!H33+Playo!F2+Hudle!E4</f>
        <v>183544.374</v>
      </c>
    </row>
    <row r="27">
      <c r="B27" s="6" t="s">
        <v>26</v>
      </c>
      <c r="C27" s="7">
        <f>C26/1.18</f>
        <v>155546.0797</v>
      </c>
    </row>
    <row r="28">
      <c r="B28" s="6"/>
      <c r="C28" s="7"/>
    </row>
    <row r="29">
      <c r="B29" s="6"/>
      <c r="C29" s="7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25"/>
    <col customWidth="1" min="4" max="4" width="13.25"/>
    <col customWidth="1" min="5" max="5" width="15.13"/>
    <col customWidth="1" min="6" max="6" width="17.63"/>
  </cols>
  <sheetData>
    <row r="1">
      <c r="A1" s="21" t="s">
        <v>27</v>
      </c>
      <c r="B1" s="21" t="s">
        <v>28</v>
      </c>
      <c r="C1" s="22" t="s">
        <v>29</v>
      </c>
      <c r="D1" s="21" t="s">
        <v>30</v>
      </c>
      <c r="E1" s="21" t="s">
        <v>31</v>
      </c>
      <c r="F1" s="21" t="s">
        <v>32</v>
      </c>
      <c r="G1" s="21" t="s">
        <v>33</v>
      </c>
      <c r="H1" s="21" t="s">
        <v>34</v>
      </c>
    </row>
    <row r="2">
      <c r="A2" s="23" t="s">
        <v>35</v>
      </c>
      <c r="B2" s="24" t="s">
        <v>36</v>
      </c>
      <c r="C2" s="25">
        <v>0.0</v>
      </c>
      <c r="D2" s="26" t="s">
        <v>37</v>
      </c>
      <c r="E2" s="13">
        <v>0.0</v>
      </c>
      <c r="F2" s="13">
        <v>0.0</v>
      </c>
      <c r="G2" s="13">
        <v>0.0</v>
      </c>
      <c r="H2" s="27">
        <f t="shared" ref="H2:H31" si="1">sum(E2:G2)</f>
        <v>0</v>
      </c>
    </row>
    <row r="3">
      <c r="A3" s="23" t="s">
        <v>38</v>
      </c>
      <c r="B3" s="24" t="s">
        <v>39</v>
      </c>
      <c r="C3" s="28">
        <v>0.0</v>
      </c>
      <c r="D3" s="26" t="s">
        <v>37</v>
      </c>
      <c r="E3" s="29">
        <v>0.0</v>
      </c>
      <c r="F3" s="29">
        <v>0.0</v>
      </c>
      <c r="G3" s="29">
        <v>0.0</v>
      </c>
      <c r="H3" s="27">
        <f t="shared" si="1"/>
        <v>0</v>
      </c>
    </row>
    <row r="4">
      <c r="A4" s="23" t="s">
        <v>40</v>
      </c>
      <c r="B4" s="24" t="s">
        <v>41</v>
      </c>
      <c r="C4" s="28">
        <v>0.0</v>
      </c>
      <c r="D4" s="26" t="s">
        <v>37</v>
      </c>
      <c r="E4" s="29">
        <v>0.0</v>
      </c>
      <c r="F4" s="29">
        <v>0.0</v>
      </c>
      <c r="G4" s="29">
        <v>0.0</v>
      </c>
      <c r="H4" s="27">
        <f t="shared" si="1"/>
        <v>0</v>
      </c>
    </row>
    <row r="5">
      <c r="A5" s="23" t="s">
        <v>42</v>
      </c>
      <c r="B5" s="24" t="s">
        <v>43</v>
      </c>
      <c r="C5" s="25">
        <v>0.0</v>
      </c>
      <c r="D5" s="26" t="s">
        <v>37</v>
      </c>
      <c r="E5" s="13">
        <v>0.0</v>
      </c>
      <c r="F5" s="13">
        <v>0.0</v>
      </c>
      <c r="G5" s="13">
        <v>0.0</v>
      </c>
      <c r="H5" s="27">
        <f t="shared" si="1"/>
        <v>0</v>
      </c>
    </row>
    <row r="6">
      <c r="A6" s="23" t="s">
        <v>44</v>
      </c>
      <c r="B6" s="24" t="s">
        <v>45</v>
      </c>
      <c r="C6" s="28">
        <v>0.0</v>
      </c>
      <c r="D6" s="26" t="s">
        <v>37</v>
      </c>
      <c r="E6" s="29">
        <v>0.0</v>
      </c>
      <c r="F6" s="29">
        <v>0.0</v>
      </c>
      <c r="G6" s="29">
        <v>0.0</v>
      </c>
      <c r="H6" s="27">
        <f t="shared" si="1"/>
        <v>0</v>
      </c>
    </row>
    <row r="7">
      <c r="A7" s="23" t="s">
        <v>46</v>
      </c>
      <c r="B7" s="24" t="s">
        <v>47</v>
      </c>
      <c r="C7" s="30"/>
      <c r="D7" s="26" t="s">
        <v>37</v>
      </c>
      <c r="E7" s="27"/>
      <c r="F7" s="27"/>
      <c r="G7" s="27"/>
      <c r="H7" s="27">
        <f t="shared" si="1"/>
        <v>0</v>
      </c>
    </row>
    <row r="8">
      <c r="A8" s="23" t="s">
        <v>48</v>
      </c>
      <c r="B8" s="24" t="s">
        <v>49</v>
      </c>
      <c r="C8" s="28">
        <v>2.0</v>
      </c>
      <c r="D8" s="26" t="s">
        <v>37</v>
      </c>
      <c r="E8" s="29">
        <v>2000.0</v>
      </c>
      <c r="F8" s="29">
        <v>0.0</v>
      </c>
      <c r="G8" s="29">
        <v>0.0</v>
      </c>
      <c r="H8" s="27">
        <f t="shared" si="1"/>
        <v>2000</v>
      </c>
    </row>
    <row r="9">
      <c r="A9" s="23" t="s">
        <v>50</v>
      </c>
      <c r="B9" s="24" t="s">
        <v>36</v>
      </c>
      <c r="C9" s="28">
        <v>3.0</v>
      </c>
      <c r="D9" s="26" t="s">
        <v>37</v>
      </c>
      <c r="E9" s="29">
        <v>3095.0</v>
      </c>
      <c r="F9" s="29">
        <v>0.0</v>
      </c>
      <c r="G9" s="29">
        <v>0.0</v>
      </c>
      <c r="H9" s="27">
        <f t="shared" si="1"/>
        <v>3095</v>
      </c>
    </row>
    <row r="10">
      <c r="A10" s="23" t="s">
        <v>51</v>
      </c>
      <c r="B10" s="24" t="s">
        <v>39</v>
      </c>
      <c r="C10" s="30"/>
      <c r="D10" s="26" t="s">
        <v>37</v>
      </c>
      <c r="E10" s="27"/>
      <c r="F10" s="27"/>
      <c r="G10" s="27"/>
      <c r="H10" s="27">
        <f t="shared" si="1"/>
        <v>0</v>
      </c>
    </row>
    <row r="11">
      <c r="A11" s="23" t="s">
        <v>52</v>
      </c>
      <c r="B11" s="24" t="s">
        <v>41</v>
      </c>
      <c r="C11" s="31"/>
      <c r="D11" s="26" t="s">
        <v>37</v>
      </c>
      <c r="E11" s="32"/>
      <c r="F11" s="32"/>
      <c r="G11" s="32"/>
      <c r="H11" s="27">
        <f t="shared" si="1"/>
        <v>0</v>
      </c>
    </row>
    <row r="12">
      <c r="A12" s="23" t="s">
        <v>53</v>
      </c>
      <c r="B12" s="24" t="s">
        <v>43</v>
      </c>
      <c r="C12" s="30"/>
      <c r="D12" s="26" t="s">
        <v>37</v>
      </c>
      <c r="E12" s="27"/>
      <c r="F12" s="27"/>
      <c r="G12" s="27"/>
      <c r="H12" s="27">
        <f t="shared" si="1"/>
        <v>0</v>
      </c>
    </row>
    <row r="13">
      <c r="A13" s="23" t="s">
        <v>54</v>
      </c>
      <c r="B13" s="24" t="s">
        <v>45</v>
      </c>
      <c r="C13" s="28">
        <v>1.0</v>
      </c>
      <c r="D13" s="26" t="s">
        <v>37</v>
      </c>
      <c r="E13" s="29">
        <v>700.0</v>
      </c>
      <c r="F13" s="29">
        <v>0.0</v>
      </c>
      <c r="G13" s="29">
        <v>0.0</v>
      </c>
      <c r="H13" s="27">
        <f t="shared" si="1"/>
        <v>700</v>
      </c>
    </row>
    <row r="14">
      <c r="A14" s="23" t="s">
        <v>55</v>
      </c>
      <c r="B14" s="24" t="s">
        <v>47</v>
      </c>
      <c r="C14" s="30"/>
      <c r="D14" s="26" t="s">
        <v>37</v>
      </c>
      <c r="E14" s="27"/>
      <c r="F14" s="27"/>
      <c r="G14" s="27"/>
      <c r="H14" s="27">
        <f t="shared" si="1"/>
        <v>0</v>
      </c>
    </row>
    <row r="15">
      <c r="A15" s="23" t="s">
        <v>56</v>
      </c>
      <c r="B15" s="24" t="s">
        <v>49</v>
      </c>
      <c r="C15" s="28">
        <v>2.0</v>
      </c>
      <c r="D15" s="26" t="s">
        <v>37</v>
      </c>
      <c r="E15" s="29">
        <v>1400.0</v>
      </c>
      <c r="F15" s="29">
        <v>0.0</v>
      </c>
      <c r="G15" s="29">
        <v>0.0</v>
      </c>
      <c r="H15" s="27">
        <f t="shared" si="1"/>
        <v>1400</v>
      </c>
    </row>
    <row r="16">
      <c r="A16" s="23" t="s">
        <v>57</v>
      </c>
      <c r="B16" s="24" t="s">
        <v>36</v>
      </c>
      <c r="C16" s="28">
        <v>1.0</v>
      </c>
      <c r="D16" s="26" t="s">
        <v>37</v>
      </c>
      <c r="E16" s="29">
        <v>400.0</v>
      </c>
      <c r="F16" s="29">
        <v>0.0</v>
      </c>
      <c r="G16" s="29">
        <v>0.0</v>
      </c>
      <c r="H16" s="27">
        <f t="shared" si="1"/>
        <v>400</v>
      </c>
    </row>
    <row r="17">
      <c r="A17" s="23" t="s">
        <v>58</v>
      </c>
      <c r="B17" s="24" t="s">
        <v>39</v>
      </c>
      <c r="C17" s="30"/>
      <c r="D17" s="26" t="s">
        <v>37</v>
      </c>
      <c r="E17" s="27"/>
      <c r="F17" s="27"/>
      <c r="G17" s="27"/>
      <c r="H17" s="27">
        <f t="shared" si="1"/>
        <v>0</v>
      </c>
    </row>
    <row r="18">
      <c r="A18" s="23" t="s">
        <v>59</v>
      </c>
      <c r="B18" s="24" t="s">
        <v>41</v>
      </c>
      <c r="C18" s="31"/>
      <c r="D18" s="26" t="s">
        <v>37</v>
      </c>
      <c r="E18" s="32"/>
      <c r="F18" s="32"/>
      <c r="G18" s="32"/>
      <c r="H18" s="27">
        <f t="shared" si="1"/>
        <v>0</v>
      </c>
    </row>
    <row r="19">
      <c r="A19" s="23" t="s">
        <v>60</v>
      </c>
      <c r="B19" s="24" t="s">
        <v>43</v>
      </c>
      <c r="C19" s="30"/>
      <c r="D19" s="26" t="s">
        <v>37</v>
      </c>
      <c r="E19" s="27"/>
      <c r="F19" s="27"/>
      <c r="G19" s="27"/>
      <c r="H19" s="27">
        <f t="shared" si="1"/>
        <v>0</v>
      </c>
    </row>
    <row r="20">
      <c r="A20" s="23" t="s">
        <v>61</v>
      </c>
      <c r="B20" s="24" t="s">
        <v>45</v>
      </c>
      <c r="C20" s="30"/>
      <c r="D20" s="26" t="s">
        <v>37</v>
      </c>
      <c r="E20" s="27"/>
      <c r="F20" s="27"/>
      <c r="G20" s="27"/>
      <c r="H20" s="27">
        <f t="shared" si="1"/>
        <v>0</v>
      </c>
    </row>
    <row r="21">
      <c r="A21" s="23" t="s">
        <v>62</v>
      </c>
      <c r="B21" s="24" t="s">
        <v>47</v>
      </c>
      <c r="C21" s="30"/>
      <c r="D21" s="26" t="s">
        <v>37</v>
      </c>
      <c r="E21" s="27"/>
      <c r="F21" s="27"/>
      <c r="G21" s="27"/>
      <c r="H21" s="27">
        <f t="shared" si="1"/>
        <v>0</v>
      </c>
    </row>
    <row r="22">
      <c r="A22" s="23" t="s">
        <v>63</v>
      </c>
      <c r="B22" s="24" t="s">
        <v>49</v>
      </c>
      <c r="C22" s="30"/>
      <c r="D22" s="26" t="s">
        <v>37</v>
      </c>
      <c r="E22" s="27"/>
      <c r="F22" s="27"/>
      <c r="G22" s="27"/>
      <c r="H22" s="27">
        <f t="shared" si="1"/>
        <v>0</v>
      </c>
    </row>
    <row r="23">
      <c r="A23" s="23" t="s">
        <v>64</v>
      </c>
      <c r="B23" s="24" t="s">
        <v>36</v>
      </c>
      <c r="C23" s="28">
        <v>2.0</v>
      </c>
      <c r="D23" s="26" t="s">
        <v>37</v>
      </c>
      <c r="E23" s="29">
        <v>760.0</v>
      </c>
      <c r="F23" s="29">
        <v>0.0</v>
      </c>
      <c r="G23" s="29">
        <v>0.0</v>
      </c>
      <c r="H23" s="27">
        <f t="shared" si="1"/>
        <v>760</v>
      </c>
    </row>
    <row r="24">
      <c r="A24" s="23" t="s">
        <v>65</v>
      </c>
      <c r="B24" s="24" t="s">
        <v>39</v>
      </c>
      <c r="C24" s="25">
        <v>4.0</v>
      </c>
      <c r="D24" s="26" t="s">
        <v>37</v>
      </c>
      <c r="E24" s="13">
        <v>2400.0</v>
      </c>
      <c r="F24" s="13">
        <v>0.0</v>
      </c>
      <c r="G24" s="13">
        <v>0.0</v>
      </c>
      <c r="H24" s="27">
        <f t="shared" si="1"/>
        <v>2400</v>
      </c>
    </row>
    <row r="25">
      <c r="A25" s="23" t="s">
        <v>66</v>
      </c>
      <c r="B25" s="24" t="s">
        <v>41</v>
      </c>
      <c r="C25" s="31"/>
      <c r="D25" s="26" t="s">
        <v>37</v>
      </c>
      <c r="E25" s="32"/>
      <c r="F25" s="32"/>
      <c r="G25" s="32"/>
      <c r="H25" s="27">
        <f t="shared" si="1"/>
        <v>0</v>
      </c>
    </row>
    <row r="26">
      <c r="A26" s="23" t="s">
        <v>67</v>
      </c>
      <c r="B26" s="24" t="s">
        <v>43</v>
      </c>
      <c r="C26" s="31"/>
      <c r="D26" s="26" t="s">
        <v>37</v>
      </c>
      <c r="E26" s="32"/>
      <c r="F26" s="32"/>
      <c r="G26" s="32"/>
      <c r="H26" s="27">
        <f t="shared" si="1"/>
        <v>0</v>
      </c>
    </row>
    <row r="27">
      <c r="A27" s="23" t="s">
        <v>68</v>
      </c>
      <c r="B27" s="24" t="s">
        <v>45</v>
      </c>
      <c r="C27" s="25">
        <v>4.5</v>
      </c>
      <c r="D27" s="26" t="s">
        <v>37</v>
      </c>
      <c r="E27" s="29">
        <v>4030.0</v>
      </c>
      <c r="F27" s="13">
        <v>0.0</v>
      </c>
      <c r="G27" s="13">
        <v>0.0</v>
      </c>
      <c r="H27" s="27">
        <f t="shared" si="1"/>
        <v>4030</v>
      </c>
    </row>
    <row r="28">
      <c r="A28" s="23" t="s">
        <v>69</v>
      </c>
      <c r="B28" s="24" t="s">
        <v>47</v>
      </c>
      <c r="C28" s="28">
        <v>3.5</v>
      </c>
      <c r="D28" s="26" t="s">
        <v>37</v>
      </c>
      <c r="E28" s="29">
        <v>4300.0</v>
      </c>
      <c r="F28" s="29">
        <v>0.0</v>
      </c>
      <c r="G28" s="29">
        <v>0.0</v>
      </c>
      <c r="H28" s="27">
        <f t="shared" si="1"/>
        <v>4300</v>
      </c>
    </row>
    <row r="29">
      <c r="A29" s="23" t="s">
        <v>70</v>
      </c>
      <c r="B29" s="24" t="s">
        <v>49</v>
      </c>
      <c r="C29" s="28">
        <v>4.0</v>
      </c>
      <c r="D29" s="26" t="s">
        <v>37</v>
      </c>
      <c r="E29" s="29">
        <v>5800.0</v>
      </c>
      <c r="F29" s="29">
        <v>0.0</v>
      </c>
      <c r="G29" s="29">
        <v>0.0</v>
      </c>
      <c r="H29" s="27">
        <f t="shared" si="1"/>
        <v>5800</v>
      </c>
    </row>
    <row r="30">
      <c r="A30" s="23" t="s">
        <v>71</v>
      </c>
      <c r="B30" s="24" t="s">
        <v>36</v>
      </c>
      <c r="C30" s="33">
        <v>1.0</v>
      </c>
      <c r="D30" s="26" t="s">
        <v>37</v>
      </c>
      <c r="E30" s="34">
        <v>1200.0</v>
      </c>
      <c r="F30" s="34">
        <v>0.0</v>
      </c>
      <c r="G30" s="34">
        <v>0.0</v>
      </c>
      <c r="H30" s="27">
        <f t="shared" si="1"/>
        <v>1200</v>
      </c>
    </row>
    <row r="31">
      <c r="A31" s="23" t="s">
        <v>72</v>
      </c>
      <c r="B31" s="24" t="s">
        <v>39</v>
      </c>
      <c r="C31" s="33">
        <v>3.0</v>
      </c>
      <c r="D31" s="26" t="s">
        <v>37</v>
      </c>
      <c r="E31" s="34">
        <v>3550.0</v>
      </c>
      <c r="F31" s="34">
        <v>0.0</v>
      </c>
      <c r="G31" s="34">
        <v>0.0</v>
      </c>
      <c r="H31" s="27">
        <f t="shared" si="1"/>
        <v>3550</v>
      </c>
    </row>
    <row r="32">
      <c r="A32" s="23" t="s">
        <v>73</v>
      </c>
      <c r="B32" s="24" t="s">
        <v>41</v>
      </c>
      <c r="C32" s="35"/>
      <c r="D32" s="26" t="s">
        <v>37</v>
      </c>
      <c r="E32" s="36"/>
      <c r="F32" s="36"/>
      <c r="G32" s="36"/>
      <c r="H32" s="27">
        <f>SUM(E32:G32)</f>
        <v>0</v>
      </c>
    </row>
    <row r="33">
      <c r="A33" s="37" t="s">
        <v>74</v>
      </c>
      <c r="B33" s="38"/>
      <c r="C33" s="39">
        <f>SUM(C1:C32)</f>
        <v>31</v>
      </c>
      <c r="D33" s="38"/>
      <c r="E33" s="40">
        <f t="shared" ref="E33:H33" si="2">SUM(E1:E32)</f>
        <v>29635</v>
      </c>
      <c r="F33" s="40">
        <f t="shared" si="2"/>
        <v>0</v>
      </c>
      <c r="G33" s="40">
        <f t="shared" si="2"/>
        <v>0</v>
      </c>
      <c r="H33" s="40">
        <f t="shared" si="2"/>
        <v>29635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88"/>
  </cols>
  <sheetData>
    <row r="1">
      <c r="A1" s="41" t="s">
        <v>75</v>
      </c>
      <c r="B1" s="42" t="s">
        <v>27</v>
      </c>
      <c r="C1" s="42" t="s">
        <v>76</v>
      </c>
      <c r="D1" s="42" t="s">
        <v>77</v>
      </c>
      <c r="E1" s="42" t="s">
        <v>78</v>
      </c>
      <c r="F1" s="42" t="s">
        <v>79</v>
      </c>
      <c r="G1" s="42" t="s">
        <v>80</v>
      </c>
      <c r="H1" s="43" t="s">
        <v>2</v>
      </c>
    </row>
    <row r="2">
      <c r="A2" s="8"/>
      <c r="B2" s="32" t="s">
        <v>81</v>
      </c>
      <c r="C2" s="44">
        <v>2850.0</v>
      </c>
      <c r="D2" s="44">
        <v>373.1</v>
      </c>
      <c r="E2" s="45">
        <f t="shared" ref="E2:E3" si="1">C2-D2</f>
        <v>2476.9</v>
      </c>
      <c r="F2" s="44">
        <v>2.43</v>
      </c>
      <c r="G2" s="44">
        <v>12.16</v>
      </c>
      <c r="H2" s="29">
        <v>2482.3</v>
      </c>
    </row>
    <row r="3">
      <c r="A3" s="46"/>
      <c r="B3" s="32" t="s">
        <v>82</v>
      </c>
      <c r="C3" s="13">
        <v>3500.0</v>
      </c>
      <c r="D3" s="13">
        <v>364.0</v>
      </c>
      <c r="E3" s="45">
        <f t="shared" si="1"/>
        <v>3136</v>
      </c>
      <c r="F3" s="13">
        <v>2.37</v>
      </c>
      <c r="G3" s="13">
        <v>11.86</v>
      </c>
      <c r="H3" s="13">
        <v>2421.76</v>
      </c>
    </row>
    <row r="4">
      <c r="A4" s="5"/>
      <c r="B4" s="47" t="s">
        <v>74</v>
      </c>
      <c r="C4" s="48">
        <f>SUM(C2:C3)</f>
        <v>6350</v>
      </c>
      <c r="D4" s="49"/>
      <c r="E4" s="48">
        <f>SUM(E2:E3)</f>
        <v>5612.9</v>
      </c>
      <c r="F4" s="49"/>
      <c r="G4" s="49"/>
      <c r="H4" s="48">
        <f>SUM(H2:H3)</f>
        <v>4904.06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4" max="4" width="14.38"/>
    <col customWidth="1" min="9" max="9" width="14.13"/>
  </cols>
  <sheetData>
    <row r="1">
      <c r="A1" s="41" t="s">
        <v>75</v>
      </c>
      <c r="B1" s="42" t="s">
        <v>27</v>
      </c>
      <c r="C1" s="42" t="s">
        <v>83</v>
      </c>
      <c r="D1" s="42" t="s">
        <v>84</v>
      </c>
      <c r="E1" s="42" t="s">
        <v>85</v>
      </c>
      <c r="F1" s="42" t="s">
        <v>78</v>
      </c>
      <c r="G1" s="42" t="s">
        <v>86</v>
      </c>
      <c r="H1" s="42" t="s">
        <v>87</v>
      </c>
      <c r="I1" s="42" t="s">
        <v>88</v>
      </c>
    </row>
    <row r="2">
      <c r="A2" s="50"/>
      <c r="B2" s="51" t="s">
        <v>89</v>
      </c>
      <c r="C2" s="52">
        <v>25760.0</v>
      </c>
      <c r="D2" s="35">
        <f>C2*7%</f>
        <v>1803.2</v>
      </c>
      <c r="E2" s="50">
        <f>D2*18%</f>
        <v>324.576</v>
      </c>
      <c r="F2" s="53">
        <f>C2-D2-E2</f>
        <v>23632.224</v>
      </c>
      <c r="G2" s="51">
        <f>F2*2%</f>
        <v>472.64448</v>
      </c>
      <c r="H2" s="51">
        <v>0.0</v>
      </c>
      <c r="I2" s="54">
        <f>F2-G2</f>
        <v>23159.57952</v>
      </c>
    </row>
    <row r="3">
      <c r="A3" s="50"/>
      <c r="B3" s="55"/>
      <c r="C3" s="39"/>
      <c r="D3" s="56"/>
      <c r="E3" s="49"/>
      <c r="F3" s="39"/>
      <c r="G3" s="49"/>
      <c r="H3" s="49"/>
      <c r="I3" s="39"/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25"/>
    <col customWidth="1" min="3" max="3" width="18.25"/>
    <col customWidth="1" min="4" max="4" width="14.38"/>
    <col customWidth="1" min="5" max="5" width="14.13"/>
  </cols>
  <sheetData>
    <row r="1">
      <c r="A1" s="57" t="s">
        <v>75</v>
      </c>
      <c r="B1" s="43" t="s">
        <v>27</v>
      </c>
      <c r="C1" s="43" t="s">
        <v>90</v>
      </c>
      <c r="D1" s="43" t="s">
        <v>84</v>
      </c>
      <c r="E1" s="43" t="s">
        <v>88</v>
      </c>
    </row>
    <row r="2">
      <c r="A2" s="46"/>
      <c r="B2" s="13" t="s">
        <v>89</v>
      </c>
      <c r="C2" s="29">
        <v>7015.0</v>
      </c>
      <c r="D2" s="58">
        <f>C2*5%</f>
        <v>350.75</v>
      </c>
      <c r="E2" s="58">
        <f>C2-D2</f>
        <v>6664.25</v>
      </c>
    </row>
    <row r="3">
      <c r="A3" s="59"/>
      <c r="B3" s="60" t="s">
        <v>74</v>
      </c>
      <c r="C3" s="61">
        <f>SUM(C2)</f>
        <v>7015</v>
      </c>
      <c r="D3" s="62"/>
      <c r="E3" s="61">
        <f>SUM(E2)</f>
        <v>6664.25</v>
      </c>
      <c r="F3" s="5"/>
      <c r="G3" s="5"/>
      <c r="H3" s="5"/>
      <c r="I3" s="5"/>
      <c r="J3" s="5"/>
      <c r="K3" s="63"/>
      <c r="L3" s="5"/>
      <c r="M3" s="63"/>
      <c r="N3" s="63"/>
    </row>
    <row r="4">
      <c r="A4" s="64"/>
      <c r="B4" s="65"/>
      <c r="C4" s="66"/>
      <c r="D4" s="64"/>
      <c r="E4" s="67"/>
    </row>
    <row r="5">
      <c r="A5" s="64"/>
      <c r="B5" s="64"/>
      <c r="D5" s="64"/>
      <c r="E5" s="67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75"/>
    <col customWidth="1" min="3" max="3" width="15.25"/>
  </cols>
  <sheetData>
    <row r="1">
      <c r="A1" s="42" t="s">
        <v>91</v>
      </c>
      <c r="B1" s="42" t="s">
        <v>92</v>
      </c>
      <c r="C1" s="42" t="s">
        <v>93</v>
      </c>
    </row>
    <row r="2">
      <c r="A2" s="68" t="s">
        <v>94</v>
      </c>
      <c r="B2" s="68" t="s">
        <v>95</v>
      </c>
      <c r="C2" s="69">
        <v>118000.0</v>
      </c>
    </row>
  </sheetData>
  <drawing r:id="rId1"/>
</worksheet>
</file>