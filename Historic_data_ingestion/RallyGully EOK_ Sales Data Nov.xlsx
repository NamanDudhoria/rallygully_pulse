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Hudle" sheetId="3" r:id="rId7"/>
    <sheet state="visible" name="Playo" sheetId="4" r:id="rId8"/>
    <sheet state="visible" name="District" sheetId="5" r:id="rId9"/>
    <sheet state="visible" name="Khelomore" sheetId="6" r:id="rId10"/>
    <sheet state="visible" name="Misfits" sheetId="7" r:id="rId11"/>
    <sheet state="visible" name="Courtly" sheetId="8" r:id="rId12"/>
    <sheet state="visible" name="Memberships" sheetId="9" r:id="rId13"/>
    <sheet state="visible" name="Other Income" sheetId="10" r:id="rId14"/>
    <sheet state="visible" name="Brand Activation" sheetId="11" r:id="rId15"/>
  </sheets>
  <definedNames/>
  <calcPr/>
</workbook>
</file>

<file path=xl/sharedStrings.xml><?xml version="1.0" encoding="utf-8"?>
<sst xmlns="http://schemas.openxmlformats.org/spreadsheetml/2006/main" count="140" uniqueCount="92">
  <si>
    <t>Date: 1st - 30th Nov</t>
  </si>
  <si>
    <t>Particulars</t>
  </si>
  <si>
    <t>Amount</t>
  </si>
  <si>
    <t>Offline</t>
  </si>
  <si>
    <t>Rentals</t>
  </si>
  <si>
    <t>F&amp;B</t>
  </si>
  <si>
    <t>Product Sales</t>
  </si>
  <si>
    <t>Bookings</t>
  </si>
  <si>
    <t>Online: Third Party Platform</t>
  </si>
  <si>
    <t>Hudle</t>
  </si>
  <si>
    <t>Playo</t>
  </si>
  <si>
    <t>District</t>
  </si>
  <si>
    <t>Khelomore</t>
  </si>
  <si>
    <t>Community</t>
  </si>
  <si>
    <t>Courtly</t>
  </si>
  <si>
    <t>Rallygully Community games</t>
  </si>
  <si>
    <t>Income :  136,700/-</t>
  </si>
  <si>
    <t>Misfits Community</t>
  </si>
  <si>
    <t>Memberships</t>
  </si>
  <si>
    <t>Expenses :  45,500/-</t>
  </si>
  <si>
    <t>Corporate Events</t>
  </si>
  <si>
    <t>Brand Activation</t>
  </si>
  <si>
    <t>Net income :  91,200/-    59,000/-  +  32,000/-</t>
  </si>
  <si>
    <t>Other Income</t>
  </si>
  <si>
    <t>Total Gross Revenue</t>
  </si>
  <si>
    <t>59,000/- + 45,000/-  =  104,000/-</t>
  </si>
  <si>
    <t>Total Net Revenue (Post Commissions)</t>
  </si>
  <si>
    <t>Total Revenue post GST</t>
  </si>
  <si>
    <t>Expenses</t>
  </si>
  <si>
    <t>Venue Manager + Cleaner</t>
  </si>
  <si>
    <t>Marketing, Branding &amp; Community</t>
  </si>
  <si>
    <t>Total Expenses</t>
  </si>
  <si>
    <t>Net Profit (Revenue - Expenses)</t>
  </si>
  <si>
    <t>45.5 + .74 +5</t>
  </si>
  <si>
    <t>School's Profit Share (65%)</t>
  </si>
  <si>
    <t>RallyGully's Profit Share (35%)</t>
  </si>
  <si>
    <t>Date</t>
  </si>
  <si>
    <t>Day</t>
  </si>
  <si>
    <t>Offline booking hours</t>
  </si>
  <si>
    <t>Discount Given</t>
  </si>
  <si>
    <t>Booking Revenue</t>
  </si>
  <si>
    <t>Community Revenue</t>
  </si>
  <si>
    <t xml:space="preserve">Paddle Rental </t>
  </si>
  <si>
    <t>Total Revenue</t>
  </si>
  <si>
    <t>Saturday</t>
  </si>
  <si>
    <t>Sunday</t>
  </si>
  <si>
    <t>Monday</t>
  </si>
  <si>
    <t>Tuesday</t>
  </si>
  <si>
    <t>Wednesday</t>
  </si>
  <si>
    <t>Thursday</t>
  </si>
  <si>
    <t>Friday</t>
  </si>
  <si>
    <t>Total</t>
  </si>
  <si>
    <t>Link</t>
  </si>
  <si>
    <t>Paid to Hudle</t>
  </si>
  <si>
    <t>Commisions (Including GST)</t>
  </si>
  <si>
    <t>Net Revenue</t>
  </si>
  <si>
    <t>TDS</t>
  </si>
  <si>
    <t>TCS</t>
  </si>
  <si>
    <t>1 - 10 Nov</t>
  </si>
  <si>
    <t>11 - 18 Nov</t>
  </si>
  <si>
    <t>18 - 25 Nov</t>
  </si>
  <si>
    <t>25 - 30 Nov</t>
  </si>
  <si>
    <t>Paid to Playo (₹)</t>
  </si>
  <si>
    <t>Commissions (₹)</t>
  </si>
  <si>
    <t>GST (₹)</t>
  </si>
  <si>
    <t>TDS (₹)</t>
  </si>
  <si>
    <t>TCS (₹)</t>
  </si>
  <si>
    <t>Final Amount (₹)</t>
  </si>
  <si>
    <t>1 - 30 Nov</t>
  </si>
  <si>
    <t>Paid to District</t>
  </si>
  <si>
    <t>Paid to Khelomore (₹)</t>
  </si>
  <si>
    <t>1 - 20 Nov</t>
  </si>
  <si>
    <t>20 - 30 Nov</t>
  </si>
  <si>
    <t>Paid to Misfits (₹)</t>
  </si>
  <si>
    <t>Post Comission (20%)</t>
  </si>
  <si>
    <t xml:space="preserve">TDS </t>
  </si>
  <si>
    <t>Paid to Courtly (₹)</t>
  </si>
  <si>
    <t xml:space="preserve"> Comission (3%)</t>
  </si>
  <si>
    <t>Member Name</t>
  </si>
  <si>
    <t>Sports Type</t>
  </si>
  <si>
    <t>Membership Type</t>
  </si>
  <si>
    <t>Start Date</t>
  </si>
  <si>
    <t>Amount Collected</t>
  </si>
  <si>
    <t>Coaching</t>
  </si>
  <si>
    <t xml:space="preserve">Sports </t>
  </si>
  <si>
    <t>Type</t>
  </si>
  <si>
    <t>Pickleball</t>
  </si>
  <si>
    <t>Adult</t>
  </si>
  <si>
    <t>Date &amp; Day</t>
  </si>
  <si>
    <t>Brand Name</t>
  </si>
  <si>
    <t>Timings</t>
  </si>
  <si>
    <t>Type of collab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</si>
</sst>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&gt;9999999][$₹]##\,##\,##\,##0;[&gt;99999][$₹]##\,##\,##0;[$₹]##,##0"/>
    <numFmt numFmtId="165" formatCode="d mmm"/>
    <numFmt numFmtId="166" formatCode="[$₹]#,##0.00"/>
    <numFmt numFmtId="167" formatCode="[&gt;9999999][$₹]##\,##\,##\,##0.00;[&gt;99999][$₹]##\,##\,##0.00;[$₹]##,##0.00"/>
  </numFmts>
  <fonts count="13">
    <font>
      <sz val="10.0"/>
      <color rgb="FF000000"/>
      <name val="Arial"/>
      <scheme val="minor"/>
    </font>
    <font>
      <b/>
      <color theme="1"/>
      <name val="Arial"/>
    </font>
    <font/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b/>
      <u/>
      <color rgb="FF0000FF"/>
      <name val="Arial"/>
    </font>
    <font>
      <color rgb="FF000000"/>
      <name val="Arial"/>
    </font>
    <font>
      <b/>
      <u/>
      <color rgb="FF0000FF"/>
      <name val="Arial"/>
    </font>
    <font>
      <sz val="10.0"/>
      <color theme="1"/>
      <name val="Arial"/>
    </font>
    <font>
      <b/>
      <sz val="11.0"/>
      <color theme="1"/>
      <name val="Calibri"/>
    </font>
    <font>
      <b/>
      <u/>
      <color rgb="FF0000FF"/>
      <name val="Arial"/>
    </font>
    <font>
      <b/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0" fillId="0" fontId="3" numFmtId="0" xfId="0" applyAlignment="1" applyFont="1">
      <alignment readingOrder="0"/>
    </xf>
    <xf borderId="3" fillId="0" fontId="1" numFmtId="0" xfId="0" applyAlignment="1" applyBorder="1" applyFont="1">
      <alignment horizontal="center" vertical="bottom"/>
    </xf>
    <xf borderId="3" fillId="0" fontId="1" numFmtId="0" xfId="0" applyAlignment="1" applyBorder="1" applyFont="1">
      <alignment vertical="bottom"/>
    </xf>
    <xf borderId="3" fillId="0" fontId="1" numFmtId="164" xfId="0" applyAlignment="1" applyBorder="1" applyFont="1" applyNumberFormat="1">
      <alignment horizontal="right" vertical="bottom"/>
    </xf>
    <xf borderId="3" fillId="0" fontId="4" numFmtId="0" xfId="0" applyAlignment="1" applyBorder="1" applyFont="1">
      <alignment vertical="bottom"/>
    </xf>
    <xf borderId="3" fillId="0" fontId="4" numFmtId="164" xfId="0" applyAlignment="1" applyBorder="1" applyFont="1" applyNumberFormat="1">
      <alignment horizontal="right" vertical="bottom"/>
    </xf>
    <xf borderId="3" fillId="0" fontId="4" numFmtId="164" xfId="0" applyAlignment="1" applyBorder="1" applyFont="1" applyNumberFormat="1">
      <alignment horizontal="right" readingOrder="0" vertical="bottom"/>
    </xf>
    <xf borderId="3" fillId="0" fontId="1" numFmtId="0" xfId="0" applyAlignment="1" applyBorder="1" applyFont="1">
      <alignment readingOrder="0" vertical="bottom"/>
    </xf>
    <xf borderId="3" fillId="0" fontId="4" numFmtId="0" xfId="0" applyAlignment="1" applyBorder="1" applyFont="1">
      <alignment readingOrder="0" vertical="bottom"/>
    </xf>
    <xf borderId="0" fillId="0" fontId="5" numFmtId="0" xfId="0" applyAlignment="1" applyFont="1">
      <alignment readingOrder="0"/>
    </xf>
    <xf borderId="4" fillId="0" fontId="4" numFmtId="0" xfId="0" applyAlignment="1" applyBorder="1" applyFont="1">
      <alignment vertical="bottom"/>
    </xf>
    <xf borderId="4" fillId="0" fontId="4" numFmtId="164" xfId="0" applyAlignment="1" applyBorder="1" applyFont="1" applyNumberFormat="1">
      <alignment horizontal="right" readingOrder="0" vertical="bottom"/>
    </xf>
    <xf borderId="3" fillId="0" fontId="4" numFmtId="0" xfId="0" applyAlignment="1" applyBorder="1" applyFont="1">
      <alignment readingOrder="0" shrinkToFit="0" vertical="bottom" wrapText="1"/>
    </xf>
    <xf borderId="3" fillId="0" fontId="1" numFmtId="3" xfId="0" applyAlignment="1" applyBorder="1" applyFont="1" applyNumberFormat="1">
      <alignment horizontal="right" vertical="bottom"/>
    </xf>
    <xf borderId="0" fillId="0" fontId="5" numFmtId="0" xfId="0" applyFont="1"/>
    <xf borderId="0" fillId="0" fontId="3" numFmtId="0" xfId="0" applyFont="1"/>
    <xf borderId="0" fillId="2" fontId="1" numFmtId="165" xfId="0" applyAlignment="1" applyFill="1" applyFont="1" applyNumberFormat="1">
      <alignment horizontal="center" vertical="bottom"/>
    </xf>
    <xf borderId="0" fillId="2" fontId="1" numFmtId="0" xfId="0" applyAlignment="1" applyFill="1" applyFont="1">
      <alignment horizontal="center" vertical="bottom"/>
    </xf>
    <xf borderId="0" fillId="2" fontId="1" numFmtId="9" xfId="0" applyAlignment="1" applyFill="1" applyFont="1" applyNumberFormat="1">
      <alignment horizontal="center" vertical="bottom"/>
    </xf>
    <xf borderId="0" fillId="2" fontId="1" numFmtId="3" xfId="0" applyAlignment="1" applyFill="1" applyFont="1" applyNumberFormat="1">
      <alignment horizontal="center" vertical="bottom"/>
    </xf>
    <xf borderId="0" fillId="0" fontId="4" numFmtId="165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9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3" xfId="0" applyAlignment="1" applyFont="1" applyNumberFormat="1">
      <alignment horizontal="right" vertical="bottom"/>
    </xf>
    <xf borderId="0" fillId="2" fontId="1" numFmtId="165" xfId="0" applyAlignment="1" applyFill="1" applyFont="1" applyNumberFormat="1">
      <alignment horizontal="right" vertical="bottom"/>
    </xf>
    <xf borderId="0" fillId="2" fontId="4" numFmtId="0" xfId="0" applyAlignment="1" applyFill="1" applyFont="1">
      <alignment vertical="bottom"/>
    </xf>
    <xf borderId="0" fillId="2" fontId="1" numFmtId="0" xfId="0" applyAlignment="1" applyFill="1" applyFont="1">
      <alignment horizontal="right" vertical="bottom"/>
    </xf>
    <xf borderId="0" fillId="2" fontId="4" numFmtId="9" xfId="0" applyAlignment="1" applyFill="1" applyFont="1" applyNumberFormat="1">
      <alignment vertical="bottom"/>
    </xf>
    <xf borderId="0" fillId="0" fontId="1" numFmtId="0" xfId="0" applyAlignment="1" applyFont="1">
      <alignment horizontal="right" vertical="bottom"/>
    </xf>
    <xf borderId="0" fillId="2" fontId="6" numFmtId="0" xfId="0" applyAlignment="1" applyFill="1" applyFont="1">
      <alignment readingOrder="0" vertical="bottom"/>
    </xf>
    <xf borderId="3" fillId="2" fontId="1" numFmtId="0" xfId="0" applyAlignment="1" applyBorder="1" applyFill="1" applyFont="1">
      <alignment vertical="bottom"/>
    </xf>
    <xf borderId="3" fillId="2" fontId="1" numFmtId="166" xfId="0" applyAlignment="1" applyBorder="1" applyFill="1" applyFont="1" applyNumberFormat="1">
      <alignment vertical="bottom"/>
    </xf>
    <xf borderId="0" fillId="0" fontId="7" numFmtId="0" xfId="0" applyAlignment="1" applyFont="1">
      <alignment shrinkToFit="0" vertical="bottom" wrapText="0"/>
    </xf>
    <xf borderId="3" fillId="0" fontId="4" numFmtId="167" xfId="0" applyAlignment="1" applyBorder="1" applyFont="1" applyNumberFormat="1">
      <alignment horizontal="right" readingOrder="0" vertical="bottom"/>
    </xf>
    <xf borderId="3" fillId="0" fontId="4" numFmtId="167" xfId="0" applyAlignment="1" applyBorder="1" applyFont="1" applyNumberFormat="1">
      <alignment horizontal="right" vertical="bottom"/>
    </xf>
    <xf borderId="3" fillId="0" fontId="4" numFmtId="166" xfId="0" applyAlignment="1" applyBorder="1" applyFont="1" applyNumberFormat="1">
      <alignment readingOrder="0" vertical="bottom"/>
    </xf>
    <xf borderId="0" fillId="0" fontId="4" numFmtId="166" xfId="0" applyAlignment="1" applyFont="1" applyNumberFormat="1">
      <alignment vertical="bottom"/>
    </xf>
    <xf borderId="3" fillId="0" fontId="4" numFmtId="166" xfId="0" applyAlignment="1" applyBorder="1" applyFont="1" applyNumberFormat="1">
      <alignment horizontal="right" readingOrder="0" vertical="bottom"/>
    </xf>
    <xf borderId="3" fillId="0" fontId="4" numFmtId="166" xfId="0" applyAlignment="1" applyBorder="1" applyFont="1" applyNumberFormat="1">
      <alignment horizontal="right" vertical="bottom"/>
    </xf>
    <xf borderId="0" fillId="0" fontId="4" numFmtId="166" xfId="0" applyAlignment="1" applyFont="1" applyNumberFormat="1">
      <alignment readingOrder="0" vertical="bottom"/>
    </xf>
    <xf borderId="3" fillId="0" fontId="1" numFmtId="167" xfId="0" applyAlignment="1" applyBorder="1" applyFont="1" applyNumberFormat="1">
      <alignment horizontal="right" vertical="bottom"/>
    </xf>
    <xf borderId="3" fillId="0" fontId="1" numFmtId="166" xfId="0" applyAlignment="1" applyBorder="1" applyFont="1" applyNumberFormat="1">
      <alignment horizontal="right" vertical="bottom"/>
    </xf>
    <xf borderId="0" fillId="2" fontId="8" numFmtId="0" xfId="0" applyAlignment="1" applyFill="1" applyFont="1">
      <alignment horizontal="center" readingOrder="0" vertical="bottom"/>
    </xf>
    <xf borderId="3" fillId="2" fontId="1" numFmtId="0" xfId="0" applyAlignment="1" applyBorder="1" applyFill="1" applyFont="1">
      <alignment horizontal="center" vertical="bottom"/>
    </xf>
    <xf borderId="0" fillId="0" fontId="4" numFmtId="0" xfId="0" applyAlignment="1" applyFont="1">
      <alignment vertical="bottom"/>
    </xf>
    <xf borderId="3" fillId="0" fontId="9" numFmtId="166" xfId="0" applyAlignment="1" applyBorder="1" applyFont="1" applyNumberFormat="1">
      <alignment readingOrder="0" shrinkToFit="0" vertical="bottom" wrapText="0"/>
    </xf>
    <xf borderId="3" fillId="0" fontId="9" numFmtId="0" xfId="0" applyAlignment="1" applyBorder="1" applyFont="1">
      <alignment readingOrder="0" shrinkToFit="0" vertical="bottom" wrapText="0"/>
    </xf>
    <xf borderId="3" fillId="0" fontId="4" numFmtId="167" xfId="0" applyAlignment="1" applyBorder="1" applyFont="1" applyNumberFormat="1">
      <alignment horizontal="right" readingOrder="0" shrinkToFit="0" vertical="bottom" wrapText="0"/>
    </xf>
    <xf borderId="3" fillId="0" fontId="4" numFmtId="0" xfId="0" applyAlignment="1" applyBorder="1" applyFont="1">
      <alignment horizontal="right" readingOrder="0" shrinkToFit="0" vertical="bottom" wrapText="0"/>
    </xf>
    <xf borderId="3" fillId="0" fontId="4" numFmtId="4" xfId="0" applyAlignment="1" applyBorder="1" applyFont="1" applyNumberFormat="1">
      <alignment readingOrder="0" vertical="bottom"/>
    </xf>
    <xf borderId="0" fillId="0" fontId="4" numFmtId="4" xfId="0" applyAlignment="1" applyFont="1" applyNumberFormat="1">
      <alignment vertical="bottom"/>
    </xf>
    <xf borderId="3" fillId="0" fontId="4" numFmtId="4" xfId="0" applyAlignment="1" applyBorder="1" applyFont="1" applyNumberFormat="1">
      <alignment vertical="bottom"/>
    </xf>
    <xf borderId="3" fillId="0" fontId="1" numFmtId="4" xfId="0" applyAlignment="1" applyBorder="1" applyFont="1" applyNumberFormat="1">
      <alignment horizontal="right" vertical="bottom"/>
    </xf>
    <xf borderId="3" fillId="0" fontId="1" numFmtId="167" xfId="0" applyAlignment="1" applyBorder="1" applyFont="1" applyNumberFormat="1">
      <alignment vertical="bottom"/>
    </xf>
    <xf borderId="3" fillId="2" fontId="1" numFmtId="0" xfId="0" applyAlignment="1" applyBorder="1" applyFill="1" applyFont="1">
      <alignment horizontal="center" readingOrder="0" vertical="bottom"/>
    </xf>
    <xf borderId="0" fillId="0" fontId="4" numFmtId="165" xfId="0" applyAlignment="1" applyFont="1" applyNumberFormat="1">
      <alignment vertical="bottom"/>
    </xf>
    <xf borderId="3" fillId="0" fontId="4" numFmtId="165" xfId="0" applyAlignment="1" applyBorder="1" applyFont="1" applyNumberFormat="1">
      <alignment vertical="bottom"/>
    </xf>
    <xf borderId="3" fillId="0" fontId="4" numFmtId="0" xfId="0" applyAlignment="1" applyBorder="1" applyFont="1">
      <alignment horizontal="right" vertical="bottom"/>
    </xf>
    <xf borderId="0" fillId="0" fontId="4" numFmtId="0" xfId="0" applyAlignment="1" applyFont="1">
      <alignment readingOrder="0" vertical="bottom"/>
    </xf>
    <xf borderId="3" fillId="0" fontId="10" numFmtId="0" xfId="0" applyAlignment="1" applyBorder="1" applyFont="1">
      <alignment horizontal="right" vertical="bottom"/>
    </xf>
    <xf borderId="3" fillId="2" fontId="11" numFmtId="0" xfId="0" applyAlignment="1" applyBorder="1" applyFill="1" applyFont="1">
      <alignment horizontal="center" readingOrder="0" vertical="bottom"/>
    </xf>
    <xf borderId="3" fillId="0" fontId="5" numFmtId="0" xfId="0" applyBorder="1" applyFont="1"/>
    <xf borderId="3" fillId="0" fontId="1" numFmtId="164" xfId="0" applyAlignment="1" applyBorder="1" applyFont="1" applyNumberFormat="1">
      <alignment horizontal="right" readingOrder="0" vertical="bottom"/>
    </xf>
    <xf borderId="3" fillId="0" fontId="5" numFmtId="165" xfId="0" applyAlignment="1" applyBorder="1" applyFont="1" applyNumberFormat="1">
      <alignment readingOrder="0"/>
    </xf>
    <xf borderId="3" fillId="0" fontId="5" numFmtId="0" xfId="0" applyAlignment="1" applyBorder="1" applyFont="1">
      <alignment readingOrder="0"/>
    </xf>
    <xf borderId="3" fillId="0" fontId="4" numFmtId="165" xfId="0" applyAlignment="1" applyBorder="1" applyFont="1" applyNumberFormat="1">
      <alignment horizontal="right" vertical="bottom"/>
    </xf>
    <xf borderId="3" fillId="0" fontId="4" numFmtId="0" xfId="0" applyAlignment="1" applyBorder="1" applyFont="1">
      <alignment horizontal="right" readingOrder="0" vertical="bottom"/>
    </xf>
    <xf borderId="3" fillId="0" fontId="3" numFmtId="0" xfId="0" applyBorder="1" applyFont="1"/>
    <xf borderId="0" fillId="2" fontId="12" numFmtId="0" xfId="0" applyAlignment="1" applyFill="1" applyFont="1">
      <alignment horizontal="center" vertical="bottom"/>
    </xf>
    <xf borderId="3" fillId="0" fontId="4" numFmtId="9" xfId="0" applyAlignment="1" applyBorder="1" applyFont="1" applyNumberFormat="1">
      <alignment vertical="bottom"/>
    </xf>
    <xf borderId="3" fillId="2" fontId="1" numFmtId="0" xfId="0" applyAlignment="1" applyBorder="1" applyFill="1" applyFont="1">
      <alignment horizontal="right" vertical="bottom"/>
    </xf>
    <xf borderId="0" fillId="0" fontId="5" numFmtId="165" xfId="0" applyAlignment="1" applyFont="1" applyNumberFormat="1">
      <alignment readingOrder="0"/>
    </xf>
    <xf borderId="0" fillId="2" fontId="3" numFmtId="0" xfId="0" applyAlignment="1" applyFill="1" applyFont="1">
      <alignment horizontal="center" readingOrder="0"/>
    </xf>
    <xf borderId="0" fillId="0" fontId="5" numFmtId="0" xfId="0" applyAlignment="1" applyFont="1">
      <alignment horizontal="right" readingOrder="0"/>
    </xf>
    <xf borderId="0" fillId="0" fontId="5" numFmtId="3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VcOmxwwsynRu2D6yOxCEl0-u_xBGbHjb2dvqz-i-zpI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HKU1ST88wC7Rvh2DmccLuArchm6aZ5NOnNP50kPnRlw/edit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aalvd24EHYBO_z3vF3QvyDhFqjmtnH411yfijrxGnAw/edit?usp=sharing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TuehxdrFefz4thu9FABYNNpgdR2FtazkF17pkMUNvYU/edit?usp=sharing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VcOmxwwsynRu2D6yOxCEl0-u_xBGbHjb2dvqz-i-zpI/edit?usp=sharing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VZiuaQr3AqSPWde5JLHiGxekgGL-TebZjDM00yuw_KY/edit?usp=sharing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29.38"/>
    <col customWidth="1" min="3" max="3" width="14.75"/>
  </cols>
  <sheetData>
    <row r="2">
      <c r="B2" s="1" t="s">
        <v>0</v>
      </c>
      <c r="C2" s="2"/>
      <c r="E2" s="3"/>
    </row>
    <row r="3">
      <c r="B3" s="4" t="s">
        <v>1</v>
      </c>
      <c r="C3" s="4" t="s">
        <v>2</v>
      </c>
    </row>
    <row r="4">
      <c r="B4" s="5" t="s">
        <v>3</v>
      </c>
      <c r="C4" s="6">
        <f>SUM(C5,C6,C7,C8)</f>
        <v>24530</v>
      </c>
    </row>
    <row r="5" outlineLevel="1">
      <c r="B5" s="7" t="s">
        <v>4</v>
      </c>
      <c r="C5" s="8">
        <f>'Offline &amp; RG Community'!G32</f>
        <v>6750</v>
      </c>
    </row>
    <row r="6" outlineLevel="1">
      <c r="B6" s="7" t="s">
        <v>5</v>
      </c>
      <c r="C6" s="8">
        <v>0.0</v>
      </c>
    </row>
    <row r="7" outlineLevel="1">
      <c r="B7" s="7" t="s">
        <v>6</v>
      </c>
      <c r="C7" s="8">
        <v>0.0</v>
      </c>
    </row>
    <row r="8" outlineLevel="1">
      <c r="B8" s="7" t="s">
        <v>7</v>
      </c>
      <c r="C8" s="9">
        <f>'Offline &amp; RG Community'!E32</f>
        <v>17780</v>
      </c>
    </row>
    <row r="9">
      <c r="B9" s="5" t="s">
        <v>8</v>
      </c>
      <c r="C9" s="6">
        <f>SUM(C10:C13)</f>
        <v>104113.82</v>
      </c>
    </row>
    <row r="10" outlineLevel="1">
      <c r="B10" s="7" t="s">
        <v>9</v>
      </c>
      <c r="C10" s="8">
        <f>Hudle!C7</f>
        <v>91800</v>
      </c>
    </row>
    <row r="11" outlineLevel="1">
      <c r="B11" s="7" t="s">
        <v>10</v>
      </c>
      <c r="C11" s="8">
        <f>Playo!C6</f>
        <v>6600</v>
      </c>
    </row>
    <row r="12" outlineLevel="1">
      <c r="B12" s="7" t="s">
        <v>11</v>
      </c>
      <c r="C12" s="8">
        <f>District!C2</f>
        <v>2329.82</v>
      </c>
    </row>
    <row r="13" outlineLevel="1">
      <c r="B13" s="7" t="s">
        <v>12</v>
      </c>
      <c r="C13" s="8">
        <f>Khelomore!C4</f>
        <v>3384</v>
      </c>
    </row>
    <row r="14">
      <c r="B14" s="10" t="s">
        <v>13</v>
      </c>
      <c r="C14" s="6">
        <f>SUM(C15,C16,C17)</f>
        <v>14200</v>
      </c>
    </row>
    <row r="15" outlineLevel="1">
      <c r="B15" s="11" t="s">
        <v>14</v>
      </c>
      <c r="C15" s="8">
        <f>Courtly!C2</f>
        <v>3500</v>
      </c>
    </row>
    <row r="16" outlineLevel="1">
      <c r="B16" s="7" t="s">
        <v>15</v>
      </c>
      <c r="C16" s="9">
        <f>'Offline &amp; RG Community'!F32</f>
        <v>7100</v>
      </c>
      <c r="F16" s="12" t="s">
        <v>16</v>
      </c>
    </row>
    <row r="17" outlineLevel="1">
      <c r="B17" s="7" t="s">
        <v>17</v>
      </c>
      <c r="C17" s="8">
        <f>Misfits!C2</f>
        <v>3600</v>
      </c>
    </row>
    <row r="18">
      <c r="B18" s="5" t="s">
        <v>18</v>
      </c>
      <c r="C18" s="9">
        <v>0.0</v>
      </c>
      <c r="F18" s="12" t="s">
        <v>19</v>
      </c>
    </row>
    <row r="19">
      <c r="B19" s="7" t="s">
        <v>20</v>
      </c>
      <c r="C19" s="9">
        <v>0.0</v>
      </c>
    </row>
    <row r="20">
      <c r="B20" s="7" t="s">
        <v>21</v>
      </c>
      <c r="C20" s="9">
        <v>0.0</v>
      </c>
      <c r="F20" s="12" t="s">
        <v>22</v>
      </c>
    </row>
    <row r="21">
      <c r="B21" s="13" t="s">
        <v>23</v>
      </c>
      <c r="C21" s="14">
        <f>'Other Income'!E2</f>
        <v>7000</v>
      </c>
    </row>
    <row r="22">
      <c r="B22" s="5" t="s">
        <v>24</v>
      </c>
      <c r="C22" s="6">
        <f>sum(C4,C9,C14,C18,C19,C20,C21)</f>
        <v>149843.82</v>
      </c>
      <c r="F22" s="12" t="s">
        <v>25</v>
      </c>
    </row>
    <row r="23">
      <c r="B23" s="15" t="s">
        <v>26</v>
      </c>
      <c r="C23" s="16">
        <f>sum('Offline &amp; RG Community'!H32,Hudle!E7,Playo!F6,District!C2,Khelomore!E4,Misfits!D2,Courtly!F2,'Other Income'!E2)</f>
        <v>136368.46</v>
      </c>
    </row>
    <row r="24">
      <c r="B24" s="5" t="s">
        <v>27</v>
      </c>
      <c r="C24" s="6">
        <f>C23/1.18</f>
        <v>115566.4915</v>
      </c>
    </row>
    <row r="25">
      <c r="B25" s="10" t="s">
        <v>28</v>
      </c>
      <c r="C25" s="6"/>
      <c r="G25" s="12">
        <v>45500.0</v>
      </c>
      <c r="I25" s="12">
        <v>45543.0</v>
      </c>
    </row>
    <row r="26">
      <c r="B26" s="11" t="s">
        <v>29</v>
      </c>
      <c r="C26" s="9">
        <v>30500.0</v>
      </c>
    </row>
    <row r="27">
      <c r="B27" s="11" t="s">
        <v>30</v>
      </c>
      <c r="C27" s="9">
        <v>15000.0</v>
      </c>
    </row>
    <row r="28">
      <c r="B28" s="10" t="s">
        <v>31</v>
      </c>
      <c r="C28" s="6">
        <f>C26+C27</f>
        <v>45500</v>
      </c>
      <c r="G28" s="12">
        <v>45543.0</v>
      </c>
      <c r="I28" s="17">
        <f>G31</f>
        <v>28457</v>
      </c>
    </row>
    <row r="29">
      <c r="B29" s="10" t="s">
        <v>32</v>
      </c>
      <c r="C29" s="6">
        <f>C24-C28</f>
        <v>70066.49153</v>
      </c>
      <c r="E29" s="12" t="s">
        <v>33</v>
      </c>
      <c r="G29" s="12">
        <v>4000.0</v>
      </c>
      <c r="I29" s="12">
        <v>4000.0</v>
      </c>
    </row>
    <row r="30">
      <c r="B30" s="10"/>
      <c r="C30" s="6"/>
      <c r="G30" s="18">
        <f>G25+G28+G29</f>
        <v>95043</v>
      </c>
    </row>
    <row r="31">
      <c r="B31" s="10" t="s">
        <v>34</v>
      </c>
      <c r="C31" s="6">
        <f>C29*65%</f>
        <v>45543.21949</v>
      </c>
      <c r="G31" s="12">
        <f>74000-G28</f>
        <v>28457</v>
      </c>
    </row>
    <row r="32">
      <c r="B32" s="10" t="s">
        <v>35</v>
      </c>
      <c r="C32" s="6">
        <f>C29*35%</f>
        <v>24523.27203</v>
      </c>
      <c r="G32" s="18">
        <f>G30+G31</f>
        <v>123500</v>
      </c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75"/>
    <col customWidth="1" min="2" max="2" width="9.75"/>
    <col customWidth="1" min="3" max="3" width="21.63"/>
    <col customWidth="1" min="4" max="4" width="13.25"/>
    <col customWidth="1" min="5" max="5" width="15.13"/>
    <col customWidth="1" min="6" max="6" width="17.63"/>
  </cols>
  <sheetData>
    <row r="1">
      <c r="A1" s="19" t="s">
        <v>36</v>
      </c>
      <c r="B1" s="20" t="s">
        <v>37</v>
      </c>
      <c r="C1" s="20" t="s">
        <v>38</v>
      </c>
      <c r="D1" s="21" t="s">
        <v>39</v>
      </c>
      <c r="E1" s="22" t="s">
        <v>40</v>
      </c>
      <c r="F1" s="20" t="s">
        <v>41</v>
      </c>
      <c r="G1" s="22" t="s">
        <v>42</v>
      </c>
      <c r="H1" s="20" t="s">
        <v>43</v>
      </c>
    </row>
    <row r="2">
      <c r="A2" s="23">
        <v>45962.0</v>
      </c>
      <c r="B2" s="24" t="s">
        <v>44</v>
      </c>
      <c r="C2" s="25">
        <v>0.0</v>
      </c>
      <c r="D2" s="26">
        <v>0.0</v>
      </c>
      <c r="E2" s="25">
        <v>0.0</v>
      </c>
      <c r="F2" s="25">
        <v>0.0</v>
      </c>
      <c r="G2" s="25">
        <v>200.0</v>
      </c>
      <c r="H2" s="27">
        <f t="shared" ref="H2:H31" si="1">SUM(E2:G2)</f>
        <v>200</v>
      </c>
    </row>
    <row r="3">
      <c r="A3" s="23">
        <v>45963.0</v>
      </c>
      <c r="B3" s="24" t="s">
        <v>45</v>
      </c>
      <c r="C3" s="27">
        <v>3.5</v>
      </c>
      <c r="D3" s="26">
        <v>0.0</v>
      </c>
      <c r="E3" s="28">
        <v>3760.0</v>
      </c>
      <c r="F3" s="27">
        <v>1200.0</v>
      </c>
      <c r="G3" s="28">
        <v>600.0</v>
      </c>
      <c r="H3" s="28">
        <f t="shared" si="1"/>
        <v>5560</v>
      </c>
    </row>
    <row r="4">
      <c r="A4" s="23">
        <v>45964.0</v>
      </c>
      <c r="B4" s="24" t="s">
        <v>46</v>
      </c>
      <c r="C4" s="27">
        <v>0.0</v>
      </c>
      <c r="D4" s="26">
        <v>0.0</v>
      </c>
      <c r="E4" s="28">
        <v>0.0</v>
      </c>
      <c r="F4" s="27">
        <v>0.0</v>
      </c>
      <c r="G4" s="28">
        <v>500.0</v>
      </c>
      <c r="H4" s="28">
        <f t="shared" si="1"/>
        <v>500</v>
      </c>
    </row>
    <row r="5">
      <c r="A5" s="23">
        <v>45965.0</v>
      </c>
      <c r="B5" s="24" t="s">
        <v>47</v>
      </c>
      <c r="C5" s="27">
        <v>0.0</v>
      </c>
      <c r="D5" s="26">
        <v>0.0</v>
      </c>
      <c r="E5" s="28">
        <v>0.0</v>
      </c>
      <c r="F5" s="27">
        <v>0.0</v>
      </c>
      <c r="G5" s="28">
        <v>400.0</v>
      </c>
      <c r="H5" s="28">
        <f t="shared" si="1"/>
        <v>400</v>
      </c>
    </row>
    <row r="6">
      <c r="A6" s="23">
        <v>45966.0</v>
      </c>
      <c r="B6" s="24" t="s">
        <v>48</v>
      </c>
      <c r="C6" s="27">
        <v>4.0</v>
      </c>
      <c r="D6" s="26">
        <v>0.0</v>
      </c>
      <c r="E6" s="27">
        <v>600.0</v>
      </c>
      <c r="F6" s="27">
        <v>900.0</v>
      </c>
      <c r="G6" s="28">
        <v>0.0</v>
      </c>
      <c r="H6" s="27">
        <f t="shared" si="1"/>
        <v>1500</v>
      </c>
    </row>
    <row r="7">
      <c r="A7" s="23">
        <v>45967.0</v>
      </c>
      <c r="B7" s="24" t="s">
        <v>49</v>
      </c>
      <c r="C7" s="27">
        <v>1.0</v>
      </c>
      <c r="D7" s="26">
        <v>0.0</v>
      </c>
      <c r="E7" s="27">
        <v>600.0</v>
      </c>
      <c r="F7" s="27">
        <v>0.0</v>
      </c>
      <c r="G7" s="27">
        <v>0.0</v>
      </c>
      <c r="H7" s="27">
        <f t="shared" si="1"/>
        <v>600</v>
      </c>
    </row>
    <row r="8">
      <c r="A8" s="23">
        <v>45968.0</v>
      </c>
      <c r="B8" s="24" t="s">
        <v>50</v>
      </c>
      <c r="C8" s="27">
        <v>0.0</v>
      </c>
      <c r="D8" s="26">
        <v>0.0</v>
      </c>
      <c r="E8" s="28">
        <v>0.0</v>
      </c>
      <c r="F8" s="27">
        <v>0.0</v>
      </c>
      <c r="G8" s="28">
        <v>200.0</v>
      </c>
      <c r="H8" s="28">
        <f t="shared" si="1"/>
        <v>200</v>
      </c>
    </row>
    <row r="9">
      <c r="A9" s="23">
        <v>45969.0</v>
      </c>
      <c r="B9" s="24" t="s">
        <v>44</v>
      </c>
      <c r="C9" s="27">
        <v>0.0</v>
      </c>
      <c r="D9" s="26">
        <v>0.0</v>
      </c>
      <c r="E9" s="28">
        <v>0.0</v>
      </c>
      <c r="F9" s="27">
        <v>0.0</v>
      </c>
      <c r="G9" s="28">
        <v>0.0</v>
      </c>
      <c r="H9" s="28">
        <f t="shared" si="1"/>
        <v>0</v>
      </c>
    </row>
    <row r="10">
      <c r="A10" s="23">
        <v>45970.0</v>
      </c>
      <c r="B10" s="24" t="s">
        <v>45</v>
      </c>
      <c r="C10" s="25">
        <v>0.0</v>
      </c>
      <c r="D10" s="26">
        <v>0.0</v>
      </c>
      <c r="E10" s="28">
        <v>0.0</v>
      </c>
      <c r="F10" s="25">
        <v>0.0</v>
      </c>
      <c r="G10" s="28">
        <v>400.0</v>
      </c>
      <c r="H10" s="28">
        <f t="shared" si="1"/>
        <v>400</v>
      </c>
    </row>
    <row r="11">
      <c r="A11" s="23">
        <v>45971.0</v>
      </c>
      <c r="B11" s="24" t="s">
        <v>46</v>
      </c>
      <c r="C11" s="25">
        <v>1.0</v>
      </c>
      <c r="D11" s="26">
        <v>0.0</v>
      </c>
      <c r="E11" s="28">
        <v>1080.0</v>
      </c>
      <c r="F11" s="25">
        <v>0.0</v>
      </c>
      <c r="G11" s="25">
        <v>400.0</v>
      </c>
      <c r="H11" s="28">
        <f t="shared" si="1"/>
        <v>1480</v>
      </c>
    </row>
    <row r="12">
      <c r="A12" s="23">
        <v>45972.0</v>
      </c>
      <c r="B12" s="24" t="s">
        <v>47</v>
      </c>
      <c r="C12" s="27">
        <v>1.0</v>
      </c>
      <c r="D12" s="26">
        <v>0.0</v>
      </c>
      <c r="E12" s="27">
        <v>1080.0</v>
      </c>
      <c r="F12" s="27">
        <v>0.0</v>
      </c>
      <c r="G12" s="28">
        <v>800.0</v>
      </c>
      <c r="H12" s="27">
        <f t="shared" si="1"/>
        <v>1880</v>
      </c>
    </row>
    <row r="13">
      <c r="A13" s="23">
        <v>45973.0</v>
      </c>
      <c r="B13" s="24" t="s">
        <v>48</v>
      </c>
      <c r="C13" s="27">
        <v>0.0</v>
      </c>
      <c r="D13" s="26">
        <v>0.0</v>
      </c>
      <c r="E13" s="28">
        <v>0.0</v>
      </c>
      <c r="F13" s="27">
        <v>0.0</v>
      </c>
      <c r="G13" s="28">
        <v>0.0</v>
      </c>
      <c r="H13" s="28">
        <f t="shared" si="1"/>
        <v>0</v>
      </c>
    </row>
    <row r="14">
      <c r="A14" s="23">
        <v>45974.0</v>
      </c>
      <c r="B14" s="24" t="s">
        <v>49</v>
      </c>
      <c r="C14" s="27">
        <v>1.0</v>
      </c>
      <c r="D14" s="26">
        <v>0.0</v>
      </c>
      <c r="E14" s="27">
        <v>1080.0</v>
      </c>
      <c r="F14" s="27">
        <v>0.0</v>
      </c>
      <c r="G14" s="27">
        <v>200.0</v>
      </c>
      <c r="H14" s="27">
        <f t="shared" si="1"/>
        <v>1280</v>
      </c>
    </row>
    <row r="15">
      <c r="A15" s="23">
        <v>45975.0</v>
      </c>
      <c r="B15" s="24" t="s">
        <v>50</v>
      </c>
      <c r="C15" s="27">
        <v>1.0</v>
      </c>
      <c r="D15" s="26">
        <v>0.0</v>
      </c>
      <c r="E15" s="27">
        <v>1080.0</v>
      </c>
      <c r="F15" s="27">
        <v>0.0</v>
      </c>
      <c r="G15" s="27">
        <v>200.0</v>
      </c>
      <c r="H15" s="27">
        <f t="shared" si="1"/>
        <v>1280</v>
      </c>
    </row>
    <row r="16">
      <c r="A16" s="23">
        <v>45976.0</v>
      </c>
      <c r="B16" s="24" t="s">
        <v>44</v>
      </c>
      <c r="C16" s="27">
        <v>0.0</v>
      </c>
      <c r="D16" s="26">
        <v>0.0</v>
      </c>
      <c r="E16" s="27">
        <v>0.0</v>
      </c>
      <c r="F16" s="27">
        <v>0.0</v>
      </c>
      <c r="G16" s="27">
        <v>0.0</v>
      </c>
      <c r="H16" s="27">
        <f t="shared" si="1"/>
        <v>0</v>
      </c>
    </row>
    <row r="17">
      <c r="A17" s="23">
        <v>45977.0</v>
      </c>
      <c r="B17" s="24" t="s">
        <v>45</v>
      </c>
      <c r="C17" s="27">
        <v>0.0</v>
      </c>
      <c r="D17" s="26">
        <v>0.0</v>
      </c>
      <c r="E17" s="27">
        <v>0.0</v>
      </c>
      <c r="F17" s="27">
        <v>0.0</v>
      </c>
      <c r="G17" s="27">
        <v>0.0</v>
      </c>
      <c r="H17" s="27">
        <f t="shared" si="1"/>
        <v>0</v>
      </c>
    </row>
    <row r="18">
      <c r="A18" s="23">
        <v>45978.0</v>
      </c>
      <c r="B18" s="24" t="s">
        <v>46</v>
      </c>
      <c r="C18" s="27">
        <v>0.0</v>
      </c>
      <c r="D18" s="26">
        <v>0.0</v>
      </c>
      <c r="E18" s="27">
        <v>0.0</v>
      </c>
      <c r="F18" s="27">
        <v>1800.0</v>
      </c>
      <c r="G18" s="27">
        <v>100.0</v>
      </c>
      <c r="H18" s="27">
        <f t="shared" si="1"/>
        <v>1900</v>
      </c>
    </row>
    <row r="19">
      <c r="A19" s="23">
        <v>45979.0</v>
      </c>
      <c r="B19" s="24" t="s">
        <v>47</v>
      </c>
      <c r="C19" s="27">
        <v>0.0</v>
      </c>
      <c r="D19" s="26">
        <v>0.0</v>
      </c>
      <c r="E19" s="27">
        <v>0.0</v>
      </c>
      <c r="F19" s="27">
        <v>0.0</v>
      </c>
      <c r="G19" s="27">
        <v>100.0</v>
      </c>
      <c r="H19" s="27">
        <f t="shared" si="1"/>
        <v>100</v>
      </c>
    </row>
    <row r="20">
      <c r="A20" s="23">
        <v>45980.0</v>
      </c>
      <c r="B20" s="24" t="s">
        <v>48</v>
      </c>
      <c r="C20" s="27">
        <v>2.5</v>
      </c>
      <c r="D20" s="26">
        <v>0.0</v>
      </c>
      <c r="E20" s="27">
        <v>800.0</v>
      </c>
      <c r="F20" s="27">
        <v>1800.0</v>
      </c>
      <c r="G20" s="27">
        <v>100.0</v>
      </c>
      <c r="H20" s="27">
        <f t="shared" si="1"/>
        <v>2700</v>
      </c>
    </row>
    <row r="21">
      <c r="A21" s="23">
        <v>45981.0</v>
      </c>
      <c r="B21" s="24" t="s">
        <v>49</v>
      </c>
      <c r="C21" s="27">
        <v>1.0</v>
      </c>
      <c r="D21" s="26">
        <v>0.0</v>
      </c>
      <c r="E21" s="27">
        <v>1200.0</v>
      </c>
      <c r="F21" s="27">
        <v>0.0</v>
      </c>
      <c r="G21" s="27">
        <v>200.0</v>
      </c>
      <c r="H21" s="27">
        <f t="shared" si="1"/>
        <v>1400</v>
      </c>
    </row>
    <row r="22">
      <c r="A22" s="23">
        <v>45982.0</v>
      </c>
      <c r="B22" s="24" t="s">
        <v>50</v>
      </c>
      <c r="C22" s="27">
        <v>0.0</v>
      </c>
      <c r="D22" s="26">
        <v>0.0</v>
      </c>
      <c r="E22" s="27">
        <v>0.0</v>
      </c>
      <c r="F22" s="27">
        <v>0.0</v>
      </c>
      <c r="G22" s="27">
        <v>0.0</v>
      </c>
      <c r="H22" s="27">
        <f t="shared" si="1"/>
        <v>0</v>
      </c>
    </row>
    <row r="23">
      <c r="A23" s="23">
        <v>45983.0</v>
      </c>
      <c r="B23" s="24" t="s">
        <v>44</v>
      </c>
      <c r="C23" s="27">
        <v>0.5</v>
      </c>
      <c r="D23" s="26">
        <v>0.0</v>
      </c>
      <c r="E23" s="27">
        <v>600.0</v>
      </c>
      <c r="F23" s="27">
        <v>0.0</v>
      </c>
      <c r="G23" s="27">
        <v>100.0</v>
      </c>
      <c r="H23" s="27">
        <f t="shared" si="1"/>
        <v>700</v>
      </c>
    </row>
    <row r="24">
      <c r="A24" s="23">
        <v>45984.0</v>
      </c>
      <c r="B24" s="24" t="s">
        <v>45</v>
      </c>
      <c r="C24" s="27">
        <v>0.0</v>
      </c>
      <c r="D24" s="26">
        <v>0.0</v>
      </c>
      <c r="E24" s="27">
        <v>0.0</v>
      </c>
      <c r="F24" s="27">
        <v>0.0</v>
      </c>
      <c r="G24" s="27">
        <v>300.0</v>
      </c>
      <c r="H24" s="27">
        <f t="shared" si="1"/>
        <v>300</v>
      </c>
    </row>
    <row r="25">
      <c r="A25" s="23">
        <v>45985.0</v>
      </c>
      <c r="B25" s="24" t="s">
        <v>46</v>
      </c>
      <c r="C25" s="27">
        <v>0.5</v>
      </c>
      <c r="D25" s="26">
        <v>0.0</v>
      </c>
      <c r="E25" s="27">
        <v>600.0</v>
      </c>
      <c r="F25" s="27">
        <v>0.0</v>
      </c>
      <c r="G25" s="27">
        <v>0.0</v>
      </c>
      <c r="H25" s="27">
        <f t="shared" si="1"/>
        <v>600</v>
      </c>
    </row>
    <row r="26">
      <c r="A26" s="23">
        <v>45986.0</v>
      </c>
      <c r="B26" s="24" t="s">
        <v>47</v>
      </c>
      <c r="C26" s="27">
        <v>1.5</v>
      </c>
      <c r="D26" s="26">
        <v>0.0</v>
      </c>
      <c r="E26" s="27">
        <v>1800.0</v>
      </c>
      <c r="F26" s="27">
        <v>0.0</v>
      </c>
      <c r="G26" s="27">
        <v>100.0</v>
      </c>
      <c r="H26" s="27">
        <f t="shared" si="1"/>
        <v>1900</v>
      </c>
    </row>
    <row r="27">
      <c r="A27" s="23">
        <v>45987.0</v>
      </c>
      <c r="B27" s="24" t="s">
        <v>48</v>
      </c>
      <c r="C27" s="27">
        <v>0.0</v>
      </c>
      <c r="D27" s="26">
        <v>0.0</v>
      </c>
      <c r="E27" s="27">
        <v>0.0</v>
      </c>
      <c r="F27" s="27">
        <v>0.0</v>
      </c>
      <c r="G27" s="27">
        <v>0.0</v>
      </c>
      <c r="H27" s="27">
        <f t="shared" si="1"/>
        <v>0</v>
      </c>
    </row>
    <row r="28">
      <c r="A28" s="23">
        <v>45988.0</v>
      </c>
      <c r="B28" s="24" t="s">
        <v>49</v>
      </c>
      <c r="C28" s="27">
        <v>2.5</v>
      </c>
      <c r="D28" s="26">
        <v>0.0</v>
      </c>
      <c r="E28" s="27">
        <v>600.0</v>
      </c>
      <c r="F28" s="27">
        <v>1400.0</v>
      </c>
      <c r="G28" s="27">
        <v>200.0</v>
      </c>
      <c r="H28" s="27">
        <f t="shared" si="1"/>
        <v>2200</v>
      </c>
    </row>
    <row r="29">
      <c r="A29" s="23">
        <v>45989.0</v>
      </c>
      <c r="B29" s="24" t="s">
        <v>50</v>
      </c>
      <c r="C29" s="27">
        <v>1.0</v>
      </c>
      <c r="D29" s="26">
        <v>0.0</v>
      </c>
      <c r="E29" s="27">
        <v>1200.0</v>
      </c>
      <c r="F29" s="27">
        <v>0.0</v>
      </c>
      <c r="G29" s="27">
        <v>200.0</v>
      </c>
      <c r="H29" s="27">
        <f t="shared" si="1"/>
        <v>1400</v>
      </c>
    </row>
    <row r="30">
      <c r="A30" s="23">
        <v>45990.0</v>
      </c>
      <c r="B30" s="24" t="s">
        <v>44</v>
      </c>
      <c r="C30" s="27">
        <v>0.5</v>
      </c>
      <c r="D30" s="26">
        <v>0.0</v>
      </c>
      <c r="E30" s="27">
        <v>500.0</v>
      </c>
      <c r="F30" s="27">
        <v>0.0</v>
      </c>
      <c r="G30" s="27">
        <v>400.0</v>
      </c>
      <c r="H30" s="27">
        <f t="shared" si="1"/>
        <v>900</v>
      </c>
    </row>
    <row r="31">
      <c r="A31" s="23">
        <v>45991.0</v>
      </c>
      <c r="B31" s="24" t="s">
        <v>45</v>
      </c>
      <c r="C31" s="27">
        <v>1.0</v>
      </c>
      <c r="D31" s="26">
        <v>0.0</v>
      </c>
      <c r="E31" s="27">
        <v>1200.0</v>
      </c>
      <c r="F31" s="27">
        <v>0.0</v>
      </c>
      <c r="G31" s="27">
        <v>1050.0</v>
      </c>
      <c r="H31" s="27">
        <f t="shared" si="1"/>
        <v>2250</v>
      </c>
    </row>
    <row r="32">
      <c r="A32" s="29" t="s">
        <v>51</v>
      </c>
      <c r="B32" s="30"/>
      <c r="C32" s="31">
        <f>SUM(C2:C31)</f>
        <v>23.5</v>
      </c>
      <c r="D32" s="32"/>
      <c r="E32" s="31">
        <f t="shared" ref="E32:H32" si="2">SUM(E2:E31)</f>
        <v>17780</v>
      </c>
      <c r="F32" s="31">
        <f t="shared" si="2"/>
        <v>7100</v>
      </c>
      <c r="G32" s="31">
        <f t="shared" si="2"/>
        <v>6750</v>
      </c>
      <c r="H32" s="31">
        <f t="shared" si="2"/>
        <v>31630</v>
      </c>
      <c r="I32" s="33"/>
      <c r="J32" s="18"/>
      <c r="K32" s="18"/>
      <c r="L32" s="18"/>
      <c r="M32" s="18"/>
      <c r="N32" s="18"/>
      <c r="O32" s="18"/>
      <c r="P32" s="18"/>
      <c r="Q32" s="18"/>
      <c r="R32" s="1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3.0"/>
    <col customWidth="1" min="4" max="4" width="23.88"/>
    <col customWidth="1" min="5" max="5" width="11.13"/>
  </cols>
  <sheetData>
    <row r="1">
      <c r="A1" s="34" t="s">
        <v>52</v>
      </c>
      <c r="B1" s="35" t="s">
        <v>36</v>
      </c>
      <c r="C1" s="35" t="s">
        <v>53</v>
      </c>
      <c r="D1" s="35" t="s">
        <v>54</v>
      </c>
      <c r="E1" s="35" t="s">
        <v>55</v>
      </c>
      <c r="F1" s="35" t="s">
        <v>56</v>
      </c>
      <c r="G1" s="35" t="s">
        <v>57</v>
      </c>
      <c r="H1" s="36" t="s">
        <v>2</v>
      </c>
      <c r="I1" s="37"/>
    </row>
    <row r="2">
      <c r="A2" s="24"/>
      <c r="B2" s="11" t="s">
        <v>58</v>
      </c>
      <c r="C2" s="38">
        <v>32100.0</v>
      </c>
      <c r="D2" s="38">
        <v>4173.0</v>
      </c>
      <c r="E2" s="39">
        <f t="shared" ref="E2:E5" si="1">C2-D2</f>
        <v>27927</v>
      </c>
      <c r="F2" s="38">
        <v>27.2</v>
      </c>
      <c r="G2" s="38">
        <v>136.0</v>
      </c>
      <c r="H2" s="40">
        <f t="shared" ref="H2:H5" si="2">E2-F2-G2</f>
        <v>27763.8</v>
      </c>
    </row>
    <row r="3">
      <c r="A3" s="41"/>
      <c r="B3" s="40" t="s">
        <v>59</v>
      </c>
      <c r="C3" s="42">
        <v>13700.0</v>
      </c>
      <c r="D3" s="42">
        <v>1781.0</v>
      </c>
      <c r="E3" s="43">
        <f t="shared" si="1"/>
        <v>11919</v>
      </c>
      <c r="F3" s="42">
        <v>11.6</v>
      </c>
      <c r="G3" s="42">
        <v>58.0</v>
      </c>
      <c r="H3" s="40">
        <f t="shared" si="2"/>
        <v>11849.4</v>
      </c>
    </row>
    <row r="4">
      <c r="A4" s="41"/>
      <c r="B4" s="40" t="s">
        <v>60</v>
      </c>
      <c r="C4" s="40">
        <v>28000.0</v>
      </c>
      <c r="D4" s="40">
        <v>3640.0</v>
      </c>
      <c r="E4" s="43">
        <f t="shared" si="1"/>
        <v>24360</v>
      </c>
      <c r="F4" s="40">
        <v>23.7</v>
      </c>
      <c r="G4" s="40">
        <v>118.64</v>
      </c>
      <c r="H4" s="40">
        <f t="shared" si="2"/>
        <v>24217.66</v>
      </c>
    </row>
    <row r="5">
      <c r="A5" s="41"/>
      <c r="B5" s="40" t="s">
        <v>61</v>
      </c>
      <c r="C5" s="40">
        <v>18000.0</v>
      </c>
      <c r="D5" s="40">
        <v>2340.0</v>
      </c>
      <c r="E5" s="43">
        <f t="shared" si="1"/>
        <v>15660</v>
      </c>
      <c r="F5" s="40">
        <v>15.25</v>
      </c>
      <c r="G5" s="40">
        <v>76.27</v>
      </c>
      <c r="H5" s="40">
        <f t="shared" si="2"/>
        <v>15568.48</v>
      </c>
    </row>
    <row r="6">
      <c r="A6" s="44"/>
      <c r="B6" s="40"/>
      <c r="C6" s="42"/>
      <c r="D6" s="40"/>
      <c r="E6" s="43"/>
      <c r="F6" s="40"/>
      <c r="G6" s="40"/>
      <c r="H6" s="42"/>
    </row>
    <row r="7">
      <c r="A7" s="24"/>
      <c r="B7" s="7"/>
      <c r="C7" s="45">
        <f>SUM(C2:C6)</f>
        <v>91800</v>
      </c>
      <c r="D7" s="7"/>
      <c r="E7" s="45">
        <f>SUM(E2:E6)</f>
        <v>79866</v>
      </c>
      <c r="F7" s="7"/>
      <c r="G7" s="7"/>
      <c r="H7" s="46">
        <f>SUM(H2:H6)</f>
        <v>79399.34</v>
      </c>
    </row>
    <row r="8">
      <c r="E8" s="45"/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3.0"/>
    <col customWidth="1" min="3" max="3" width="14.0"/>
    <col customWidth="1" min="4" max="4" width="14.38"/>
    <col customWidth="1" min="5" max="5" width="6.88"/>
    <col customWidth="1" min="6" max="6" width="11.13"/>
    <col customWidth="1" min="7" max="8" width="6.88"/>
    <col customWidth="1" min="9" max="9" width="14.13"/>
  </cols>
  <sheetData>
    <row r="1">
      <c r="A1" s="47" t="s">
        <v>52</v>
      </c>
      <c r="B1" s="48" t="s">
        <v>36</v>
      </c>
      <c r="C1" s="48" t="s">
        <v>62</v>
      </c>
      <c r="D1" s="48" t="s">
        <v>63</v>
      </c>
      <c r="E1" s="48" t="s">
        <v>64</v>
      </c>
      <c r="F1" s="48" t="s">
        <v>55</v>
      </c>
      <c r="G1" s="48" t="s">
        <v>65</v>
      </c>
      <c r="H1" s="48" t="s">
        <v>66</v>
      </c>
      <c r="I1" s="48" t="s">
        <v>67</v>
      </c>
    </row>
    <row r="2">
      <c r="A2" s="49"/>
      <c r="B2" s="11" t="s">
        <v>68</v>
      </c>
      <c r="C2" s="50">
        <v>6600.0</v>
      </c>
      <c r="D2" s="51">
        <v>462.0</v>
      </c>
      <c r="E2" s="51">
        <v>83.16</v>
      </c>
      <c r="F2" s="39">
        <f>C2-D2-E2</f>
        <v>6054.84</v>
      </c>
      <c r="G2" s="51">
        <v>6.6</v>
      </c>
      <c r="H2" s="51">
        <v>33.0</v>
      </c>
      <c r="I2" s="51">
        <v>6015.23</v>
      </c>
    </row>
    <row r="3">
      <c r="A3" s="49"/>
      <c r="B3" s="11"/>
      <c r="C3" s="52"/>
      <c r="D3" s="52"/>
      <c r="E3" s="52"/>
      <c r="F3" s="39"/>
      <c r="G3" s="53"/>
      <c r="H3" s="53"/>
      <c r="I3" s="53"/>
    </row>
    <row r="4">
      <c r="A4" s="24"/>
      <c r="B4" s="7"/>
      <c r="C4" s="54"/>
      <c r="D4" s="54"/>
      <c r="E4" s="11"/>
      <c r="F4" s="39"/>
      <c r="H4" s="11"/>
      <c r="I4" s="54"/>
    </row>
    <row r="5">
      <c r="A5" s="24"/>
      <c r="B5" s="7"/>
      <c r="C5" s="55"/>
      <c r="D5" s="56"/>
      <c r="E5" s="7"/>
      <c r="F5" s="45"/>
      <c r="G5" s="7"/>
      <c r="H5" s="7"/>
      <c r="I5" s="56"/>
    </row>
    <row r="6">
      <c r="A6" s="24"/>
      <c r="B6" s="7"/>
      <c r="C6" s="57">
        <f>SUM(C2:C4)</f>
        <v>6600</v>
      </c>
      <c r="D6" s="56"/>
      <c r="E6" s="7"/>
      <c r="F6" s="58">
        <f>SUM(F2:F4)</f>
        <v>6054.84</v>
      </c>
      <c r="G6" s="7"/>
      <c r="H6" s="7"/>
      <c r="I6" s="57">
        <f>SUM(I2:I4)</f>
        <v>6015.23</v>
      </c>
    </row>
  </sheetData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2.75"/>
    <col customWidth="1" min="4" max="4" width="23.88"/>
    <col customWidth="1" min="5" max="5" width="14.13"/>
  </cols>
  <sheetData>
    <row r="1">
      <c r="A1" s="47" t="s">
        <v>52</v>
      </c>
      <c r="B1" s="48" t="s">
        <v>36</v>
      </c>
      <c r="C1" s="59" t="s">
        <v>69</v>
      </c>
      <c r="D1" s="48" t="s">
        <v>63</v>
      </c>
      <c r="E1" s="48" t="s">
        <v>67</v>
      </c>
    </row>
    <row r="2">
      <c r="A2" s="60"/>
      <c r="B2" s="61" t="s">
        <v>68</v>
      </c>
      <c r="C2" s="11">
        <v>2329.82</v>
      </c>
      <c r="D2" s="62">
        <v>0.0</v>
      </c>
      <c r="E2" s="11">
        <v>2329.82</v>
      </c>
    </row>
    <row r="3">
      <c r="A3" s="24"/>
      <c r="B3" s="7"/>
      <c r="C3" s="7"/>
      <c r="D3" s="7"/>
      <c r="E3" s="7"/>
    </row>
  </sheetData>
  <hyperlinks>
    <hyperlink r:id="rId1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25"/>
    <col customWidth="1" min="3" max="3" width="18.25"/>
    <col customWidth="1" min="4" max="4" width="23.88"/>
    <col customWidth="1" min="5" max="5" width="14.13"/>
  </cols>
  <sheetData>
    <row r="1">
      <c r="A1" s="47" t="s">
        <v>52</v>
      </c>
      <c r="B1" s="48" t="s">
        <v>36</v>
      </c>
      <c r="C1" s="48" t="s">
        <v>70</v>
      </c>
      <c r="D1" s="48" t="s">
        <v>63</v>
      </c>
      <c r="E1" s="48" t="s">
        <v>67</v>
      </c>
    </row>
    <row r="2">
      <c r="A2" s="63"/>
      <c r="B2" s="11" t="s">
        <v>71</v>
      </c>
      <c r="C2" s="11">
        <v>984.0</v>
      </c>
      <c r="D2" s="11">
        <v>49.2</v>
      </c>
      <c r="E2" s="11">
        <f t="shared" ref="E2:E3" si="1">C2-D2</f>
        <v>934.8</v>
      </c>
    </row>
    <row r="3">
      <c r="A3" s="63"/>
      <c r="B3" s="11" t="s">
        <v>72</v>
      </c>
      <c r="C3" s="11">
        <v>2400.0</v>
      </c>
      <c r="D3" s="11">
        <v>122.0</v>
      </c>
      <c r="E3" s="11">
        <f t="shared" si="1"/>
        <v>2278</v>
      </c>
    </row>
    <row r="4">
      <c r="A4" s="24"/>
      <c r="B4" s="7"/>
      <c r="C4" s="64">
        <f t="shared" ref="C4:E4" si="2">SUM(C2:C3)</f>
        <v>3384</v>
      </c>
      <c r="D4" s="7">
        <f t="shared" si="2"/>
        <v>171.2</v>
      </c>
      <c r="E4" s="64">
        <f t="shared" si="2"/>
        <v>3212.8</v>
      </c>
    </row>
  </sheetData>
  <hyperlinks>
    <hyperlink r:id="rId1" ref="A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75"/>
    <col customWidth="1" min="4" max="4" width="18.5"/>
    <col customWidth="1" min="5" max="5" width="20.13"/>
    <col customWidth="1" min="6" max="6" width="14.13"/>
  </cols>
  <sheetData>
    <row r="1">
      <c r="A1" s="65" t="s">
        <v>52</v>
      </c>
      <c r="B1" s="48" t="s">
        <v>36</v>
      </c>
      <c r="C1" s="48" t="s">
        <v>73</v>
      </c>
      <c r="D1" s="59" t="s">
        <v>74</v>
      </c>
      <c r="E1" s="59" t="s">
        <v>75</v>
      </c>
      <c r="F1" s="48" t="s">
        <v>67</v>
      </c>
      <c r="G1" s="66"/>
    </row>
    <row r="2">
      <c r="A2" s="11"/>
      <c r="B2" s="11" t="s">
        <v>68</v>
      </c>
      <c r="C2" s="67">
        <v>3600.0</v>
      </c>
      <c r="D2" s="11">
        <v>2880.0</v>
      </c>
      <c r="E2" s="11">
        <v>57.6</v>
      </c>
      <c r="F2" s="67">
        <v>2822.4</v>
      </c>
      <c r="G2" s="66"/>
    </row>
    <row r="3">
      <c r="A3" s="66"/>
      <c r="B3" s="68"/>
      <c r="C3" s="69"/>
      <c r="D3" s="66"/>
      <c r="E3" s="66"/>
      <c r="F3" s="6"/>
      <c r="G3" s="66"/>
    </row>
    <row r="4">
      <c r="A4" s="66"/>
      <c r="B4" s="68"/>
      <c r="C4" s="69"/>
      <c r="D4" s="66"/>
      <c r="E4" s="66"/>
      <c r="F4" s="66"/>
      <c r="G4" s="66"/>
    </row>
    <row r="5">
      <c r="A5" s="70"/>
      <c r="B5" s="70"/>
      <c r="C5" s="71"/>
      <c r="D5" s="62"/>
      <c r="E5" s="62"/>
      <c r="F5" s="62"/>
      <c r="G5" s="62"/>
      <c r="H5" s="24"/>
      <c r="I5" s="24"/>
      <c r="J5" s="24"/>
      <c r="K5" s="24"/>
    </row>
    <row r="6">
      <c r="A6" s="66"/>
      <c r="B6" s="66"/>
      <c r="C6" s="72"/>
      <c r="D6" s="66"/>
      <c r="E6" s="66"/>
      <c r="F6" s="66"/>
      <c r="G6" s="66"/>
    </row>
  </sheetData>
  <hyperlinks>
    <hyperlink r:id="rId1" ref="A1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38"/>
    <col customWidth="1" min="6" max="6" width="14.13"/>
  </cols>
  <sheetData>
    <row r="1">
      <c r="A1" s="73" t="s">
        <v>52</v>
      </c>
      <c r="B1" s="48" t="s">
        <v>36</v>
      </c>
      <c r="C1" s="48" t="s">
        <v>76</v>
      </c>
      <c r="D1" s="48" t="s">
        <v>77</v>
      </c>
      <c r="E1" s="48" t="s">
        <v>75</v>
      </c>
      <c r="F1" s="48" t="s">
        <v>67</v>
      </c>
    </row>
    <row r="2">
      <c r="A2" s="24"/>
      <c r="B2" s="70">
        <v>45980.0</v>
      </c>
      <c r="C2" s="71">
        <v>3500.0</v>
      </c>
      <c r="D2" s="71">
        <v>105.0</v>
      </c>
      <c r="E2" s="74"/>
      <c r="F2" s="67">
        <v>3395.0</v>
      </c>
    </row>
  </sheetData>
  <hyperlinks>
    <hyperlink r:id="rId1" ref="A1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14.63"/>
    <col customWidth="1" min="3" max="3" width="17.13"/>
    <col customWidth="1" min="4" max="4" width="8.88"/>
    <col customWidth="1" min="5" max="5" width="15.25"/>
  </cols>
  <sheetData>
    <row r="1">
      <c r="A1" s="48" t="s">
        <v>78</v>
      </c>
      <c r="B1" s="48" t="s">
        <v>79</v>
      </c>
      <c r="C1" s="48" t="s">
        <v>80</v>
      </c>
      <c r="D1" s="48" t="s">
        <v>81</v>
      </c>
      <c r="E1" s="75" t="s">
        <v>82</v>
      </c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24"/>
      <c r="B2" s="24"/>
      <c r="C2" s="24"/>
      <c r="D2" s="23"/>
      <c r="E2" s="28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25"/>
  </cols>
  <sheetData>
    <row r="1">
      <c r="A1" s="59" t="s">
        <v>83</v>
      </c>
      <c r="B1" s="59" t="s">
        <v>84</v>
      </c>
      <c r="C1" s="59" t="s">
        <v>85</v>
      </c>
      <c r="D1" s="48" t="s">
        <v>81</v>
      </c>
      <c r="E1" s="75" t="s">
        <v>82</v>
      </c>
    </row>
    <row r="2">
      <c r="B2" s="12" t="s">
        <v>86</v>
      </c>
      <c r="C2" s="12" t="s">
        <v>87</v>
      </c>
      <c r="D2" s="76">
        <v>45986.0</v>
      </c>
      <c r="E2" s="12">
        <v>7000.0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10.88"/>
    <col customWidth="1" min="3" max="3" width="7.25"/>
    <col customWidth="1" min="4" max="4" width="7.38"/>
    <col customWidth="1" min="5" max="5" width="30.5"/>
  </cols>
  <sheetData>
    <row r="1">
      <c r="A1" s="77" t="s">
        <v>88</v>
      </c>
      <c r="B1" s="77" t="s">
        <v>89</v>
      </c>
      <c r="C1" s="77" t="s">
        <v>2</v>
      </c>
      <c r="D1" s="77" t="s">
        <v>90</v>
      </c>
      <c r="E1" s="77" t="s">
        <v>91</v>
      </c>
    </row>
    <row r="2">
      <c r="A2" s="78"/>
      <c r="B2" s="78"/>
      <c r="C2" s="79"/>
      <c r="D2" s="78"/>
      <c r="E2" s="78"/>
    </row>
  </sheetData>
  <drawing r:id="rId1"/>
</worksheet>
</file>