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District" sheetId="3" r:id="rId7"/>
    <sheet state="visible" name="Hudle" sheetId="4" r:id="rId8"/>
    <sheet state="visible" name="Playo" sheetId="5" r:id="rId9"/>
    <sheet state="visible" name="Other Income" sheetId="6" r:id="rId10"/>
  </sheets>
  <definedNames/>
  <calcPr/>
</workbook>
</file>

<file path=xl/sharedStrings.xml><?xml version="1.0" encoding="utf-8"?>
<sst xmlns="http://schemas.openxmlformats.org/spreadsheetml/2006/main" count="147" uniqueCount="73">
  <si>
    <t>Link</t>
  </si>
  <si>
    <t>Date</t>
  </si>
  <si>
    <t>1 - 31 May</t>
  </si>
  <si>
    <t>Day</t>
  </si>
  <si>
    <t>Offline booking hours</t>
  </si>
  <si>
    <t>Discount</t>
  </si>
  <si>
    <t>Booking Revenue</t>
  </si>
  <si>
    <t>Particulars</t>
  </si>
  <si>
    <t>Community</t>
  </si>
  <si>
    <t xml:space="preserve">Paddle Rental </t>
  </si>
  <si>
    <t>Total Revenue</t>
  </si>
  <si>
    <t>Amount</t>
  </si>
  <si>
    <t>Payment Gateway</t>
  </si>
  <si>
    <t>Net Revenue</t>
  </si>
  <si>
    <t>Pickleball</t>
  </si>
  <si>
    <t>Pay &amp; Play</t>
  </si>
  <si>
    <t>Friday</t>
  </si>
  <si>
    <t>10 and 20%</t>
  </si>
  <si>
    <t>Paid to Hudle</t>
  </si>
  <si>
    <t>Paid to District</t>
  </si>
  <si>
    <t>Commisions (Including GST)</t>
  </si>
  <si>
    <t>Commissions (₹)</t>
  </si>
  <si>
    <t>TDS</t>
  </si>
  <si>
    <t>TCS</t>
  </si>
  <si>
    <t>GST on Commission</t>
  </si>
  <si>
    <t xml:space="preserve">Online </t>
  </si>
  <si>
    <t>Final Amount (₹)</t>
  </si>
  <si>
    <t>District</t>
  </si>
  <si>
    <t>Hudle</t>
  </si>
  <si>
    <t>Playo</t>
  </si>
  <si>
    <t>Saturday</t>
  </si>
  <si>
    <t>Khelomore</t>
  </si>
  <si>
    <t>Zplys</t>
  </si>
  <si>
    <t>Total</t>
  </si>
  <si>
    <t>Sunday</t>
  </si>
  <si>
    <t>Offline</t>
  </si>
  <si>
    <t>Bookings</t>
  </si>
  <si>
    <t>Memberships</t>
  </si>
  <si>
    <t>Monday</t>
  </si>
  <si>
    <t>Pickup games</t>
  </si>
  <si>
    <t>Tuesday</t>
  </si>
  <si>
    <t>Social Events/Tournaments</t>
  </si>
  <si>
    <t>Academy</t>
  </si>
  <si>
    <t>Events &amp; Partnership</t>
  </si>
  <si>
    <t>Wednesday</t>
  </si>
  <si>
    <t>Corporate events</t>
  </si>
  <si>
    <t>All B2B partnerships</t>
  </si>
  <si>
    <t>Thursday</t>
  </si>
  <si>
    <t>Commerce</t>
  </si>
  <si>
    <t>Product rental</t>
  </si>
  <si>
    <t>Product sales</t>
  </si>
  <si>
    <t>F&amp;B</t>
  </si>
  <si>
    <t>Other Income</t>
  </si>
  <si>
    <t>(Note for CA Team: Please note that RallyGully hasn't received the 18000 rental for basketball rental service provided) - GST payment would have to be made by Drive &amp; Kick Team</t>
  </si>
  <si>
    <t>Total Gross Revenue</t>
  </si>
  <si>
    <t>Total Net Revenue (Post Commissions)</t>
  </si>
  <si>
    <t>Total Revenue post GST</t>
  </si>
  <si>
    <t>Drive &amp; Kick Share (70%)</t>
  </si>
  <si>
    <t>Drive &amp; Kick Share (Final share after incorporting 18k already received by Drive Kick)</t>
  </si>
  <si>
    <t>RallyGully's Share (30%)</t>
  </si>
  <si>
    <t>Month</t>
  </si>
  <si>
    <t>Coaching</t>
  </si>
  <si>
    <t>Sports Type</t>
  </si>
  <si>
    <t>Type</t>
  </si>
  <si>
    <t>Amount Collected</t>
  </si>
  <si>
    <t>May</t>
  </si>
  <si>
    <t>Basketball Coaching</t>
  </si>
  <si>
    <t>Basketball</t>
  </si>
  <si>
    <t>Paid to Playo (₹)</t>
  </si>
  <si>
    <t>3 days in week</t>
  </si>
  <si>
    <t>GST (₹)</t>
  </si>
  <si>
    <t>TDS (₹)</t>
  </si>
  <si>
    <t>TCS (₹)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</si>
</sst>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₹]#,##0.0"/>
    <numFmt numFmtId="165" formatCode="[&gt;9999999][$₹]##\,##\,##\,##0;[&gt;99999][$₹]##\,##\,##0;[$₹]##,##0"/>
    <numFmt numFmtId="166" formatCode="d mmmm"/>
    <numFmt numFmtId="167" formatCode="[$₹]#,##0.00"/>
    <numFmt numFmtId="168" formatCode="[$₹]#,##0"/>
    <numFmt numFmtId="169" formatCode="[&gt;9999999][$₹]##\,##\,##\,##0.00;[&gt;99999][$₹]##\,##\,##0.00;[$₹]##,##0.00"/>
    <numFmt numFmtId="170" formatCode="d mmm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/>
    <font>
      <color theme="1"/>
      <name val="Arial"/>
    </font>
    <font>
      <b/>
      <u/>
      <color rgb="FF0000FF"/>
      <name val="Arial"/>
    </font>
    <font>
      <b/>
      <sz val="11.0"/>
      <color theme="1"/>
      <name val="Calibri"/>
    </font>
    <font>
      <color theme="1"/>
      <name val="Arial"/>
      <scheme val="minor"/>
    </font>
    <font>
      <b/>
      <u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164" xfId="0" applyAlignment="1" applyBorder="1" applyFill="1" applyFont="1" applyNumberFormat="1">
      <alignment horizontal="center" vertical="bottom"/>
    </xf>
    <xf borderId="2" fillId="2" fontId="2" numFmtId="0" xfId="0" applyAlignment="1" applyBorder="1" applyFill="1" applyFont="1">
      <alignment horizontal="center" readingOrder="0" vertical="bottom"/>
    </xf>
    <xf borderId="1" fillId="2" fontId="2" numFmtId="3" xfId="0" applyAlignment="1" applyBorder="1" applyFill="1" applyFont="1" applyNumberFormat="1">
      <alignment horizontal="center" vertical="bottom"/>
    </xf>
    <xf borderId="3" fillId="0" fontId="3" numFmtId="0" xfId="0" applyBorder="1" applyFont="1"/>
    <xf borderId="1" fillId="0" fontId="2" numFmtId="0" xfId="0" applyAlignment="1" applyBorder="1" applyFont="1">
      <alignment horizontal="center" vertical="bottom"/>
    </xf>
    <xf borderId="0" fillId="0" fontId="4" numFmtId="0" xfId="0" applyAlignment="1" applyFont="1">
      <alignment vertical="bottom"/>
    </xf>
    <xf borderId="1" fillId="2" fontId="2" numFmtId="164" xfId="0" applyAlignment="1" applyBorder="1" applyFill="1" applyFont="1" applyNumberFormat="1">
      <alignment vertical="bottom"/>
    </xf>
    <xf borderId="1" fillId="2" fontId="4" numFmtId="0" xfId="0" applyAlignment="1" applyBorder="1" applyFill="1" applyFont="1">
      <alignment vertical="bottom"/>
    </xf>
    <xf borderId="1" fillId="2" fontId="2" numFmtId="0" xfId="0" applyAlignment="1" applyBorder="1" applyFill="1" applyFont="1">
      <alignment vertical="bottom"/>
    </xf>
    <xf borderId="1" fillId="2" fontId="2" numFmtId="165" xfId="0" applyAlignment="1" applyBorder="1" applyFill="1" applyFont="1" applyNumberFormat="1">
      <alignment horizontal="center" vertical="bottom"/>
    </xf>
    <xf borderId="1" fillId="0" fontId="2" numFmtId="0" xfId="0" applyAlignment="1" applyBorder="1" applyFont="1">
      <alignment vertical="bottom"/>
    </xf>
    <xf borderId="1" fillId="3" fontId="4" numFmtId="166" xfId="0" applyAlignment="1" applyBorder="1" applyFill="1" applyFont="1" applyNumberFormat="1">
      <alignment horizontal="right" vertical="bottom"/>
    </xf>
    <xf borderId="1" fillId="3" fontId="4" numFmtId="168" xfId="0" applyAlignment="1" applyBorder="1" applyFill="1" applyFont="1" applyNumberFormat="1">
      <alignment vertical="bottom"/>
    </xf>
    <xf borderId="1" fillId="2" fontId="5" numFmtId="167" xfId="0" applyAlignment="1" applyBorder="1" applyFill="1" applyFont="1" applyNumberFormat="1">
      <alignment horizontal="center" readingOrder="0" vertical="bottom"/>
    </xf>
    <xf borderId="1" fillId="0" fontId="4" numFmtId="3" xfId="0" applyAlignment="1" applyBorder="1" applyFont="1" applyNumberFormat="1">
      <alignment horizontal="right" readingOrder="0" vertical="bottom"/>
    </xf>
    <xf borderId="1" fillId="0" fontId="4" numFmtId="164" xfId="0" applyAlignment="1" applyBorder="1" applyFont="1" applyNumberFormat="1">
      <alignment horizontal="right" vertical="bottom"/>
    </xf>
    <xf borderId="1" fillId="2" fontId="2" numFmtId="167" xfId="0" applyAlignment="1" applyBorder="1" applyFill="1" applyFont="1" applyNumberFormat="1">
      <alignment horizontal="center" vertical="bottom"/>
    </xf>
    <xf borderId="1" fillId="0" fontId="4" numFmtId="164" xfId="0" applyAlignment="1" applyBorder="1" applyFont="1" applyNumberFormat="1">
      <alignment horizontal="right" readingOrder="0" vertical="bottom"/>
    </xf>
    <xf borderId="1" fillId="0" fontId="2" numFmtId="165" xfId="0" applyAlignment="1" applyBorder="1" applyFont="1" applyNumberFormat="1">
      <alignment horizontal="right" vertical="bottom"/>
    </xf>
    <xf borderId="0" fillId="2" fontId="6" numFmtId="167" xfId="0" applyAlignment="1" applyFill="1" applyFont="1" applyNumberFormat="1">
      <alignment vertical="bottom"/>
    </xf>
    <xf borderId="1" fillId="0" fontId="4" numFmtId="167" xfId="0" applyAlignment="1" applyBorder="1" applyFont="1" applyNumberFormat="1">
      <alignment vertical="bottom"/>
    </xf>
    <xf borderId="0" fillId="2" fontId="2" numFmtId="167" xfId="0" applyAlignment="1" applyFill="1" applyFont="1" applyNumberFormat="1">
      <alignment horizontal="center" vertical="bottom"/>
    </xf>
    <xf borderId="1" fillId="0" fontId="4" numFmtId="167" xfId="0" applyAlignment="1" applyBorder="1" applyFont="1" applyNumberFormat="1">
      <alignment readingOrder="0" vertical="bottom"/>
    </xf>
    <xf borderId="1" fillId="0" fontId="4" numFmtId="169" xfId="0" applyAlignment="1" applyBorder="1" applyFont="1" applyNumberFormat="1">
      <alignment horizontal="right" readingOrder="0" vertical="bottom"/>
    </xf>
    <xf borderId="1" fillId="0" fontId="4" numFmtId="0" xfId="0" applyAlignment="1" applyBorder="1" applyFont="1">
      <alignment vertical="bottom"/>
    </xf>
    <xf borderId="0" fillId="0" fontId="4" numFmtId="170" xfId="0" applyAlignment="1" applyFont="1" applyNumberFormat="1">
      <alignment vertical="bottom"/>
    </xf>
    <xf borderId="1" fillId="0" fontId="4" numFmtId="167" xfId="0" applyAlignment="1" applyBorder="1" applyFont="1" applyNumberFormat="1">
      <alignment horizontal="right" readingOrder="0" vertical="bottom"/>
    </xf>
    <xf borderId="1" fillId="0" fontId="4" numFmtId="165" xfId="0" applyAlignment="1" applyBorder="1" applyFont="1" applyNumberFormat="1">
      <alignment vertical="bottom"/>
    </xf>
    <xf borderId="1" fillId="0" fontId="4" numFmtId="169" xfId="0" applyAlignment="1" applyBorder="1" applyFont="1" applyNumberFormat="1">
      <alignment horizontal="right" vertical="bottom"/>
    </xf>
    <xf borderId="1" fillId="0" fontId="4" numFmtId="168" xfId="0" applyAlignment="1" applyBorder="1" applyFont="1" applyNumberFormat="1">
      <alignment horizontal="right" vertical="bottom"/>
    </xf>
    <xf borderId="0" fillId="3" fontId="4" numFmtId="167" xfId="0" applyAlignment="1" applyFill="1" applyFont="1" applyNumberFormat="1">
      <alignment vertical="bottom"/>
    </xf>
    <xf borderId="1" fillId="3" fontId="4" numFmtId="165" xfId="0" applyAlignment="1" applyBorder="1" applyFill="1" applyFont="1" applyNumberFormat="1">
      <alignment readingOrder="0" vertical="bottom"/>
    </xf>
    <xf borderId="1" fillId="3" fontId="4" numFmtId="169" xfId="0" applyAlignment="1" applyBorder="1" applyFill="1" applyFont="1" applyNumberFormat="1">
      <alignment horizontal="right" readingOrder="0" vertical="bottom"/>
    </xf>
    <xf borderId="1" fillId="3" fontId="4" numFmtId="167" xfId="0" applyAlignment="1" applyBorder="1" applyFill="1" applyFont="1" applyNumberFormat="1">
      <alignment readingOrder="0" vertical="bottom"/>
    </xf>
    <xf borderId="1" fillId="0" fontId="4" numFmtId="0" xfId="0" applyAlignment="1" applyBorder="1" applyFont="1">
      <alignment vertical="bottom"/>
    </xf>
    <xf borderId="0" fillId="0" fontId="4" numFmtId="167" xfId="0" applyAlignment="1" applyFont="1" applyNumberFormat="1">
      <alignment vertical="bottom"/>
    </xf>
    <xf borderId="1" fillId="0" fontId="4" numFmtId="165" xfId="0" applyAlignment="1" applyBorder="1" applyFont="1" applyNumberFormat="1">
      <alignment readingOrder="0" vertical="bottom"/>
    </xf>
    <xf borderId="0" fillId="0" fontId="2" numFmtId="0" xfId="0" applyAlignment="1" applyFont="1">
      <alignment vertical="bottom"/>
    </xf>
    <xf borderId="1" fillId="0" fontId="4" numFmtId="169" xfId="0" applyAlignment="1" applyBorder="1" applyFont="1" applyNumberFormat="1">
      <alignment readingOrder="0" vertical="bottom"/>
    </xf>
    <xf borderId="1" fillId="0" fontId="2" numFmtId="0" xfId="0" applyAlignment="1" applyBorder="1" applyFont="1">
      <alignment vertical="bottom"/>
    </xf>
    <xf borderId="1" fillId="3" fontId="4" numFmtId="3" xfId="0" applyAlignment="1" applyBorder="1" applyFill="1" applyFont="1" applyNumberFormat="1">
      <alignment horizontal="right" readingOrder="0" vertical="bottom"/>
    </xf>
    <xf borderId="1" fillId="2" fontId="2" numFmtId="167" xfId="0" applyAlignment="1" applyBorder="1" applyFill="1" applyFont="1" applyNumberFormat="1">
      <alignment vertical="bottom"/>
    </xf>
    <xf borderId="1" fillId="0" fontId="4" numFmtId="0" xfId="0" applyAlignment="1" applyBorder="1" applyFont="1">
      <alignment horizontal="right" readingOrder="0" vertical="bottom"/>
    </xf>
    <xf borderId="1" fillId="2" fontId="2" numFmtId="169" xfId="0" applyAlignment="1" applyBorder="1" applyFill="1" applyFont="1" applyNumberFormat="1">
      <alignment horizontal="right" vertical="bottom"/>
    </xf>
    <xf borderId="1" fillId="2" fontId="4" numFmtId="167" xfId="0" applyAlignment="1" applyBorder="1" applyFill="1" applyFont="1" applyNumberFormat="1">
      <alignment vertical="bottom"/>
    </xf>
    <xf borderId="1" fillId="2" fontId="2" numFmtId="167" xfId="0" applyAlignment="1" applyBorder="1" applyFill="1" applyFont="1" applyNumberFormat="1">
      <alignment horizontal="right" vertical="bottom"/>
    </xf>
    <xf borderId="1" fillId="2" fontId="4" numFmtId="169" xfId="0" applyAlignment="1" applyBorder="1" applyFill="1" applyFont="1" applyNumberFormat="1">
      <alignment vertical="bottom"/>
    </xf>
    <xf borderId="0" fillId="0" fontId="7" numFmtId="10" xfId="0" applyFont="1" applyNumberFormat="1"/>
    <xf borderId="1" fillId="0" fontId="4" numFmtId="165" xfId="0" applyAlignment="1" applyBorder="1" applyFont="1" applyNumberFormat="1">
      <alignment horizontal="right" vertical="bottom"/>
    </xf>
    <xf borderId="1" fillId="0" fontId="4" numFmtId="165" xfId="0" applyAlignment="1" applyBorder="1" applyFont="1" applyNumberFormat="1">
      <alignment horizontal="right" readingOrder="0" vertical="bottom"/>
    </xf>
    <xf borderId="0" fillId="0" fontId="7" numFmtId="0" xfId="0" applyAlignment="1" applyFont="1">
      <alignment readingOrder="0"/>
    </xf>
    <xf borderId="1" fillId="2" fontId="2" numFmtId="165" xfId="0" applyAlignment="1" applyBorder="1" applyFill="1" applyFont="1" applyNumberFormat="1">
      <alignment horizontal="right" vertical="bottom"/>
    </xf>
    <xf borderId="1" fillId="0" fontId="4" numFmtId="0" xfId="0" applyAlignment="1" applyBorder="1" applyFont="1">
      <alignment shrinkToFit="0" vertical="bottom" wrapText="1"/>
    </xf>
    <xf borderId="1" fillId="0" fontId="2" numFmtId="167" xfId="0" applyAlignment="1" applyBorder="1" applyFont="1" applyNumberFormat="1">
      <alignment vertical="bottom"/>
    </xf>
    <xf borderId="1" fillId="0" fontId="4" numFmtId="168" xfId="0" applyAlignment="1" applyBorder="1" applyFont="1" applyNumberFormat="1">
      <alignment horizontal="right" shrinkToFit="0" vertical="bottom" wrapText="1"/>
    </xf>
    <xf borderId="1" fillId="0" fontId="4" numFmtId="1" xfId="0" applyAlignment="1" applyBorder="1" applyFont="1" applyNumberFormat="1">
      <alignment horizontal="right" readingOrder="0" vertical="bottom"/>
    </xf>
    <xf borderId="1" fillId="3" fontId="4" numFmtId="167" xfId="0" applyAlignment="1" applyBorder="1" applyFill="1" applyFont="1" applyNumberFormat="1">
      <alignment horizontal="right" readingOrder="0" vertical="bottom"/>
    </xf>
    <xf borderId="1" fillId="2" fontId="2" numFmtId="0" xfId="0" applyAlignment="1" applyBorder="1" applyFill="1" applyFont="1">
      <alignment horizontal="right" vertical="bottom"/>
    </xf>
    <xf borderId="1" fillId="2" fontId="4" numFmtId="3" xfId="0" applyAlignment="1" applyBorder="1" applyFill="1" applyFont="1" applyNumberFormat="1">
      <alignment vertical="bottom"/>
    </xf>
    <xf borderId="1" fillId="2" fontId="2" numFmtId="0" xfId="0" applyAlignment="1" applyBorder="1" applyFill="1" applyFont="1">
      <alignment horizontal="center" vertical="bottom"/>
    </xf>
    <xf borderId="0" fillId="2" fontId="8" numFmtId="164" xfId="0" applyAlignment="1" applyFill="1" applyFont="1" applyNumberFormat="1">
      <alignment horizontal="center" readingOrder="0" vertical="bottom"/>
    </xf>
    <xf borderId="1" fillId="0" fontId="4" numFmtId="0" xfId="0" applyAlignment="1" applyBorder="1" applyFont="1">
      <alignment readingOrder="0" vertical="bottom"/>
    </xf>
    <xf borderId="1" fillId="0" fontId="4" numFmtId="170" xfId="0" applyAlignment="1" applyBorder="1" applyFont="1" applyNumberFormat="1">
      <alignment vertical="bottom"/>
    </xf>
    <xf borderId="1" fillId="0" fontId="2" numFmtId="169" xfId="0" applyAlignment="1" applyBorder="1" applyFont="1" applyNumberFormat="1">
      <alignment horizontal="right" vertical="bottom"/>
    </xf>
    <xf borderId="0" fillId="0" fontId="7" numFmtId="164" xfId="0" applyFont="1" applyNumberFormat="1"/>
    <xf borderId="1" fillId="0" fontId="4" numFmtId="164" xfId="0" applyAlignment="1" applyBorder="1" applyFont="1" applyNumberFormat="1">
      <alignment vertical="bottom"/>
    </xf>
    <xf borderId="1" fillId="3" fontId="4" numFmtId="164" xfId="0" applyAlignment="1" applyBorder="1" applyFill="1" applyFont="1" applyNumberFormat="1">
      <alignment vertical="bottom"/>
    </xf>
    <xf borderId="1" fillId="2" fontId="2" numFmtId="164" xfId="0" applyAlignment="1" applyBorder="1" applyFill="1" applyFont="1" applyNumberFormat="1">
      <alignment horizontal="right" vertical="bottom"/>
    </xf>
    <xf borderId="1" fillId="2" fontId="4" numFmtId="164" xfId="0" applyAlignment="1" applyBorder="1" applyFill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zjxXkKP_xd_TbdEJ3ZZb2rn7lRYGMSsN670CuwINbHs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x_eNbvMgFN7CObWRv63Tn3k5DxAM_ekSMT0jQX6s52w/edit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oH0HqZlPOwtN-Xm-zglI62tHrM1Ojt70bkwQGYCJwKU/edit?usp=sharing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32.0"/>
  </cols>
  <sheetData>
    <row r="1">
      <c r="A1" s="1"/>
    </row>
    <row r="2">
      <c r="B2" s="3" t="s">
        <v>2</v>
      </c>
      <c r="C2" s="5"/>
    </row>
    <row r="3">
      <c r="B3" s="6" t="s">
        <v>7</v>
      </c>
      <c r="C3" s="6" t="s">
        <v>11</v>
      </c>
      <c r="E3" s="7"/>
    </row>
    <row r="4">
      <c r="B4" s="9"/>
      <c r="C4" s="11" t="s">
        <v>14</v>
      </c>
      <c r="E4" s="7"/>
    </row>
    <row r="5">
      <c r="B5" s="12" t="s">
        <v>15</v>
      </c>
      <c r="C5" s="20">
        <f>sum(C6,C12)</f>
        <v>98847</v>
      </c>
      <c r="E5" s="7"/>
    </row>
    <row r="6">
      <c r="B6" s="12" t="s">
        <v>25</v>
      </c>
      <c r="C6" s="20">
        <f>sum(C7:C11)</f>
        <v>82967</v>
      </c>
      <c r="E6" s="7"/>
    </row>
    <row r="7" outlineLevel="1">
      <c r="B7" s="26" t="s">
        <v>27</v>
      </c>
      <c r="C7" s="29">
        <f>District!C4</f>
        <v>78175</v>
      </c>
      <c r="E7" s="7"/>
    </row>
    <row r="8" outlineLevel="1">
      <c r="B8" s="26" t="s">
        <v>28</v>
      </c>
      <c r="C8" s="29">
        <f>Hudle!C4</f>
        <v>3192</v>
      </c>
      <c r="E8" s="7"/>
    </row>
    <row r="9" outlineLevel="1">
      <c r="B9" s="26" t="s">
        <v>29</v>
      </c>
      <c r="C9" s="29">
        <f>Playo!C3</f>
        <v>1600</v>
      </c>
      <c r="E9" s="7"/>
    </row>
    <row r="10" outlineLevel="1">
      <c r="B10" s="36" t="s">
        <v>31</v>
      </c>
      <c r="C10" s="38">
        <v>0.0</v>
      </c>
      <c r="E10" s="39"/>
    </row>
    <row r="11" outlineLevel="1">
      <c r="B11" s="26" t="s">
        <v>32</v>
      </c>
      <c r="C11" s="38">
        <v>0.0</v>
      </c>
      <c r="E11" s="39"/>
    </row>
    <row r="12">
      <c r="B12" s="41" t="s">
        <v>35</v>
      </c>
      <c r="C12" s="20">
        <f>sum(C13:C14)</f>
        <v>15880</v>
      </c>
    </row>
    <row r="13" outlineLevel="1">
      <c r="B13" s="26" t="s">
        <v>36</v>
      </c>
      <c r="C13" s="29">
        <f>'Offline &amp; RG Community'!E33</f>
        <v>15880</v>
      </c>
    </row>
    <row r="14" outlineLevel="1">
      <c r="B14" s="22" t="s">
        <v>37</v>
      </c>
      <c r="C14" s="38">
        <v>0.0</v>
      </c>
      <c r="E14" s="7"/>
    </row>
    <row r="15">
      <c r="B15" s="41" t="s">
        <v>8</v>
      </c>
      <c r="C15" s="20">
        <f>sum(C16:C17)</f>
        <v>7600</v>
      </c>
      <c r="E15" s="7"/>
    </row>
    <row r="16" outlineLevel="1">
      <c r="B16" s="36" t="s">
        <v>39</v>
      </c>
      <c r="C16" s="29">
        <f>'Offline &amp; RG Community'!F33</f>
        <v>7600</v>
      </c>
      <c r="E16" s="7"/>
    </row>
    <row r="17" outlineLevel="1">
      <c r="B17" s="36" t="s">
        <v>41</v>
      </c>
      <c r="C17" s="38">
        <v>0.0</v>
      </c>
    </row>
    <row r="18">
      <c r="B18" s="41" t="s">
        <v>42</v>
      </c>
      <c r="C18" s="20">
        <v>0.0</v>
      </c>
      <c r="E18" s="7"/>
    </row>
    <row r="19">
      <c r="B19" s="12" t="s">
        <v>43</v>
      </c>
      <c r="C19" s="20">
        <f>sum(C20,C21)</f>
        <v>0</v>
      </c>
    </row>
    <row r="20" outlineLevel="1">
      <c r="B20" s="26" t="s">
        <v>45</v>
      </c>
      <c r="C20" s="50">
        <v>0.0</v>
      </c>
    </row>
    <row r="21" outlineLevel="1">
      <c r="B21" s="36" t="s">
        <v>46</v>
      </c>
      <c r="C21" s="51">
        <v>0.0</v>
      </c>
    </row>
    <row r="22">
      <c r="B22" s="12" t="s">
        <v>48</v>
      </c>
      <c r="C22" s="20">
        <f>sum(C23:C25)</f>
        <v>7875</v>
      </c>
    </row>
    <row r="23" outlineLevel="1">
      <c r="B23" s="26" t="s">
        <v>49</v>
      </c>
      <c r="C23" s="50">
        <f>'Offline &amp; RG Community'!G33</f>
        <v>7875</v>
      </c>
    </row>
    <row r="24" outlineLevel="1">
      <c r="B24" s="26" t="s">
        <v>50</v>
      </c>
      <c r="C24" s="38">
        <v>0.0</v>
      </c>
    </row>
    <row r="25" outlineLevel="1">
      <c r="B25" s="26" t="s">
        <v>51</v>
      </c>
      <c r="C25" s="51">
        <v>0.0</v>
      </c>
    </row>
    <row r="26">
      <c r="B26" s="12" t="s">
        <v>52</v>
      </c>
      <c r="C26" s="20">
        <f>'Other Income'!E2</f>
        <v>18000</v>
      </c>
      <c r="D26" s="52" t="s">
        <v>53</v>
      </c>
    </row>
    <row r="27">
      <c r="B27" s="10" t="s">
        <v>54</v>
      </c>
      <c r="C27" s="53">
        <f>sum(C26+C22+C19+C18+C15+C12+C6)</f>
        <v>132322</v>
      </c>
    </row>
    <row r="28">
      <c r="B28" s="54" t="s">
        <v>55</v>
      </c>
      <c r="C28" s="55">
        <f>'Offline &amp; RG Community'!J33+District!F4+Hudle!E4+Playo!F3+'Other Income'!E2</f>
        <v>124115.0275</v>
      </c>
    </row>
    <row r="29">
      <c r="B29" s="12" t="s">
        <v>56</v>
      </c>
      <c r="C29" s="20">
        <f>C28/1.18</f>
        <v>105182.2267</v>
      </c>
    </row>
    <row r="30">
      <c r="B30" s="26" t="s">
        <v>57</v>
      </c>
      <c r="C30" s="56">
        <f>C29*70%</f>
        <v>73627.55869</v>
      </c>
    </row>
    <row r="31">
      <c r="B31" s="54" t="s">
        <v>58</v>
      </c>
      <c r="C31" s="56">
        <f>C30-C26</f>
        <v>55627.55869</v>
      </c>
    </row>
    <row r="32">
      <c r="B32" s="26" t="s">
        <v>59</v>
      </c>
      <c r="C32" s="56">
        <f>C29*30%</f>
        <v>31554.66801</v>
      </c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3" max="3" width="18.25"/>
    <col customWidth="1" min="4" max="4" width="9.88"/>
    <col customWidth="1" min="5" max="5" width="15.13"/>
    <col customWidth="1" min="6" max="6" width="17.63"/>
    <col customWidth="1" min="8" max="9" width="15.25"/>
  </cols>
  <sheetData>
    <row r="1">
      <c r="A1" s="2" t="s">
        <v>1</v>
      </c>
      <c r="B1" s="2" t="s">
        <v>3</v>
      </c>
      <c r="C1" s="4" t="s">
        <v>4</v>
      </c>
      <c r="D1" s="2" t="s">
        <v>5</v>
      </c>
      <c r="E1" s="2" t="s">
        <v>6</v>
      </c>
      <c r="F1" s="2" t="s">
        <v>8</v>
      </c>
      <c r="G1" s="2" t="s">
        <v>9</v>
      </c>
      <c r="H1" s="2" t="s">
        <v>10</v>
      </c>
      <c r="I1" s="8" t="s">
        <v>12</v>
      </c>
      <c r="J1" s="10" t="s">
        <v>13</v>
      </c>
    </row>
    <row r="2">
      <c r="A2" s="13">
        <v>46143.0</v>
      </c>
      <c r="B2" s="14" t="s">
        <v>16</v>
      </c>
      <c r="C2" s="16">
        <v>0.0</v>
      </c>
      <c r="D2" s="17" t="s">
        <v>17</v>
      </c>
      <c r="E2" s="19">
        <v>0.0</v>
      </c>
      <c r="F2" s="19">
        <v>0.0</v>
      </c>
      <c r="G2" s="19">
        <v>200.0</v>
      </c>
      <c r="H2" s="17">
        <f t="shared" ref="H2:H16" si="1">sum(E2:G2)</f>
        <v>200</v>
      </c>
      <c r="I2" s="31">
        <f t="shared" ref="I2:I32" si="2">H2*2.5%*1.18</f>
        <v>5.9</v>
      </c>
      <c r="J2" s="31">
        <f t="shared" ref="J2:J32" si="3">H2-I2</f>
        <v>194.1</v>
      </c>
    </row>
    <row r="3">
      <c r="A3" s="13">
        <v>46144.0</v>
      </c>
      <c r="B3" s="14" t="s">
        <v>30</v>
      </c>
      <c r="C3" s="16">
        <v>1.0</v>
      </c>
      <c r="D3" s="17" t="s">
        <v>17</v>
      </c>
      <c r="E3" s="19">
        <v>640.0</v>
      </c>
      <c r="F3" s="19">
        <v>0.0</v>
      </c>
      <c r="G3" s="19">
        <v>0.0</v>
      </c>
      <c r="H3" s="17">
        <f t="shared" si="1"/>
        <v>640</v>
      </c>
      <c r="I3" s="31">
        <f t="shared" si="2"/>
        <v>18.88</v>
      </c>
      <c r="J3" s="31">
        <f t="shared" si="3"/>
        <v>621.12</v>
      </c>
    </row>
    <row r="4">
      <c r="A4" s="13">
        <v>46145.0</v>
      </c>
      <c r="B4" s="14" t="s">
        <v>34</v>
      </c>
      <c r="C4" s="42">
        <v>2.0</v>
      </c>
      <c r="D4" s="17" t="s">
        <v>17</v>
      </c>
      <c r="E4" s="19">
        <v>1280.0</v>
      </c>
      <c r="F4" s="44">
        <v>0.0</v>
      </c>
      <c r="G4" s="19">
        <v>400.0</v>
      </c>
      <c r="H4" s="17">
        <f t="shared" si="1"/>
        <v>1680</v>
      </c>
      <c r="I4" s="31">
        <f t="shared" si="2"/>
        <v>49.56</v>
      </c>
      <c r="J4" s="31">
        <f t="shared" si="3"/>
        <v>1630.44</v>
      </c>
    </row>
    <row r="5">
      <c r="A5" s="13">
        <v>46146.0</v>
      </c>
      <c r="B5" s="14" t="s">
        <v>38</v>
      </c>
      <c r="C5" s="16">
        <v>3.0</v>
      </c>
      <c r="D5" s="17" t="s">
        <v>17</v>
      </c>
      <c r="E5" s="19">
        <v>2000.0</v>
      </c>
      <c r="F5" s="19">
        <v>0.0</v>
      </c>
      <c r="G5" s="19">
        <v>400.0</v>
      </c>
      <c r="H5" s="17">
        <f t="shared" si="1"/>
        <v>2400</v>
      </c>
      <c r="I5" s="31">
        <f t="shared" si="2"/>
        <v>70.8</v>
      </c>
      <c r="J5" s="31">
        <f t="shared" si="3"/>
        <v>2329.2</v>
      </c>
    </row>
    <row r="6">
      <c r="A6" s="13">
        <v>46147.0</v>
      </c>
      <c r="B6" s="14" t="s">
        <v>40</v>
      </c>
      <c r="C6" s="16">
        <v>0.1</v>
      </c>
      <c r="D6" s="17" t="s">
        <v>17</v>
      </c>
      <c r="E6" s="19">
        <v>100.0</v>
      </c>
      <c r="F6" s="19">
        <v>0.0</v>
      </c>
      <c r="G6" s="19">
        <v>50.0</v>
      </c>
      <c r="H6" s="17">
        <f t="shared" si="1"/>
        <v>150</v>
      </c>
      <c r="I6" s="31">
        <f t="shared" si="2"/>
        <v>4.425</v>
      </c>
      <c r="J6" s="31">
        <f t="shared" si="3"/>
        <v>145.575</v>
      </c>
    </row>
    <row r="7">
      <c r="A7" s="13">
        <v>46148.0</v>
      </c>
      <c r="B7" s="14" t="s">
        <v>44</v>
      </c>
      <c r="C7" s="16">
        <v>2.0</v>
      </c>
      <c r="D7" s="17" t="s">
        <v>17</v>
      </c>
      <c r="E7" s="19">
        <v>1280.0</v>
      </c>
      <c r="F7" s="19">
        <v>0.0</v>
      </c>
      <c r="G7" s="19">
        <v>50.0</v>
      </c>
      <c r="H7" s="17">
        <f t="shared" si="1"/>
        <v>1330</v>
      </c>
      <c r="I7" s="31">
        <f t="shared" si="2"/>
        <v>39.235</v>
      </c>
      <c r="J7" s="31">
        <f t="shared" si="3"/>
        <v>1290.765</v>
      </c>
    </row>
    <row r="8">
      <c r="A8" s="13">
        <v>46149.0</v>
      </c>
      <c r="B8" s="14" t="s">
        <v>47</v>
      </c>
      <c r="C8" s="16">
        <v>1.0</v>
      </c>
      <c r="D8" s="17" t="s">
        <v>17</v>
      </c>
      <c r="E8" s="19">
        <v>720.0</v>
      </c>
      <c r="F8" s="19">
        <v>0.0</v>
      </c>
      <c r="G8" s="19">
        <v>250.0</v>
      </c>
      <c r="H8" s="17">
        <f t="shared" si="1"/>
        <v>970</v>
      </c>
      <c r="I8" s="31">
        <f t="shared" si="2"/>
        <v>28.615</v>
      </c>
      <c r="J8" s="31">
        <f t="shared" si="3"/>
        <v>941.385</v>
      </c>
    </row>
    <row r="9">
      <c r="A9" s="13">
        <v>46150.0</v>
      </c>
      <c r="B9" s="14" t="s">
        <v>16</v>
      </c>
      <c r="C9" s="16">
        <v>0.0</v>
      </c>
      <c r="D9" s="17" t="s">
        <v>17</v>
      </c>
      <c r="E9" s="19">
        <v>0.0</v>
      </c>
      <c r="F9" s="19">
        <v>0.0</v>
      </c>
      <c r="G9" s="19">
        <v>200.0</v>
      </c>
      <c r="H9" s="17">
        <f t="shared" si="1"/>
        <v>200</v>
      </c>
      <c r="I9" s="31">
        <f t="shared" si="2"/>
        <v>5.9</v>
      </c>
      <c r="J9" s="31">
        <f t="shared" si="3"/>
        <v>194.1</v>
      </c>
    </row>
    <row r="10">
      <c r="A10" s="13">
        <v>46151.0</v>
      </c>
      <c r="B10" s="14" t="s">
        <v>30</v>
      </c>
      <c r="C10" s="16">
        <v>2.0</v>
      </c>
      <c r="D10" s="17" t="s">
        <v>17</v>
      </c>
      <c r="E10" s="19">
        <v>1360.0</v>
      </c>
      <c r="F10" s="19">
        <v>2800.0</v>
      </c>
      <c r="G10" s="19">
        <v>650.0</v>
      </c>
      <c r="H10" s="17">
        <f t="shared" si="1"/>
        <v>4810</v>
      </c>
      <c r="I10" s="31">
        <f t="shared" si="2"/>
        <v>141.895</v>
      </c>
      <c r="J10" s="31">
        <f t="shared" si="3"/>
        <v>4668.105</v>
      </c>
    </row>
    <row r="11">
      <c r="A11" s="13">
        <v>46152.0</v>
      </c>
      <c r="B11" s="14" t="s">
        <v>34</v>
      </c>
      <c r="C11" s="16">
        <v>1.5</v>
      </c>
      <c r="D11" s="17" t="s">
        <v>17</v>
      </c>
      <c r="E11" s="19">
        <v>1060.0</v>
      </c>
      <c r="F11" s="19">
        <v>2600.0</v>
      </c>
      <c r="G11" s="19">
        <v>750.0</v>
      </c>
      <c r="H11" s="17">
        <f t="shared" si="1"/>
        <v>4410</v>
      </c>
      <c r="I11" s="31">
        <f t="shared" si="2"/>
        <v>130.095</v>
      </c>
      <c r="J11" s="31">
        <f t="shared" si="3"/>
        <v>4279.905</v>
      </c>
    </row>
    <row r="12">
      <c r="A12" s="13">
        <v>46153.0</v>
      </c>
      <c r="B12" s="14" t="s">
        <v>38</v>
      </c>
      <c r="C12" s="16">
        <v>0.0</v>
      </c>
      <c r="D12" s="17" t="s">
        <v>17</v>
      </c>
      <c r="E12" s="19">
        <v>0.0</v>
      </c>
      <c r="F12" s="19">
        <v>0.0</v>
      </c>
      <c r="G12" s="19">
        <v>100.0</v>
      </c>
      <c r="H12" s="17">
        <f t="shared" si="1"/>
        <v>100</v>
      </c>
      <c r="I12" s="31">
        <f t="shared" si="2"/>
        <v>2.95</v>
      </c>
      <c r="J12" s="31">
        <f t="shared" si="3"/>
        <v>97.05</v>
      </c>
    </row>
    <row r="13">
      <c r="A13" s="13">
        <v>46154.0</v>
      </c>
      <c r="B13" s="14" t="s">
        <v>40</v>
      </c>
      <c r="C13" s="16">
        <v>0.0</v>
      </c>
      <c r="D13" s="17" t="s">
        <v>17</v>
      </c>
      <c r="E13" s="19">
        <v>0.0</v>
      </c>
      <c r="F13" s="19">
        <v>0.0</v>
      </c>
      <c r="G13" s="19">
        <v>200.0</v>
      </c>
      <c r="H13" s="17">
        <f t="shared" si="1"/>
        <v>200</v>
      </c>
      <c r="I13" s="31">
        <f t="shared" si="2"/>
        <v>5.9</v>
      </c>
      <c r="J13" s="31">
        <f t="shared" si="3"/>
        <v>194.1</v>
      </c>
    </row>
    <row r="14">
      <c r="A14" s="13">
        <v>46155.0</v>
      </c>
      <c r="B14" s="14" t="s">
        <v>44</v>
      </c>
      <c r="C14" s="16">
        <v>0.0</v>
      </c>
      <c r="D14" s="17" t="s">
        <v>17</v>
      </c>
      <c r="E14" s="19">
        <v>0.0</v>
      </c>
      <c r="F14" s="19">
        <v>0.0</v>
      </c>
      <c r="G14" s="19">
        <v>100.0</v>
      </c>
      <c r="H14" s="17">
        <f t="shared" si="1"/>
        <v>100</v>
      </c>
      <c r="I14" s="31">
        <f t="shared" si="2"/>
        <v>2.95</v>
      </c>
      <c r="J14" s="31">
        <f t="shared" si="3"/>
        <v>97.05</v>
      </c>
    </row>
    <row r="15">
      <c r="A15" s="13">
        <v>46156.0</v>
      </c>
      <c r="B15" s="14" t="s">
        <v>47</v>
      </c>
      <c r="C15" s="16">
        <v>0.0</v>
      </c>
      <c r="D15" s="17" t="s">
        <v>17</v>
      </c>
      <c r="E15" s="19">
        <v>0.0</v>
      </c>
      <c r="F15" s="19">
        <v>0.0</v>
      </c>
      <c r="G15" s="19">
        <v>150.0</v>
      </c>
      <c r="H15" s="17">
        <f t="shared" si="1"/>
        <v>150</v>
      </c>
      <c r="I15" s="31">
        <f t="shared" si="2"/>
        <v>4.425</v>
      </c>
      <c r="J15" s="31">
        <f t="shared" si="3"/>
        <v>145.575</v>
      </c>
    </row>
    <row r="16">
      <c r="A16" s="13">
        <v>46157.0</v>
      </c>
      <c r="B16" s="14" t="s">
        <v>16</v>
      </c>
      <c r="C16" s="16">
        <v>2.0</v>
      </c>
      <c r="D16" s="17" t="s">
        <v>17</v>
      </c>
      <c r="E16" s="19">
        <v>1440.0</v>
      </c>
      <c r="F16" s="19">
        <v>0.0</v>
      </c>
      <c r="G16" s="19">
        <v>300.0</v>
      </c>
      <c r="H16" s="17">
        <f t="shared" si="1"/>
        <v>1740</v>
      </c>
      <c r="I16" s="31">
        <f t="shared" si="2"/>
        <v>51.33</v>
      </c>
      <c r="J16" s="31">
        <f t="shared" si="3"/>
        <v>1688.67</v>
      </c>
    </row>
    <row r="17">
      <c r="A17" s="13">
        <v>46158.0</v>
      </c>
      <c r="B17" s="14" t="s">
        <v>30</v>
      </c>
      <c r="C17" s="16">
        <v>0.0</v>
      </c>
      <c r="D17" s="17" t="s">
        <v>17</v>
      </c>
      <c r="E17" s="19">
        <v>0.0</v>
      </c>
      <c r="F17" s="19">
        <v>0.0</v>
      </c>
      <c r="G17" s="19">
        <v>75.0</v>
      </c>
      <c r="H17" s="17">
        <f t="shared" ref="H17:H22" si="4">SUM(E17:G17)</f>
        <v>75</v>
      </c>
      <c r="I17" s="31">
        <f t="shared" si="2"/>
        <v>2.2125</v>
      </c>
      <c r="J17" s="31">
        <f t="shared" si="3"/>
        <v>72.7875</v>
      </c>
    </row>
    <row r="18">
      <c r="A18" s="13">
        <v>46159.0</v>
      </c>
      <c r="B18" s="14" t="s">
        <v>34</v>
      </c>
      <c r="C18" s="16">
        <v>1.5</v>
      </c>
      <c r="D18" s="17" t="s">
        <v>17</v>
      </c>
      <c r="E18" s="19">
        <v>1000.0</v>
      </c>
      <c r="F18" s="19">
        <v>0.0</v>
      </c>
      <c r="G18" s="19">
        <v>300.0</v>
      </c>
      <c r="H18" s="17">
        <f t="shared" si="4"/>
        <v>1300</v>
      </c>
      <c r="I18" s="31">
        <f t="shared" si="2"/>
        <v>38.35</v>
      </c>
      <c r="J18" s="31">
        <f t="shared" si="3"/>
        <v>1261.65</v>
      </c>
    </row>
    <row r="19">
      <c r="A19" s="13">
        <v>46160.0</v>
      </c>
      <c r="B19" s="14" t="s">
        <v>38</v>
      </c>
      <c r="C19" s="16">
        <v>0.0</v>
      </c>
      <c r="D19" s="17" t="s">
        <v>17</v>
      </c>
      <c r="E19" s="19">
        <v>0.0</v>
      </c>
      <c r="F19" s="19">
        <v>0.0</v>
      </c>
      <c r="G19" s="19">
        <v>150.0</v>
      </c>
      <c r="H19" s="17">
        <f t="shared" si="4"/>
        <v>150</v>
      </c>
      <c r="I19" s="31">
        <f t="shared" si="2"/>
        <v>4.425</v>
      </c>
      <c r="J19" s="31">
        <f t="shared" si="3"/>
        <v>145.575</v>
      </c>
    </row>
    <row r="20">
      <c r="A20" s="13">
        <v>46161.0</v>
      </c>
      <c r="B20" s="14" t="s">
        <v>40</v>
      </c>
      <c r="C20" s="16">
        <v>3.0</v>
      </c>
      <c r="D20" s="17" t="s">
        <v>17</v>
      </c>
      <c r="E20" s="19">
        <v>1920.0</v>
      </c>
      <c r="F20" s="19">
        <v>0.0</v>
      </c>
      <c r="G20" s="19">
        <v>250.0</v>
      </c>
      <c r="H20" s="17">
        <f t="shared" si="4"/>
        <v>2170</v>
      </c>
      <c r="I20" s="31">
        <f t="shared" si="2"/>
        <v>64.015</v>
      </c>
      <c r="J20" s="31">
        <f t="shared" si="3"/>
        <v>2105.985</v>
      </c>
    </row>
    <row r="21">
      <c r="A21" s="13">
        <v>46162.0</v>
      </c>
      <c r="B21" s="14" t="s">
        <v>44</v>
      </c>
      <c r="C21" s="16">
        <v>0.0</v>
      </c>
      <c r="D21" s="17" t="s">
        <v>17</v>
      </c>
      <c r="E21" s="19">
        <v>0.0</v>
      </c>
      <c r="F21" s="19">
        <v>0.0</v>
      </c>
      <c r="G21" s="19">
        <v>200.0</v>
      </c>
      <c r="H21" s="17">
        <f t="shared" si="4"/>
        <v>200</v>
      </c>
      <c r="I21" s="31">
        <f t="shared" si="2"/>
        <v>5.9</v>
      </c>
      <c r="J21" s="31">
        <f t="shared" si="3"/>
        <v>194.1</v>
      </c>
    </row>
    <row r="22">
      <c r="A22" s="13">
        <v>46163.0</v>
      </c>
      <c r="B22" s="14" t="s">
        <v>47</v>
      </c>
      <c r="C22" s="16">
        <v>0.0</v>
      </c>
      <c r="D22" s="17" t="s">
        <v>17</v>
      </c>
      <c r="E22" s="19">
        <v>0.0</v>
      </c>
      <c r="F22" s="19">
        <v>0.0</v>
      </c>
      <c r="G22" s="19">
        <v>175.0</v>
      </c>
      <c r="H22" s="17">
        <f t="shared" si="4"/>
        <v>175</v>
      </c>
      <c r="I22" s="31">
        <f t="shared" si="2"/>
        <v>5.1625</v>
      </c>
      <c r="J22" s="31">
        <f t="shared" si="3"/>
        <v>169.8375</v>
      </c>
    </row>
    <row r="23">
      <c r="A23" s="13">
        <v>46164.0</v>
      </c>
      <c r="B23" s="14" t="s">
        <v>16</v>
      </c>
      <c r="C23" s="16">
        <v>0.0</v>
      </c>
      <c r="D23" s="17" t="s">
        <v>17</v>
      </c>
      <c r="E23" s="19">
        <v>0.0</v>
      </c>
      <c r="F23" s="19">
        <v>0.0</v>
      </c>
      <c r="G23" s="19">
        <v>0.0</v>
      </c>
      <c r="H23" s="17">
        <f>sum(E23:G23)</f>
        <v>0</v>
      </c>
      <c r="I23" s="31">
        <f t="shared" si="2"/>
        <v>0</v>
      </c>
      <c r="J23" s="31">
        <f t="shared" si="3"/>
        <v>0</v>
      </c>
    </row>
    <row r="24">
      <c r="A24" s="13">
        <v>46165.0</v>
      </c>
      <c r="B24" s="14" t="s">
        <v>30</v>
      </c>
      <c r="C24" s="16">
        <v>1.0</v>
      </c>
      <c r="D24" s="17" t="s">
        <v>17</v>
      </c>
      <c r="E24" s="19">
        <v>640.0</v>
      </c>
      <c r="F24" s="19">
        <v>2200.0</v>
      </c>
      <c r="G24" s="19">
        <v>500.0</v>
      </c>
      <c r="H24" s="17">
        <f t="shared" ref="H24:H32" si="5">SUM(E24:G24)</f>
        <v>3340</v>
      </c>
      <c r="I24" s="31">
        <f t="shared" si="2"/>
        <v>98.53</v>
      </c>
      <c r="J24" s="31">
        <f t="shared" si="3"/>
        <v>3241.47</v>
      </c>
    </row>
    <row r="25">
      <c r="A25" s="13">
        <v>46166.0</v>
      </c>
      <c r="B25" s="14" t="s">
        <v>34</v>
      </c>
      <c r="C25" s="16">
        <v>2.0</v>
      </c>
      <c r="D25" s="17" t="s">
        <v>17</v>
      </c>
      <c r="E25" s="19">
        <v>1440.0</v>
      </c>
      <c r="F25" s="19">
        <v>0.0</v>
      </c>
      <c r="G25" s="19">
        <v>950.0</v>
      </c>
      <c r="H25" s="17">
        <f t="shared" si="5"/>
        <v>2390</v>
      </c>
      <c r="I25" s="31">
        <f t="shared" si="2"/>
        <v>70.505</v>
      </c>
      <c r="J25" s="31">
        <f t="shared" si="3"/>
        <v>2319.495</v>
      </c>
    </row>
    <row r="26">
      <c r="A26" s="13">
        <v>46167.0</v>
      </c>
      <c r="B26" s="14" t="s">
        <v>38</v>
      </c>
      <c r="C26" s="16">
        <v>0.0</v>
      </c>
      <c r="D26" s="17" t="s">
        <v>17</v>
      </c>
      <c r="E26" s="19">
        <v>0.0</v>
      </c>
      <c r="F26" s="19">
        <v>0.0</v>
      </c>
      <c r="G26" s="19">
        <v>200.0</v>
      </c>
      <c r="H26" s="17">
        <f t="shared" si="5"/>
        <v>200</v>
      </c>
      <c r="I26" s="31">
        <f t="shared" si="2"/>
        <v>5.9</v>
      </c>
      <c r="J26" s="31">
        <f t="shared" si="3"/>
        <v>194.1</v>
      </c>
    </row>
    <row r="27">
      <c r="A27" s="13">
        <v>46168.0</v>
      </c>
      <c r="B27" s="14" t="s">
        <v>40</v>
      </c>
      <c r="C27" s="16">
        <v>0.0</v>
      </c>
      <c r="D27" s="17" t="s">
        <v>17</v>
      </c>
      <c r="E27" s="19">
        <v>0.0</v>
      </c>
      <c r="F27" s="19">
        <v>0.0</v>
      </c>
      <c r="G27" s="19">
        <v>350.0</v>
      </c>
      <c r="H27" s="17">
        <f t="shared" si="5"/>
        <v>350</v>
      </c>
      <c r="I27" s="31">
        <f t="shared" si="2"/>
        <v>10.325</v>
      </c>
      <c r="J27" s="31">
        <f t="shared" si="3"/>
        <v>339.675</v>
      </c>
    </row>
    <row r="28">
      <c r="A28" s="13">
        <v>46169.0</v>
      </c>
      <c r="B28" s="14" t="s">
        <v>44</v>
      </c>
      <c r="C28" s="16">
        <v>0.0</v>
      </c>
      <c r="D28" s="17" t="s">
        <v>17</v>
      </c>
      <c r="E28" s="19">
        <v>0.0</v>
      </c>
      <c r="F28" s="19">
        <v>0.0</v>
      </c>
      <c r="G28" s="19">
        <v>250.0</v>
      </c>
      <c r="H28" s="17">
        <f t="shared" si="5"/>
        <v>250</v>
      </c>
      <c r="I28" s="31">
        <f t="shared" si="2"/>
        <v>7.375</v>
      </c>
      <c r="J28" s="31">
        <f t="shared" si="3"/>
        <v>242.625</v>
      </c>
    </row>
    <row r="29">
      <c r="A29" s="13">
        <v>46170.0</v>
      </c>
      <c r="B29" s="14" t="s">
        <v>47</v>
      </c>
      <c r="C29" s="16">
        <v>0.0</v>
      </c>
      <c r="D29" s="17" t="s">
        <v>17</v>
      </c>
      <c r="E29" s="19">
        <v>0.0</v>
      </c>
      <c r="F29" s="19">
        <v>0.0</v>
      </c>
      <c r="G29" s="19">
        <v>0.0</v>
      </c>
      <c r="H29" s="17">
        <f t="shared" si="5"/>
        <v>0</v>
      </c>
      <c r="I29" s="31">
        <f t="shared" si="2"/>
        <v>0</v>
      </c>
      <c r="J29" s="31">
        <f t="shared" si="3"/>
        <v>0</v>
      </c>
    </row>
    <row r="30">
      <c r="A30" s="13">
        <v>46171.0</v>
      </c>
      <c r="B30" s="14" t="s">
        <v>16</v>
      </c>
      <c r="C30" s="16">
        <v>0.0</v>
      </c>
      <c r="D30" s="17" t="s">
        <v>17</v>
      </c>
      <c r="E30" s="19">
        <v>0.0</v>
      </c>
      <c r="F30" s="19">
        <v>0.0</v>
      </c>
      <c r="G30" s="19">
        <v>0.0</v>
      </c>
      <c r="H30" s="17">
        <f t="shared" si="5"/>
        <v>0</v>
      </c>
      <c r="I30" s="31">
        <f t="shared" si="2"/>
        <v>0</v>
      </c>
      <c r="J30" s="31">
        <f t="shared" si="3"/>
        <v>0</v>
      </c>
    </row>
    <row r="31">
      <c r="A31" s="13">
        <v>46172.0</v>
      </c>
      <c r="B31" s="14" t="s">
        <v>30</v>
      </c>
      <c r="C31" s="16">
        <v>0.0</v>
      </c>
      <c r="D31" s="17" t="s">
        <v>17</v>
      </c>
      <c r="E31" s="57">
        <v>0.0</v>
      </c>
      <c r="F31" s="57">
        <v>0.0</v>
      </c>
      <c r="G31" s="57">
        <v>250.0</v>
      </c>
      <c r="H31" s="17">
        <f t="shared" si="5"/>
        <v>250</v>
      </c>
      <c r="I31" s="31">
        <f t="shared" si="2"/>
        <v>7.375</v>
      </c>
      <c r="J31" s="31">
        <f t="shared" si="3"/>
        <v>242.625</v>
      </c>
    </row>
    <row r="32">
      <c r="A32" s="13">
        <v>46173.0</v>
      </c>
      <c r="B32" s="14" t="s">
        <v>34</v>
      </c>
      <c r="C32" s="42">
        <v>1.5</v>
      </c>
      <c r="D32" s="17" t="s">
        <v>17</v>
      </c>
      <c r="E32" s="58">
        <v>1000.0</v>
      </c>
      <c r="F32" s="58">
        <v>0.0</v>
      </c>
      <c r="G32" s="58">
        <v>425.0</v>
      </c>
      <c r="H32" s="17">
        <f t="shared" si="5"/>
        <v>1425</v>
      </c>
      <c r="I32" s="31">
        <f t="shared" si="2"/>
        <v>42.0375</v>
      </c>
      <c r="J32" s="31">
        <f t="shared" si="3"/>
        <v>1382.9625</v>
      </c>
    </row>
    <row r="33">
      <c r="A33" s="59" t="s">
        <v>33</v>
      </c>
      <c r="B33" s="9"/>
      <c r="C33" s="60"/>
      <c r="D33" s="46"/>
      <c r="E33" s="47">
        <f t="shared" ref="E33:J33" si="6">SUM(E1:E32)</f>
        <v>15880</v>
      </c>
      <c r="F33" s="47">
        <f t="shared" si="6"/>
        <v>7600</v>
      </c>
      <c r="G33" s="47">
        <f t="shared" si="6"/>
        <v>7875</v>
      </c>
      <c r="H33" s="47">
        <f t="shared" si="6"/>
        <v>31355</v>
      </c>
      <c r="I33" s="47">
        <f t="shared" si="6"/>
        <v>924.9725</v>
      </c>
      <c r="J33" s="47">
        <f t="shared" si="6"/>
        <v>30430.0275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3.0"/>
    <col customWidth="1" min="3" max="3" width="14.75"/>
    <col customWidth="1" min="4" max="4" width="14.38"/>
    <col customWidth="1" min="5" max="5" width="16.0"/>
    <col customWidth="1" min="6" max="6" width="11.13"/>
    <col customWidth="1" min="7" max="8" width="6.88"/>
    <col customWidth="1" min="9" max="9" width="14.13"/>
  </cols>
  <sheetData>
    <row r="1">
      <c r="A1" s="15" t="s">
        <v>0</v>
      </c>
      <c r="B1" s="18" t="s">
        <v>1</v>
      </c>
      <c r="C1" s="18" t="s">
        <v>19</v>
      </c>
      <c r="D1" s="18" t="s">
        <v>21</v>
      </c>
      <c r="E1" s="21" t="s">
        <v>24</v>
      </c>
      <c r="F1" s="18" t="s">
        <v>13</v>
      </c>
      <c r="G1" s="23" t="s">
        <v>23</v>
      </c>
      <c r="H1" s="23" t="s">
        <v>22</v>
      </c>
      <c r="I1" s="18" t="s">
        <v>26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27"/>
      <c r="B2" s="24" t="s">
        <v>2</v>
      </c>
      <c r="C2" s="28">
        <v>78175.0</v>
      </c>
      <c r="D2" s="28">
        <v>5726.0</v>
      </c>
      <c r="E2" s="25">
        <v>1030.0</v>
      </c>
      <c r="F2" s="30">
        <f>C2-D2-E2</f>
        <v>71419</v>
      </c>
      <c r="G2" s="28">
        <v>477.0</v>
      </c>
      <c r="H2" s="28">
        <v>95.0</v>
      </c>
      <c r="I2" s="28">
        <v>70845.0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37"/>
      <c r="B3" s="22"/>
      <c r="C3" s="24"/>
      <c r="D3" s="24"/>
      <c r="E3" s="40"/>
      <c r="F3" s="30"/>
      <c r="G3" s="24"/>
      <c r="H3" s="24"/>
      <c r="I3" s="22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37"/>
      <c r="B4" s="43" t="s">
        <v>33</v>
      </c>
      <c r="C4" s="47">
        <f>SUM(C2:C3)</f>
        <v>78175</v>
      </c>
      <c r="D4" s="46"/>
      <c r="E4" s="48"/>
      <c r="F4" s="45">
        <f>SUM(F2:F3)</f>
        <v>71419</v>
      </c>
      <c r="G4" s="46"/>
      <c r="H4" s="46"/>
      <c r="I4" s="47">
        <f>SUM(I2:I3)</f>
        <v>70845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2.75"/>
    <col customWidth="1" min="4" max="4" width="23.88"/>
    <col customWidth="1" min="5" max="5" width="11.13"/>
    <col customWidth="1" min="6" max="6" width="6.13"/>
    <col customWidth="1" min="7" max="7" width="7.0"/>
  </cols>
  <sheetData>
    <row r="1">
      <c r="A1" s="15" t="s">
        <v>0</v>
      </c>
      <c r="B1" s="18" t="s">
        <v>1</v>
      </c>
      <c r="C1" s="18" t="s">
        <v>18</v>
      </c>
      <c r="D1" s="18" t="s">
        <v>20</v>
      </c>
      <c r="E1" s="18" t="s">
        <v>13</v>
      </c>
      <c r="F1" s="18" t="s">
        <v>22</v>
      </c>
      <c r="G1" s="18" t="s">
        <v>23</v>
      </c>
      <c r="H1" s="18" t="s">
        <v>11</v>
      </c>
    </row>
    <row r="2">
      <c r="A2" s="22"/>
      <c r="B2" s="24" t="s">
        <v>2</v>
      </c>
      <c r="C2" s="25">
        <v>3192.0</v>
      </c>
      <c r="D2" s="25">
        <v>394.0</v>
      </c>
      <c r="E2" s="30">
        <f>C2-D2</f>
        <v>2798</v>
      </c>
      <c r="F2" s="25">
        <v>2.5</v>
      </c>
      <c r="G2" s="25">
        <v>12.8</v>
      </c>
      <c r="H2" s="28">
        <v>2622.0</v>
      </c>
    </row>
    <row r="3">
      <c r="A3" s="32"/>
      <c r="B3" s="33"/>
      <c r="C3" s="34"/>
      <c r="D3" s="35"/>
      <c r="E3" s="30"/>
      <c r="F3" s="35"/>
      <c r="G3" s="35"/>
      <c r="H3" s="34"/>
    </row>
    <row r="4">
      <c r="A4" s="37"/>
      <c r="B4" s="43" t="s">
        <v>33</v>
      </c>
      <c r="C4" s="45">
        <f>SUM(C2:C3)</f>
        <v>3192</v>
      </c>
      <c r="D4" s="46"/>
      <c r="E4" s="45">
        <f>SUM(E2:E3)</f>
        <v>2798</v>
      </c>
      <c r="F4" s="46"/>
      <c r="G4" s="45"/>
      <c r="H4" s="45">
        <f>SUM(H2:H3)</f>
        <v>2622</v>
      </c>
    </row>
    <row r="5">
      <c r="D5" s="49"/>
    </row>
  </sheetData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3.0"/>
    <col customWidth="1" min="3" max="3" width="14.0"/>
    <col customWidth="1" min="4" max="4" width="14.38"/>
    <col customWidth="1" min="5" max="5" width="6.88"/>
    <col customWidth="1" min="6" max="6" width="11.13"/>
    <col customWidth="1" min="7" max="8" width="6.88"/>
    <col customWidth="1" min="9" max="9" width="14.13"/>
  </cols>
  <sheetData>
    <row r="1">
      <c r="A1" s="62" t="s">
        <v>0</v>
      </c>
      <c r="B1" s="2" t="s">
        <v>1</v>
      </c>
      <c r="C1" s="2" t="s">
        <v>68</v>
      </c>
      <c r="D1" s="2" t="s">
        <v>21</v>
      </c>
      <c r="E1" s="2" t="s">
        <v>70</v>
      </c>
      <c r="F1" s="2" t="s">
        <v>13</v>
      </c>
      <c r="G1" s="2" t="s">
        <v>71</v>
      </c>
      <c r="H1" s="2" t="s">
        <v>72</v>
      </c>
      <c r="I1" s="2" t="s">
        <v>26</v>
      </c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</row>
    <row r="2">
      <c r="A2" s="67"/>
      <c r="B2" s="24" t="s">
        <v>2</v>
      </c>
      <c r="C2" s="19">
        <v>1600.0</v>
      </c>
      <c r="D2" s="19">
        <v>112.0</v>
      </c>
      <c r="E2" s="19">
        <v>20.0</v>
      </c>
      <c r="F2" s="17">
        <f>C2-D2-E2</f>
        <v>1468</v>
      </c>
      <c r="G2" s="19">
        <v>1.6</v>
      </c>
      <c r="H2" s="19">
        <v>8.0</v>
      </c>
      <c r="I2" s="19">
        <v>1458.0</v>
      </c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</row>
    <row r="3">
      <c r="A3" s="68"/>
      <c r="B3" s="69" t="s">
        <v>33</v>
      </c>
      <c r="C3" s="69">
        <f>SUM(C2)</f>
        <v>1600</v>
      </c>
      <c r="D3" s="70"/>
      <c r="E3" s="70"/>
      <c r="F3" s="69">
        <f>SUM(F2)</f>
        <v>1468</v>
      </c>
      <c r="G3" s="70"/>
      <c r="H3" s="70"/>
      <c r="I3" s="69">
        <f>SUM(I2)</f>
        <v>1458</v>
      </c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</row>
    <row r="4">
      <c r="A4" s="66"/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</row>
    <row r="5">
      <c r="A5" s="66"/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</row>
    <row r="6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</row>
    <row r="7">
      <c r="A7" s="66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</row>
    <row r="8">
      <c r="A8" s="66"/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</row>
    <row r="9">
      <c r="A9" s="66"/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</row>
    <row r="10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</row>
    <row r="11">
      <c r="A11" s="66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</row>
    <row r="12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</row>
    <row r="13">
      <c r="A13" s="66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</row>
    <row r="14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</row>
    <row r="15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</row>
    <row r="16">
      <c r="A16" s="66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</row>
    <row r="17">
      <c r="A17" s="66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</row>
    <row r="18">
      <c r="A18" s="66"/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</row>
    <row r="19">
      <c r="A19" s="66"/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</row>
    <row r="20">
      <c r="A20" s="66"/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</row>
    <row r="21">
      <c r="A21" s="66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</row>
    <row r="22">
      <c r="A22" s="66"/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</row>
    <row r="23">
      <c r="A23" s="66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</row>
    <row r="24">
      <c r="A24" s="66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</row>
    <row r="25">
      <c r="A25" s="66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</row>
    <row r="26">
      <c r="A26" s="66"/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</row>
    <row r="27">
      <c r="A27" s="66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</row>
    <row r="28">
      <c r="A28" s="66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</row>
    <row r="29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</row>
    <row r="30">
      <c r="A30" s="66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</row>
    <row r="31">
      <c r="A31" s="66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</row>
    <row r="32">
      <c r="A32" s="66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</row>
    <row r="33">
      <c r="A33" s="66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</row>
    <row r="34">
      <c r="A34" s="66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</row>
    <row r="35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</row>
    <row r="36">
      <c r="A36" s="66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</row>
    <row r="37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</row>
    <row r="38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</row>
    <row r="39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</row>
    <row r="40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</row>
    <row r="4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</row>
    <row r="42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</row>
    <row r="43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</row>
    <row r="44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</row>
    <row r="45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</row>
    <row r="46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</row>
    <row r="47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</row>
    <row r="48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</row>
    <row r="49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</row>
    <row r="50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</row>
    <row r="5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</row>
    <row r="52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</row>
    <row r="53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</row>
    <row r="54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</row>
    <row r="55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</row>
    <row r="56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</row>
    <row r="57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</row>
    <row r="58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</row>
    <row r="59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</row>
    <row r="60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</row>
    <row r="6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</row>
    <row r="62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</row>
    <row r="63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</row>
    <row r="64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</row>
    <row r="65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</row>
    <row r="66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</row>
    <row r="67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</row>
    <row r="68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</row>
    <row r="69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</row>
    <row r="70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</row>
    <row r="7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</row>
    <row r="72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</row>
    <row r="73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</row>
    <row r="74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</row>
    <row r="75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</row>
    <row r="76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</row>
    <row r="77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</row>
    <row r="78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</row>
    <row r="79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</row>
    <row r="80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</row>
    <row r="8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</row>
    <row r="82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</row>
    <row r="83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</row>
    <row r="84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</row>
    <row r="85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</row>
    <row r="86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</row>
    <row r="87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  <c r="AA87" s="66"/>
      <c r="AB87" s="66"/>
    </row>
    <row r="88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</row>
    <row r="89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</row>
    <row r="90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6"/>
    </row>
    <row r="9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</row>
    <row r="92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</row>
    <row r="93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</row>
    <row r="94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</row>
    <row r="95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</row>
    <row r="96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</row>
    <row r="97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</row>
    <row r="98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</row>
    <row r="99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  <c r="AA99" s="66"/>
      <c r="AB99" s="66"/>
    </row>
    <row r="100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</row>
    <row r="10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</row>
    <row r="102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</row>
    <row r="103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</row>
    <row r="104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</row>
    <row r="105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</row>
    <row r="106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</row>
    <row r="107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</row>
    <row r="108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</row>
    <row r="109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</row>
    <row r="110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</row>
    <row r="11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</row>
    <row r="112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</row>
    <row r="113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</row>
    <row r="114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</row>
    <row r="115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</row>
    <row r="116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</row>
    <row r="117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</row>
    <row r="118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</row>
    <row r="119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</row>
    <row r="120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</row>
    <row r="12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</row>
    <row r="122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</row>
    <row r="123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</row>
    <row r="124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</row>
    <row r="125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</row>
    <row r="126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</row>
    <row r="127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</row>
    <row r="128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</row>
    <row r="129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66"/>
      <c r="AB129" s="66"/>
    </row>
    <row r="130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  <c r="AA130" s="66"/>
      <c r="AB130" s="66"/>
    </row>
    <row r="13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</row>
    <row r="132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</row>
    <row r="133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</row>
    <row r="134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</row>
    <row r="135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</row>
    <row r="136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</row>
    <row r="137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</row>
    <row r="138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</row>
    <row r="139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  <c r="AA139" s="66"/>
      <c r="AB139" s="66"/>
    </row>
    <row r="140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</row>
    <row r="14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</row>
    <row r="142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  <c r="AA142" s="66"/>
      <c r="AB142" s="66"/>
    </row>
    <row r="143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</row>
    <row r="144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</row>
    <row r="145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</row>
    <row r="146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  <c r="AA146" s="66"/>
      <c r="AB146" s="66"/>
    </row>
    <row r="147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  <c r="AA147" s="66"/>
      <c r="AB147" s="66"/>
    </row>
    <row r="148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</row>
    <row r="149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</row>
    <row r="150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</row>
    <row r="15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</row>
    <row r="152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</row>
    <row r="153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  <c r="AA153" s="66"/>
      <c r="AB153" s="66"/>
    </row>
    <row r="154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</row>
    <row r="155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</row>
    <row r="156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  <c r="AA156" s="66"/>
      <c r="AB156" s="66"/>
    </row>
    <row r="157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</row>
    <row r="158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</row>
    <row r="159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</row>
    <row r="160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</row>
    <row r="16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</row>
    <row r="162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</row>
    <row r="163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</row>
    <row r="164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  <c r="AA164" s="66"/>
      <c r="AB164" s="66"/>
    </row>
    <row r="165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  <c r="AA165" s="66"/>
      <c r="AB165" s="66"/>
    </row>
    <row r="166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  <c r="AA166" s="66"/>
      <c r="AB166" s="66"/>
    </row>
    <row r="167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  <c r="AA167" s="66"/>
      <c r="AB167" s="66"/>
    </row>
    <row r="168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  <c r="AA168" s="66"/>
      <c r="AB168" s="66"/>
    </row>
    <row r="169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</row>
    <row r="170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</row>
    <row r="17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</row>
    <row r="172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  <c r="AA172" s="66"/>
      <c r="AB172" s="66"/>
    </row>
    <row r="173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</row>
    <row r="174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</row>
    <row r="175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  <c r="AA175" s="66"/>
      <c r="AB175" s="66"/>
    </row>
    <row r="176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  <c r="AA176" s="66"/>
      <c r="AB176" s="66"/>
    </row>
    <row r="177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</row>
    <row r="178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</row>
    <row r="179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</row>
    <row r="180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  <c r="AA180" s="66"/>
      <c r="AB180" s="66"/>
    </row>
    <row r="18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  <c r="AA181" s="66"/>
      <c r="AB181" s="66"/>
    </row>
    <row r="182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  <c r="AA182" s="66"/>
      <c r="AB182" s="66"/>
    </row>
    <row r="183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  <c r="AA183" s="66"/>
      <c r="AB183" s="66"/>
    </row>
    <row r="184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  <c r="AA184" s="66"/>
      <c r="AB184" s="66"/>
    </row>
    <row r="185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  <c r="AA185" s="66"/>
      <c r="AB185" s="66"/>
    </row>
    <row r="186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</row>
    <row r="187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  <c r="AA187" s="66"/>
      <c r="AB187" s="66"/>
    </row>
    <row r="188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</row>
    <row r="189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</row>
    <row r="190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</row>
    <row r="19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</row>
    <row r="192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  <c r="AA192" s="66"/>
      <c r="AB192" s="66"/>
    </row>
    <row r="193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</row>
    <row r="194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</row>
    <row r="195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</row>
    <row r="196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</row>
    <row r="197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</row>
    <row r="198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</row>
    <row r="199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</row>
    <row r="200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</row>
    <row r="20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</row>
    <row r="202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</row>
    <row r="203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</row>
    <row r="204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</row>
    <row r="205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</row>
    <row r="206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</row>
    <row r="207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</row>
    <row r="208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  <c r="AA208" s="66"/>
      <c r="AB208" s="66"/>
    </row>
    <row r="209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  <c r="AA209" s="66"/>
      <c r="AB209" s="66"/>
    </row>
    <row r="210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</row>
    <row r="21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</row>
    <row r="212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</row>
    <row r="213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</row>
    <row r="214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  <c r="AA214" s="66"/>
      <c r="AB214" s="66"/>
    </row>
    <row r="215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</row>
    <row r="216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  <c r="AA216" s="66"/>
      <c r="AB216" s="66"/>
    </row>
    <row r="217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</row>
    <row r="218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</row>
    <row r="219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</row>
    <row r="220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</row>
    <row r="22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</row>
    <row r="222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</row>
    <row r="223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</row>
    <row r="224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</row>
    <row r="225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</row>
    <row r="226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</row>
    <row r="227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</row>
    <row r="228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</row>
    <row r="229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</row>
    <row r="230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</row>
    <row r="23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  <c r="AA231" s="66"/>
      <c r="AB231" s="66"/>
    </row>
    <row r="232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</row>
    <row r="233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</row>
    <row r="234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</row>
    <row r="235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</row>
    <row r="236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</row>
    <row r="237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</row>
    <row r="238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</row>
    <row r="239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</row>
    <row r="240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</row>
    <row r="24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</row>
    <row r="242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</row>
    <row r="243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</row>
    <row r="244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</row>
    <row r="245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</row>
    <row r="246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  <c r="AA246" s="66"/>
      <c r="AB246" s="66"/>
    </row>
    <row r="247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  <c r="AA247" s="66"/>
      <c r="AB247" s="66"/>
    </row>
    <row r="248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  <c r="AA248" s="66"/>
      <c r="AB248" s="66"/>
    </row>
    <row r="249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  <c r="AA249" s="66"/>
      <c r="AB249" s="66"/>
    </row>
    <row r="250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</row>
    <row r="25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</row>
    <row r="252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</row>
    <row r="253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</row>
    <row r="254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</row>
    <row r="255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  <c r="AA255" s="66"/>
      <c r="AB255" s="66"/>
    </row>
    <row r="256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</row>
    <row r="257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</row>
    <row r="258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  <c r="AA258" s="66"/>
      <c r="AB258" s="66"/>
    </row>
    <row r="259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  <c r="AA259" s="66"/>
      <c r="AB259" s="66"/>
    </row>
    <row r="260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  <c r="AA260" s="66"/>
      <c r="AB260" s="66"/>
    </row>
    <row r="26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  <c r="AA261" s="66"/>
      <c r="AB261" s="66"/>
    </row>
    <row r="262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</row>
    <row r="263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</row>
    <row r="264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</row>
    <row r="265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</row>
    <row r="266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</row>
    <row r="267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</row>
    <row r="268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  <c r="AA268" s="66"/>
      <c r="AB268" s="66"/>
    </row>
    <row r="269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  <c r="AA269" s="66"/>
      <c r="AB269" s="66"/>
    </row>
    <row r="270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  <c r="AA270" s="66"/>
      <c r="AB270" s="66"/>
    </row>
    <row r="27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  <c r="AA271" s="66"/>
      <c r="AB271" s="66"/>
    </row>
    <row r="272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  <c r="AA272" s="66"/>
      <c r="AB272" s="66"/>
    </row>
    <row r="273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  <c r="AA273" s="66"/>
      <c r="AB273" s="66"/>
    </row>
    <row r="274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</row>
    <row r="275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  <c r="AA275" s="66"/>
      <c r="AB275" s="66"/>
    </row>
    <row r="276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</row>
    <row r="277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</row>
    <row r="278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  <c r="AA278" s="66"/>
      <c r="AB278" s="66"/>
    </row>
    <row r="279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  <c r="AA279" s="66"/>
      <c r="AB279" s="66"/>
    </row>
    <row r="280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  <c r="AA280" s="66"/>
      <c r="AB280" s="66"/>
    </row>
    <row r="28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  <c r="AA281" s="66"/>
      <c r="AB281" s="66"/>
    </row>
    <row r="282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</row>
    <row r="283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  <c r="AA283" s="66"/>
      <c r="AB283" s="66"/>
    </row>
    <row r="284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  <c r="AA284" s="66"/>
      <c r="AB284" s="66"/>
    </row>
    <row r="285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  <c r="AA285" s="66"/>
      <c r="AB285" s="66"/>
    </row>
    <row r="286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</row>
    <row r="287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  <c r="AA287" s="66"/>
      <c r="AB287" s="66"/>
    </row>
    <row r="288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</row>
    <row r="289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  <c r="AA289" s="66"/>
      <c r="AB289" s="66"/>
    </row>
    <row r="290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  <c r="AA290" s="66"/>
      <c r="AB290" s="66"/>
    </row>
    <row r="29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  <c r="AA291" s="66"/>
      <c r="AB291" s="66"/>
    </row>
    <row r="292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  <c r="AA292" s="66"/>
      <c r="AB292" s="66"/>
    </row>
    <row r="293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  <c r="AA293" s="66"/>
      <c r="AB293" s="66"/>
    </row>
    <row r="294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  <c r="AA294" s="66"/>
      <c r="AB294" s="66"/>
    </row>
    <row r="295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  <c r="AA295" s="66"/>
      <c r="AB295" s="66"/>
    </row>
    <row r="296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  <c r="AA296" s="66"/>
      <c r="AB296" s="66"/>
    </row>
    <row r="297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  <c r="AA297" s="66"/>
      <c r="AB297" s="66"/>
    </row>
    <row r="298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  <c r="AA298" s="66"/>
      <c r="AB298" s="66"/>
    </row>
    <row r="299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  <c r="AA299" s="66"/>
      <c r="AB299" s="66"/>
    </row>
    <row r="300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  <c r="AA300" s="66"/>
      <c r="AB300" s="66"/>
    </row>
    <row r="30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  <c r="AA301" s="66"/>
      <c r="AB301" s="66"/>
    </row>
    <row r="302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  <c r="AA302" s="66"/>
      <c r="AB302" s="66"/>
    </row>
    <row r="303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  <c r="AA303" s="66"/>
      <c r="AB303" s="66"/>
    </row>
    <row r="304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  <c r="AA304" s="66"/>
      <c r="AB304" s="66"/>
    </row>
    <row r="305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  <c r="AA305" s="66"/>
      <c r="AB305" s="66"/>
    </row>
    <row r="306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  <c r="AA306" s="66"/>
      <c r="AB306" s="66"/>
    </row>
    <row r="307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  <c r="AA307" s="66"/>
      <c r="AB307" s="66"/>
    </row>
    <row r="308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  <c r="AA308" s="66"/>
      <c r="AB308" s="66"/>
    </row>
    <row r="309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  <c r="AA309" s="66"/>
      <c r="AB309" s="66"/>
    </row>
    <row r="310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  <c r="AA310" s="66"/>
      <c r="AB310" s="66"/>
    </row>
    <row r="31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  <c r="AA311" s="66"/>
      <c r="AB311" s="66"/>
    </row>
    <row r="312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  <c r="AA312" s="66"/>
      <c r="AB312" s="66"/>
    </row>
    <row r="313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  <c r="AA313" s="66"/>
      <c r="AB313" s="66"/>
    </row>
    <row r="314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  <c r="AA314" s="66"/>
      <c r="AB314" s="66"/>
    </row>
    <row r="315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  <c r="AA315" s="66"/>
      <c r="AB315" s="66"/>
    </row>
    <row r="316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  <c r="AA316" s="66"/>
      <c r="AB316" s="66"/>
    </row>
    <row r="317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  <c r="AA317" s="66"/>
      <c r="AB317" s="66"/>
    </row>
    <row r="318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  <c r="AA318" s="66"/>
      <c r="AB318" s="66"/>
    </row>
    <row r="319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  <c r="AA319" s="66"/>
      <c r="AB319" s="66"/>
    </row>
    <row r="320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  <c r="AA320" s="66"/>
      <c r="AB320" s="66"/>
    </row>
    <row r="32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  <c r="AA321" s="66"/>
      <c r="AB321" s="66"/>
    </row>
    <row r="322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  <c r="AA322" s="66"/>
      <c r="AB322" s="66"/>
    </row>
    <row r="323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  <c r="AA323" s="66"/>
      <c r="AB323" s="66"/>
    </row>
    <row r="324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  <c r="AA324" s="66"/>
      <c r="AB324" s="66"/>
    </row>
    <row r="325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  <c r="AA325" s="66"/>
      <c r="AB325" s="66"/>
    </row>
    <row r="326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  <c r="AA326" s="66"/>
      <c r="AB326" s="66"/>
    </row>
    <row r="327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  <c r="AA327" s="66"/>
      <c r="AB327" s="66"/>
    </row>
    <row r="328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  <c r="AA328" s="66"/>
      <c r="AB328" s="66"/>
    </row>
    <row r="329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  <c r="AA329" s="66"/>
      <c r="AB329" s="66"/>
    </row>
    <row r="330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  <c r="AA330" s="66"/>
      <c r="AB330" s="66"/>
    </row>
    <row r="33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  <c r="AA331" s="66"/>
      <c r="AB331" s="66"/>
    </row>
    <row r="332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  <c r="AA332" s="66"/>
      <c r="AB332" s="66"/>
    </row>
    <row r="333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  <c r="AA333" s="66"/>
      <c r="AB333" s="66"/>
    </row>
    <row r="334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  <c r="AA334" s="66"/>
      <c r="AB334" s="66"/>
    </row>
    <row r="335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  <c r="AA335" s="66"/>
      <c r="AB335" s="66"/>
    </row>
    <row r="336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  <c r="AA336" s="66"/>
      <c r="AB336" s="66"/>
    </row>
    <row r="337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  <c r="AA337" s="66"/>
      <c r="AB337" s="66"/>
    </row>
    <row r="338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  <c r="AA338" s="66"/>
      <c r="AB338" s="66"/>
    </row>
    <row r="339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  <c r="AA339" s="66"/>
      <c r="AB339" s="66"/>
    </row>
    <row r="340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  <c r="AA340" s="66"/>
      <c r="AB340" s="66"/>
    </row>
    <row r="34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  <c r="AA341" s="66"/>
      <c r="AB341" s="66"/>
    </row>
    <row r="342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  <c r="AA342" s="66"/>
      <c r="AB342" s="66"/>
    </row>
    <row r="343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  <c r="AA343" s="66"/>
      <c r="AB343" s="66"/>
    </row>
    <row r="344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  <c r="AA344" s="66"/>
      <c r="AB344" s="66"/>
    </row>
    <row r="345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  <c r="AA345" s="66"/>
      <c r="AB345" s="66"/>
    </row>
    <row r="346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  <c r="AA346" s="66"/>
      <c r="AB346" s="66"/>
    </row>
    <row r="347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  <c r="AA347" s="66"/>
      <c r="AB347" s="66"/>
    </row>
    <row r="348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  <c r="AA348" s="66"/>
      <c r="AB348" s="66"/>
    </row>
    <row r="349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  <c r="AA349" s="66"/>
      <c r="AB349" s="66"/>
    </row>
    <row r="350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  <c r="AA350" s="66"/>
      <c r="AB350" s="66"/>
    </row>
    <row r="35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  <c r="AA351" s="66"/>
      <c r="AB351" s="66"/>
    </row>
    <row r="352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  <c r="AA352" s="66"/>
      <c r="AB352" s="66"/>
    </row>
    <row r="353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  <c r="AA353" s="66"/>
      <c r="AB353" s="66"/>
    </row>
    <row r="354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  <c r="AA354" s="66"/>
      <c r="AB354" s="66"/>
    </row>
    <row r="355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  <c r="AA355" s="66"/>
      <c r="AB355" s="66"/>
    </row>
    <row r="356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  <c r="AA356" s="66"/>
      <c r="AB356" s="66"/>
    </row>
    <row r="357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  <c r="AA357" s="66"/>
      <c r="AB357" s="66"/>
    </row>
    <row r="358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  <c r="AA358" s="66"/>
      <c r="AB358" s="66"/>
    </row>
    <row r="359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  <c r="AA359" s="66"/>
      <c r="AB359" s="66"/>
    </row>
    <row r="360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  <c r="AA360" s="66"/>
      <c r="AB360" s="66"/>
    </row>
    <row r="36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  <c r="AA361" s="66"/>
      <c r="AB361" s="66"/>
    </row>
    <row r="362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  <c r="AA362" s="66"/>
      <c r="AB362" s="66"/>
    </row>
    <row r="363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  <c r="AA363" s="66"/>
      <c r="AB363" s="66"/>
    </row>
    <row r="364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  <c r="AA364" s="66"/>
      <c r="AB364" s="66"/>
    </row>
    <row r="365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  <c r="AA365" s="66"/>
      <c r="AB365" s="66"/>
    </row>
    <row r="366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  <c r="AA366" s="66"/>
      <c r="AB366" s="66"/>
    </row>
    <row r="367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  <c r="AA367" s="66"/>
      <c r="AB367" s="66"/>
    </row>
    <row r="368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  <c r="AA368" s="66"/>
      <c r="AB368" s="66"/>
    </row>
    <row r="369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  <c r="AA369" s="66"/>
      <c r="AB369" s="66"/>
    </row>
    <row r="370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  <c r="AA370" s="66"/>
      <c r="AB370" s="66"/>
    </row>
    <row r="37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  <c r="AA371" s="66"/>
      <c r="AB371" s="66"/>
    </row>
    <row r="372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  <c r="AA372" s="66"/>
      <c r="AB372" s="66"/>
    </row>
    <row r="373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  <c r="AA373" s="66"/>
      <c r="AB373" s="66"/>
    </row>
    <row r="374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  <c r="AA374" s="66"/>
      <c r="AB374" s="66"/>
    </row>
    <row r="375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  <c r="AA375" s="66"/>
      <c r="AB375" s="66"/>
    </row>
    <row r="376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  <c r="AA376" s="66"/>
      <c r="AB376" s="66"/>
    </row>
    <row r="377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  <c r="AA377" s="66"/>
      <c r="AB377" s="66"/>
    </row>
    <row r="378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  <c r="AA378" s="66"/>
      <c r="AB378" s="66"/>
    </row>
    <row r="379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  <c r="AA379" s="66"/>
      <c r="AB379" s="66"/>
    </row>
    <row r="380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  <c r="AA380" s="66"/>
      <c r="AB380" s="66"/>
    </row>
    <row r="38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  <c r="AA381" s="66"/>
      <c r="AB381" s="66"/>
    </row>
    <row r="382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  <c r="AA382" s="66"/>
      <c r="AB382" s="66"/>
    </row>
    <row r="383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  <c r="AA383" s="66"/>
      <c r="AB383" s="66"/>
    </row>
    <row r="384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  <c r="AA384" s="66"/>
      <c r="AB384" s="66"/>
    </row>
    <row r="385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  <c r="AA385" s="66"/>
      <c r="AB385" s="66"/>
    </row>
    <row r="386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  <c r="AA386" s="66"/>
      <c r="AB386" s="66"/>
    </row>
    <row r="387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  <c r="AA387" s="66"/>
      <c r="AB387" s="66"/>
    </row>
    <row r="388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  <c r="AA388" s="66"/>
      <c r="AB388" s="66"/>
    </row>
    <row r="389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  <c r="AA389" s="66"/>
      <c r="AB389" s="66"/>
    </row>
    <row r="390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  <c r="AA390" s="66"/>
      <c r="AB390" s="66"/>
    </row>
    <row r="39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  <c r="AA391" s="66"/>
      <c r="AB391" s="66"/>
    </row>
    <row r="392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  <c r="AA392" s="66"/>
      <c r="AB392" s="66"/>
    </row>
    <row r="393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  <c r="AA393" s="66"/>
      <c r="AB393" s="66"/>
    </row>
    <row r="394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  <c r="AA394" s="66"/>
      <c r="AB394" s="66"/>
    </row>
    <row r="395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  <c r="AA395" s="66"/>
      <c r="AB395" s="66"/>
    </row>
    <row r="396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  <c r="AA396" s="66"/>
      <c r="AB396" s="66"/>
    </row>
    <row r="397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  <c r="AA397" s="66"/>
      <c r="AB397" s="66"/>
    </row>
    <row r="398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  <c r="AA398" s="66"/>
      <c r="AB398" s="66"/>
    </row>
    <row r="399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  <c r="AA399" s="66"/>
      <c r="AB399" s="66"/>
    </row>
    <row r="400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  <c r="AA400" s="66"/>
      <c r="AB400" s="66"/>
    </row>
    <row r="40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  <c r="AA401" s="66"/>
      <c r="AB401" s="66"/>
    </row>
    <row r="402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  <c r="AA402" s="66"/>
      <c r="AB402" s="66"/>
    </row>
    <row r="403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  <c r="AA403" s="66"/>
      <c r="AB403" s="66"/>
    </row>
    <row r="404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  <c r="AA404" s="66"/>
      <c r="AB404" s="66"/>
    </row>
    <row r="405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  <c r="AA405" s="66"/>
      <c r="AB405" s="66"/>
    </row>
    <row r="406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  <c r="AA406" s="66"/>
      <c r="AB406" s="66"/>
    </row>
    <row r="407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  <c r="AA407" s="66"/>
      <c r="AB407" s="66"/>
    </row>
    <row r="408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  <c r="AA408" s="66"/>
      <c r="AB408" s="66"/>
    </row>
    <row r="409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  <c r="AA409" s="66"/>
      <c r="AB409" s="66"/>
    </row>
    <row r="410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  <c r="AA410" s="66"/>
      <c r="AB410" s="66"/>
    </row>
    <row r="41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  <c r="AA411" s="66"/>
      <c r="AB411" s="66"/>
    </row>
    <row r="412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  <c r="AA412" s="66"/>
      <c r="AB412" s="66"/>
    </row>
    <row r="413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  <c r="AA413" s="66"/>
      <c r="AB413" s="66"/>
    </row>
    <row r="414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  <c r="AA414" s="66"/>
      <c r="AB414" s="66"/>
    </row>
    <row r="415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  <c r="AA415" s="66"/>
      <c r="AB415" s="66"/>
    </row>
    <row r="416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  <c r="AA416" s="66"/>
      <c r="AB416" s="66"/>
    </row>
    <row r="417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  <c r="AA417" s="66"/>
      <c r="AB417" s="66"/>
    </row>
    <row r="418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  <c r="AA418" s="66"/>
      <c r="AB418" s="66"/>
    </row>
    <row r="419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  <c r="AA419" s="66"/>
      <c r="AB419" s="66"/>
    </row>
    <row r="420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  <c r="AA420" s="66"/>
      <c r="AB420" s="66"/>
    </row>
    <row r="42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  <c r="AA421" s="66"/>
      <c r="AB421" s="66"/>
    </row>
    <row r="422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  <c r="AA422" s="66"/>
      <c r="AB422" s="66"/>
    </row>
    <row r="423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  <c r="AA423" s="66"/>
      <c r="AB423" s="66"/>
    </row>
    <row r="424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  <c r="AA424" s="66"/>
      <c r="AB424" s="66"/>
    </row>
    <row r="425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  <c r="AA425" s="66"/>
      <c r="AB425" s="66"/>
    </row>
    <row r="426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  <c r="AA426" s="66"/>
      <c r="AB426" s="66"/>
    </row>
    <row r="427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  <c r="AA427" s="66"/>
      <c r="AB427" s="66"/>
    </row>
    <row r="428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  <c r="AA428" s="66"/>
      <c r="AB428" s="66"/>
    </row>
    <row r="429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  <c r="AA429" s="66"/>
      <c r="AB429" s="66"/>
    </row>
    <row r="430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  <c r="AA430" s="66"/>
      <c r="AB430" s="66"/>
    </row>
    <row r="43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  <c r="AA431" s="66"/>
      <c r="AB431" s="66"/>
    </row>
    <row r="432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  <c r="AA432" s="66"/>
      <c r="AB432" s="66"/>
    </row>
    <row r="433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  <c r="AA433" s="66"/>
      <c r="AB433" s="66"/>
    </row>
    <row r="434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  <c r="AA434" s="66"/>
      <c r="AB434" s="66"/>
    </row>
    <row r="435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  <c r="AA435" s="66"/>
      <c r="AB435" s="66"/>
    </row>
    <row r="436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  <c r="AA436" s="66"/>
      <c r="AB436" s="66"/>
    </row>
    <row r="437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  <c r="AA437" s="66"/>
      <c r="AB437" s="66"/>
    </row>
    <row r="438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  <c r="AA438" s="66"/>
      <c r="AB438" s="66"/>
    </row>
    <row r="439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  <c r="AA439" s="66"/>
      <c r="AB439" s="66"/>
    </row>
    <row r="440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  <c r="AA440" s="66"/>
      <c r="AB440" s="66"/>
    </row>
    <row r="44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  <c r="AA441" s="66"/>
      <c r="AB441" s="66"/>
    </row>
    <row r="442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  <c r="AA442" s="66"/>
      <c r="AB442" s="66"/>
    </row>
    <row r="443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  <c r="AA443" s="66"/>
      <c r="AB443" s="66"/>
    </row>
    <row r="444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  <c r="AA444" s="66"/>
      <c r="AB444" s="66"/>
    </row>
    <row r="445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  <c r="AA445" s="66"/>
      <c r="AB445" s="66"/>
    </row>
    <row r="446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  <c r="AA446" s="66"/>
      <c r="AB446" s="66"/>
    </row>
    <row r="447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  <c r="AA447" s="66"/>
      <c r="AB447" s="66"/>
    </row>
    <row r="448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  <c r="AA448" s="66"/>
      <c r="AB448" s="66"/>
    </row>
    <row r="449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  <c r="AA449" s="66"/>
      <c r="AB449" s="66"/>
    </row>
    <row r="450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  <c r="AA450" s="66"/>
      <c r="AB450" s="66"/>
    </row>
    <row r="45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  <c r="AA451" s="66"/>
      <c r="AB451" s="66"/>
    </row>
    <row r="452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  <c r="AA452" s="66"/>
      <c r="AB452" s="66"/>
    </row>
    <row r="453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  <c r="AA453" s="66"/>
      <c r="AB453" s="66"/>
    </row>
    <row r="454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  <c r="AA454" s="66"/>
      <c r="AB454" s="66"/>
    </row>
    <row r="455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  <c r="AA455" s="66"/>
      <c r="AB455" s="66"/>
    </row>
    <row r="456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  <c r="AA456" s="66"/>
      <c r="AB456" s="66"/>
    </row>
    <row r="457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  <c r="AA457" s="66"/>
      <c r="AB457" s="66"/>
    </row>
    <row r="458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  <c r="AA458" s="66"/>
      <c r="AB458" s="66"/>
    </row>
    <row r="459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  <c r="AA459" s="66"/>
      <c r="AB459" s="66"/>
    </row>
    <row r="460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  <c r="AA460" s="66"/>
      <c r="AB460" s="66"/>
    </row>
    <row r="46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  <c r="AA461" s="66"/>
      <c r="AB461" s="66"/>
    </row>
    <row r="462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  <c r="AA462" s="66"/>
      <c r="AB462" s="66"/>
    </row>
    <row r="463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  <c r="AA463" s="66"/>
      <c r="AB463" s="66"/>
    </row>
    <row r="464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  <c r="AA464" s="66"/>
      <c r="AB464" s="66"/>
    </row>
    <row r="465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  <c r="AA465" s="66"/>
      <c r="AB465" s="66"/>
    </row>
    <row r="466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  <c r="AA466" s="66"/>
      <c r="AB466" s="66"/>
    </row>
    <row r="467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  <c r="AA467" s="66"/>
      <c r="AB467" s="66"/>
    </row>
    <row r="468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  <c r="AA468" s="66"/>
      <c r="AB468" s="66"/>
    </row>
    <row r="469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  <c r="AA469" s="66"/>
      <c r="AB469" s="66"/>
    </row>
    <row r="470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  <c r="AA470" s="66"/>
      <c r="AB470" s="66"/>
    </row>
    <row r="47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  <c r="AA471" s="66"/>
      <c r="AB471" s="66"/>
    </row>
    <row r="472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  <c r="AA472" s="66"/>
      <c r="AB472" s="66"/>
    </row>
    <row r="473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  <c r="AA473" s="66"/>
      <c r="AB473" s="66"/>
    </row>
    <row r="474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  <c r="AA474" s="66"/>
      <c r="AB474" s="66"/>
    </row>
    <row r="475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  <c r="AA475" s="66"/>
      <c r="AB475" s="66"/>
    </row>
    <row r="476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  <c r="AA476" s="66"/>
      <c r="AB476" s="66"/>
    </row>
    <row r="477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  <c r="AA477" s="66"/>
      <c r="AB477" s="66"/>
    </row>
    <row r="478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  <c r="AA478" s="66"/>
      <c r="AB478" s="66"/>
    </row>
    <row r="479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  <c r="AA479" s="66"/>
      <c r="AB479" s="66"/>
    </row>
    <row r="480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  <c r="AA480" s="66"/>
      <c r="AB480" s="66"/>
    </row>
    <row r="48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  <c r="AA481" s="66"/>
      <c r="AB481" s="66"/>
    </row>
    <row r="482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  <c r="AA482" s="66"/>
      <c r="AB482" s="66"/>
    </row>
    <row r="483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  <c r="AA483" s="66"/>
      <c r="AB483" s="66"/>
    </row>
    <row r="484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  <c r="AA484" s="66"/>
      <c r="AB484" s="66"/>
    </row>
    <row r="485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  <c r="AA485" s="66"/>
      <c r="AB485" s="66"/>
    </row>
    <row r="486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  <c r="AA486" s="66"/>
      <c r="AB486" s="66"/>
    </row>
    <row r="487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  <c r="AA487" s="66"/>
      <c r="AB487" s="66"/>
    </row>
    <row r="488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  <c r="AA488" s="66"/>
      <c r="AB488" s="66"/>
    </row>
    <row r="489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  <c r="AA489" s="66"/>
      <c r="AB489" s="66"/>
    </row>
    <row r="490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  <c r="AA490" s="66"/>
      <c r="AB490" s="66"/>
    </row>
    <row r="49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  <c r="AA491" s="66"/>
      <c r="AB491" s="66"/>
    </row>
    <row r="492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  <c r="AA492" s="66"/>
      <c r="AB492" s="66"/>
    </row>
    <row r="493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  <c r="AA493" s="66"/>
      <c r="AB493" s="66"/>
    </row>
    <row r="494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  <c r="AA494" s="66"/>
      <c r="AB494" s="66"/>
    </row>
    <row r="495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  <c r="AA495" s="66"/>
      <c r="AB495" s="66"/>
    </row>
    <row r="496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  <c r="AA496" s="66"/>
      <c r="AB496" s="66"/>
    </row>
    <row r="497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  <c r="AA497" s="66"/>
      <c r="AB497" s="66"/>
    </row>
    <row r="498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  <c r="AA498" s="66"/>
      <c r="AB498" s="66"/>
    </row>
    <row r="499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  <c r="AA499" s="66"/>
      <c r="AB499" s="66"/>
    </row>
    <row r="500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  <c r="AA500" s="66"/>
      <c r="AB500" s="66"/>
    </row>
    <row r="50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  <c r="AA501" s="66"/>
      <c r="AB501" s="66"/>
    </row>
    <row r="502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  <c r="AA502" s="66"/>
      <c r="AB502" s="66"/>
    </row>
    <row r="503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  <c r="AA503" s="66"/>
      <c r="AB503" s="66"/>
    </row>
    <row r="504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  <c r="AA504" s="66"/>
      <c r="AB504" s="66"/>
    </row>
    <row r="505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  <c r="AA505" s="66"/>
      <c r="AB505" s="66"/>
    </row>
    <row r="506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  <c r="AA506" s="66"/>
      <c r="AB506" s="66"/>
    </row>
    <row r="507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  <c r="AA507" s="66"/>
      <c r="AB507" s="66"/>
    </row>
    <row r="508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  <c r="AA508" s="66"/>
      <c r="AB508" s="66"/>
    </row>
    <row r="509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  <c r="AA509" s="66"/>
      <c r="AB509" s="66"/>
    </row>
    <row r="510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  <c r="AA510" s="66"/>
      <c r="AB510" s="66"/>
    </row>
    <row r="51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  <c r="AA511" s="66"/>
      <c r="AB511" s="66"/>
    </row>
    <row r="512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  <c r="AA512" s="66"/>
      <c r="AB512" s="66"/>
    </row>
    <row r="513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  <c r="AA513" s="66"/>
      <c r="AB513" s="66"/>
    </row>
    <row r="514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  <c r="AA514" s="66"/>
      <c r="AB514" s="66"/>
    </row>
    <row r="515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  <c r="AA515" s="66"/>
      <c r="AB515" s="66"/>
    </row>
    <row r="516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  <c r="AA516" s="66"/>
      <c r="AB516" s="66"/>
    </row>
    <row r="517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  <c r="AA517" s="66"/>
      <c r="AB517" s="66"/>
    </row>
    <row r="518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  <c r="AA518" s="66"/>
      <c r="AB518" s="66"/>
    </row>
    <row r="519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  <c r="AA519" s="66"/>
      <c r="AB519" s="66"/>
    </row>
    <row r="520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  <c r="AA520" s="66"/>
      <c r="AB520" s="66"/>
    </row>
    <row r="52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  <c r="AA521" s="66"/>
      <c r="AB521" s="66"/>
    </row>
    <row r="522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  <c r="AA522" s="66"/>
      <c r="AB522" s="66"/>
    </row>
    <row r="523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  <c r="AA523" s="66"/>
      <c r="AB523" s="66"/>
    </row>
    <row r="524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  <c r="AA524" s="66"/>
      <c r="AB524" s="66"/>
    </row>
    <row r="525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  <c r="AA525" s="66"/>
      <c r="AB525" s="66"/>
    </row>
    <row r="526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  <c r="AA526" s="66"/>
      <c r="AB526" s="66"/>
    </row>
    <row r="527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  <c r="AA527" s="66"/>
      <c r="AB527" s="66"/>
    </row>
    <row r="528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  <c r="AA528" s="66"/>
      <c r="AB528" s="66"/>
    </row>
    <row r="529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  <c r="AA529" s="66"/>
      <c r="AB529" s="66"/>
    </row>
    <row r="530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  <c r="AA530" s="66"/>
      <c r="AB530" s="66"/>
    </row>
    <row r="53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  <c r="AA531" s="66"/>
      <c r="AB531" s="66"/>
    </row>
    <row r="532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  <c r="AA532" s="66"/>
      <c r="AB532" s="66"/>
    </row>
    <row r="533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  <c r="AA533" s="66"/>
      <c r="AB533" s="66"/>
    </row>
    <row r="534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  <c r="AA534" s="66"/>
      <c r="AB534" s="66"/>
    </row>
    <row r="535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  <c r="AA535" s="66"/>
      <c r="AB535" s="66"/>
    </row>
    <row r="536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  <c r="AA536" s="66"/>
      <c r="AB536" s="66"/>
    </row>
    <row r="537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  <c r="AA537" s="66"/>
      <c r="AB537" s="66"/>
    </row>
    <row r="538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  <c r="AA538" s="66"/>
      <c r="AB538" s="66"/>
    </row>
    <row r="539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  <c r="AA539" s="66"/>
      <c r="AB539" s="66"/>
    </row>
    <row r="540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  <c r="AA540" s="66"/>
      <c r="AB540" s="66"/>
    </row>
    <row r="54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  <c r="AA541" s="66"/>
      <c r="AB541" s="66"/>
    </row>
    <row r="542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  <c r="AA542" s="66"/>
      <c r="AB542" s="66"/>
    </row>
    <row r="543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  <c r="AA543" s="66"/>
      <c r="AB543" s="66"/>
    </row>
    <row r="544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  <c r="AA544" s="66"/>
      <c r="AB544" s="66"/>
    </row>
    <row r="545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  <c r="AA545" s="66"/>
      <c r="AB545" s="66"/>
    </row>
    <row r="546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  <c r="AA546" s="66"/>
      <c r="AB546" s="66"/>
    </row>
    <row r="547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  <c r="AA547" s="66"/>
      <c r="AB547" s="66"/>
    </row>
    <row r="548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  <c r="AA548" s="66"/>
      <c r="AB548" s="66"/>
    </row>
    <row r="549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  <c r="AA549" s="66"/>
      <c r="AB549" s="66"/>
    </row>
    <row r="550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  <c r="AA550" s="66"/>
      <c r="AB550" s="66"/>
    </row>
    <row r="55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  <c r="AA551" s="66"/>
      <c r="AB551" s="66"/>
    </row>
    <row r="552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  <c r="AA552" s="66"/>
      <c r="AB552" s="66"/>
    </row>
    <row r="553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  <c r="AA553" s="66"/>
      <c r="AB553" s="66"/>
    </row>
    <row r="554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  <c r="AA554" s="66"/>
      <c r="AB554" s="66"/>
    </row>
    <row r="555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  <c r="AA555" s="66"/>
      <c r="AB555" s="66"/>
    </row>
    <row r="556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  <c r="AA556" s="66"/>
      <c r="AB556" s="66"/>
    </row>
    <row r="557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  <c r="AA557" s="66"/>
      <c r="AB557" s="66"/>
    </row>
    <row r="558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  <c r="AA558" s="66"/>
      <c r="AB558" s="66"/>
    </row>
    <row r="559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  <c r="AA559" s="66"/>
      <c r="AB559" s="66"/>
    </row>
    <row r="560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  <c r="AA560" s="66"/>
      <c r="AB560" s="66"/>
    </row>
    <row r="56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  <c r="AA561" s="66"/>
      <c r="AB561" s="66"/>
    </row>
    <row r="562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  <c r="AA562" s="66"/>
      <c r="AB562" s="66"/>
    </row>
    <row r="563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  <c r="AA563" s="66"/>
      <c r="AB563" s="66"/>
    </row>
    <row r="564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  <c r="AA564" s="66"/>
      <c r="AB564" s="66"/>
    </row>
    <row r="565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  <c r="AA565" s="66"/>
      <c r="AB565" s="66"/>
    </row>
    <row r="566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  <c r="AA566" s="66"/>
      <c r="AB566" s="66"/>
    </row>
    <row r="567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  <c r="AA567" s="66"/>
      <c r="AB567" s="66"/>
    </row>
    <row r="568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  <c r="AA568" s="66"/>
      <c r="AB568" s="66"/>
    </row>
    <row r="569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  <c r="AA569" s="66"/>
      <c r="AB569" s="66"/>
    </row>
    <row r="570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  <c r="AA570" s="66"/>
      <c r="AB570" s="66"/>
    </row>
    <row r="57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  <c r="AA571" s="66"/>
      <c r="AB571" s="66"/>
    </row>
    <row r="572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  <c r="AA572" s="66"/>
      <c r="AB572" s="66"/>
    </row>
    <row r="573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  <c r="AA573" s="66"/>
      <c r="AB573" s="66"/>
    </row>
    <row r="574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  <c r="AA574" s="66"/>
      <c r="AB574" s="66"/>
    </row>
    <row r="575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  <c r="AA575" s="66"/>
      <c r="AB575" s="66"/>
    </row>
    <row r="576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  <c r="AA576" s="66"/>
      <c r="AB576" s="66"/>
    </row>
    <row r="577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  <c r="AA577" s="66"/>
      <c r="AB577" s="66"/>
    </row>
    <row r="578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  <c r="AA578" s="66"/>
      <c r="AB578" s="66"/>
    </row>
    <row r="579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  <c r="AA579" s="66"/>
      <c r="AB579" s="66"/>
    </row>
    <row r="580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  <c r="AA580" s="66"/>
      <c r="AB580" s="66"/>
    </row>
    <row r="58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  <c r="AA581" s="66"/>
      <c r="AB581" s="66"/>
    </row>
    <row r="582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  <c r="AA582" s="66"/>
      <c r="AB582" s="66"/>
    </row>
    <row r="583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  <c r="AA583" s="66"/>
      <c r="AB583" s="66"/>
    </row>
    <row r="584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  <c r="AA584" s="66"/>
      <c r="AB584" s="66"/>
    </row>
    <row r="585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  <c r="AA585" s="66"/>
      <c r="AB585" s="66"/>
    </row>
    <row r="586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  <c r="AA586" s="66"/>
      <c r="AB586" s="66"/>
    </row>
    <row r="587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  <c r="AA587" s="66"/>
      <c r="AB587" s="66"/>
    </row>
    <row r="588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  <c r="AA588" s="66"/>
      <c r="AB588" s="66"/>
    </row>
    <row r="589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  <c r="AA589" s="66"/>
      <c r="AB589" s="66"/>
    </row>
    <row r="590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  <c r="AA590" s="66"/>
      <c r="AB590" s="66"/>
    </row>
    <row r="59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  <c r="AA591" s="66"/>
      <c r="AB591" s="66"/>
    </row>
    <row r="592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  <c r="AA592" s="66"/>
      <c r="AB592" s="66"/>
    </row>
    <row r="593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  <c r="AA593" s="66"/>
      <c r="AB593" s="66"/>
    </row>
    <row r="594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  <c r="AA594" s="66"/>
      <c r="AB594" s="66"/>
    </row>
    <row r="595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  <c r="AA595" s="66"/>
      <c r="AB595" s="66"/>
    </row>
    <row r="596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  <c r="AA596" s="66"/>
      <c r="AB596" s="66"/>
    </row>
    <row r="597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  <c r="AA597" s="66"/>
      <c r="AB597" s="66"/>
    </row>
    <row r="598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  <c r="AA598" s="66"/>
      <c r="AB598" s="66"/>
    </row>
    <row r="599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  <c r="AA599" s="66"/>
      <c r="AB599" s="66"/>
    </row>
    <row r="600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  <c r="AA600" s="66"/>
      <c r="AB600" s="66"/>
    </row>
    <row r="60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  <c r="AA601" s="66"/>
      <c r="AB601" s="66"/>
    </row>
    <row r="602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  <c r="AA602" s="66"/>
      <c r="AB602" s="66"/>
    </row>
    <row r="603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  <c r="AA603" s="66"/>
      <c r="AB603" s="66"/>
    </row>
    <row r="604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  <c r="AA604" s="66"/>
      <c r="AB604" s="66"/>
    </row>
    <row r="605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  <c r="AA605" s="66"/>
      <c r="AB605" s="66"/>
    </row>
    <row r="606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  <c r="AA606" s="66"/>
      <c r="AB606" s="66"/>
    </row>
    <row r="607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  <c r="AA607" s="66"/>
      <c r="AB607" s="66"/>
    </row>
    <row r="608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  <c r="AA608" s="66"/>
      <c r="AB608" s="66"/>
    </row>
    <row r="609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  <c r="AA609" s="66"/>
      <c r="AB609" s="66"/>
    </row>
    <row r="610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  <c r="AA610" s="66"/>
      <c r="AB610" s="66"/>
    </row>
    <row r="61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  <c r="AA611" s="66"/>
      <c r="AB611" s="66"/>
    </row>
    <row r="612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  <c r="AA612" s="66"/>
      <c r="AB612" s="66"/>
    </row>
    <row r="613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  <c r="AA613" s="66"/>
      <c r="AB613" s="66"/>
    </row>
    <row r="614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  <c r="AA614" s="66"/>
      <c r="AB614" s="66"/>
    </row>
    <row r="615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  <c r="AA615" s="66"/>
      <c r="AB615" s="66"/>
    </row>
    <row r="616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  <c r="AA616" s="66"/>
      <c r="AB616" s="66"/>
    </row>
    <row r="617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  <c r="AA617" s="66"/>
      <c r="AB617" s="66"/>
    </row>
    <row r="618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  <c r="AA618" s="66"/>
      <c r="AB618" s="66"/>
    </row>
    <row r="619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  <c r="AA619" s="66"/>
      <c r="AB619" s="66"/>
    </row>
    <row r="620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  <c r="AA620" s="66"/>
      <c r="AB620" s="66"/>
    </row>
    <row r="62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  <c r="AA621" s="66"/>
      <c r="AB621" s="66"/>
    </row>
    <row r="622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  <c r="AA622" s="66"/>
      <c r="AB622" s="66"/>
    </row>
    <row r="623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  <c r="AA623" s="66"/>
      <c r="AB623" s="66"/>
    </row>
    <row r="624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  <c r="AA624" s="66"/>
      <c r="AB624" s="66"/>
    </row>
    <row r="625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  <c r="AA625" s="66"/>
      <c r="AB625" s="66"/>
    </row>
    <row r="626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  <c r="AA626" s="66"/>
      <c r="AB626" s="66"/>
    </row>
    <row r="627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  <c r="AA627" s="66"/>
      <c r="AB627" s="66"/>
    </row>
    <row r="628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  <c r="AA628" s="66"/>
      <c r="AB628" s="66"/>
    </row>
    <row r="629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  <c r="AA629" s="66"/>
      <c r="AB629" s="66"/>
    </row>
    <row r="630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  <c r="AA630" s="66"/>
      <c r="AB630" s="66"/>
    </row>
    <row r="63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  <c r="AA631" s="66"/>
      <c r="AB631" s="66"/>
    </row>
    <row r="632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  <c r="AA632" s="66"/>
      <c r="AB632" s="66"/>
    </row>
    <row r="633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  <c r="AA633" s="66"/>
      <c r="AB633" s="66"/>
    </row>
    <row r="634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  <c r="AA634" s="66"/>
      <c r="AB634" s="66"/>
    </row>
    <row r="635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  <c r="AA635" s="66"/>
      <c r="AB635" s="66"/>
    </row>
    <row r="636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  <c r="AA636" s="66"/>
      <c r="AB636" s="66"/>
    </row>
    <row r="637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  <c r="AA637" s="66"/>
      <c r="AB637" s="66"/>
    </row>
    <row r="638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  <c r="AA638" s="66"/>
      <c r="AB638" s="66"/>
    </row>
    <row r="639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  <c r="AA639" s="66"/>
      <c r="AB639" s="66"/>
    </row>
    <row r="640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  <c r="AA640" s="66"/>
      <c r="AB640" s="66"/>
    </row>
    <row r="64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  <c r="AA641" s="66"/>
      <c r="AB641" s="66"/>
    </row>
    <row r="642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  <c r="AA642" s="66"/>
      <c r="AB642" s="66"/>
    </row>
    <row r="643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  <c r="AA643" s="66"/>
      <c r="AB643" s="66"/>
    </row>
    <row r="644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  <c r="AA644" s="66"/>
      <c r="AB644" s="66"/>
    </row>
    <row r="645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  <c r="AA645" s="66"/>
      <c r="AB645" s="66"/>
    </row>
    <row r="646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  <c r="AA646" s="66"/>
      <c r="AB646" s="66"/>
    </row>
    <row r="647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  <c r="AA647" s="66"/>
      <c r="AB647" s="66"/>
    </row>
    <row r="648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  <c r="AA648" s="66"/>
      <c r="AB648" s="66"/>
    </row>
    <row r="649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  <c r="AA649" s="66"/>
      <c r="AB649" s="66"/>
    </row>
    <row r="650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  <c r="AA650" s="66"/>
      <c r="AB650" s="66"/>
    </row>
    <row r="65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  <c r="AA651" s="66"/>
      <c r="AB651" s="66"/>
    </row>
    <row r="652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  <c r="AA652" s="66"/>
      <c r="AB652" s="66"/>
    </row>
    <row r="653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  <c r="AA653" s="66"/>
      <c r="AB653" s="66"/>
    </row>
    <row r="654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  <c r="AA654" s="66"/>
      <c r="AB654" s="66"/>
    </row>
    <row r="655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  <c r="AA655" s="66"/>
      <c r="AB655" s="66"/>
    </row>
    <row r="656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  <c r="AA656" s="66"/>
      <c r="AB656" s="66"/>
    </row>
    <row r="657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  <c r="AA657" s="66"/>
      <c r="AB657" s="66"/>
    </row>
    <row r="658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  <c r="AA658" s="66"/>
      <c r="AB658" s="66"/>
    </row>
    <row r="659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  <c r="AA659" s="66"/>
      <c r="AB659" s="66"/>
    </row>
    <row r="660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  <c r="AA660" s="66"/>
      <c r="AB660" s="66"/>
    </row>
    <row r="66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  <c r="AA661" s="66"/>
      <c r="AB661" s="66"/>
    </row>
    <row r="662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  <c r="AA662" s="66"/>
      <c r="AB662" s="66"/>
    </row>
    <row r="663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  <c r="AA663" s="66"/>
      <c r="AB663" s="66"/>
    </row>
    <row r="664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  <c r="AA664" s="66"/>
      <c r="AB664" s="66"/>
    </row>
    <row r="665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  <c r="AA665" s="66"/>
      <c r="AB665" s="66"/>
    </row>
    <row r="666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  <c r="AA666" s="66"/>
      <c r="AB666" s="66"/>
    </row>
    <row r="667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  <c r="AA667" s="66"/>
      <c r="AB667" s="66"/>
    </row>
    <row r="668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  <c r="AA668" s="66"/>
      <c r="AB668" s="66"/>
    </row>
    <row r="669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  <c r="AA669" s="66"/>
      <c r="AB669" s="66"/>
    </row>
    <row r="670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  <c r="AA670" s="66"/>
      <c r="AB670" s="66"/>
    </row>
    <row r="67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  <c r="AA671" s="66"/>
      <c r="AB671" s="66"/>
    </row>
    <row r="672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  <c r="AA672" s="66"/>
      <c r="AB672" s="66"/>
    </row>
    <row r="673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  <c r="AA673" s="66"/>
      <c r="AB673" s="66"/>
    </row>
    <row r="674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  <c r="AA674" s="66"/>
      <c r="AB674" s="66"/>
    </row>
    <row r="675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  <c r="AA675" s="66"/>
      <c r="AB675" s="66"/>
    </row>
    <row r="676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  <c r="AA676" s="66"/>
      <c r="AB676" s="66"/>
    </row>
    <row r="677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  <c r="AA677" s="66"/>
      <c r="AB677" s="66"/>
    </row>
    <row r="678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  <c r="AA678" s="66"/>
      <c r="AB678" s="66"/>
    </row>
    <row r="679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  <c r="AA679" s="66"/>
      <c r="AB679" s="66"/>
    </row>
    <row r="680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  <c r="AA680" s="66"/>
      <c r="AB680" s="66"/>
    </row>
    <row r="68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  <c r="AA681" s="66"/>
      <c r="AB681" s="66"/>
    </row>
    <row r="682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  <c r="AA682" s="66"/>
      <c r="AB682" s="66"/>
    </row>
    <row r="683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  <c r="AA683" s="66"/>
      <c r="AB683" s="66"/>
    </row>
    <row r="684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  <c r="AA684" s="66"/>
      <c r="AB684" s="66"/>
    </row>
    <row r="685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  <c r="AA685" s="66"/>
      <c r="AB685" s="66"/>
    </row>
    <row r="686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  <c r="AA686" s="66"/>
      <c r="AB686" s="66"/>
    </row>
    <row r="687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  <c r="AA687" s="66"/>
      <c r="AB687" s="66"/>
    </row>
    <row r="688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  <c r="AA688" s="66"/>
      <c r="AB688" s="66"/>
    </row>
    <row r="689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  <c r="AA689" s="66"/>
      <c r="AB689" s="66"/>
    </row>
    <row r="690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  <c r="AA690" s="66"/>
      <c r="AB690" s="66"/>
    </row>
    <row r="69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  <c r="AA691" s="66"/>
      <c r="AB691" s="66"/>
    </row>
    <row r="692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  <c r="AA692" s="66"/>
      <c r="AB692" s="66"/>
    </row>
    <row r="693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  <c r="AA693" s="66"/>
      <c r="AB693" s="66"/>
    </row>
    <row r="694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  <c r="AA694" s="66"/>
      <c r="AB694" s="66"/>
    </row>
    <row r="695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  <c r="AA695" s="66"/>
      <c r="AB695" s="66"/>
    </row>
    <row r="696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  <c r="AA696" s="66"/>
      <c r="AB696" s="66"/>
    </row>
    <row r="697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  <c r="AA697" s="66"/>
      <c r="AB697" s="66"/>
    </row>
    <row r="698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  <c r="AA698" s="66"/>
      <c r="AB698" s="66"/>
    </row>
    <row r="699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  <c r="AA699" s="66"/>
      <c r="AB699" s="66"/>
    </row>
    <row r="700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  <c r="AA700" s="66"/>
      <c r="AB700" s="66"/>
    </row>
    <row r="70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  <c r="AA701" s="66"/>
      <c r="AB701" s="66"/>
    </row>
    <row r="702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  <c r="AA702" s="66"/>
      <c r="AB702" s="66"/>
    </row>
    <row r="703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  <c r="AA703" s="66"/>
      <c r="AB703" s="66"/>
    </row>
    <row r="704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  <c r="AA704" s="66"/>
      <c r="AB704" s="66"/>
    </row>
    <row r="705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  <c r="AA705" s="66"/>
      <c r="AB705" s="66"/>
    </row>
    <row r="706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  <c r="AA706" s="66"/>
      <c r="AB706" s="66"/>
    </row>
    <row r="707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  <c r="AA707" s="66"/>
      <c r="AB707" s="66"/>
    </row>
    <row r="708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  <c r="AA708" s="66"/>
      <c r="AB708" s="66"/>
    </row>
    <row r="709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  <c r="AA709" s="66"/>
      <c r="AB709" s="66"/>
    </row>
    <row r="710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  <c r="AA710" s="66"/>
      <c r="AB710" s="66"/>
    </row>
    <row r="71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  <c r="AA711" s="66"/>
      <c r="AB711" s="66"/>
    </row>
    <row r="712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  <c r="AA712" s="66"/>
      <c r="AB712" s="66"/>
    </row>
    <row r="713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  <c r="AA713" s="66"/>
      <c r="AB713" s="66"/>
    </row>
    <row r="714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  <c r="AA714" s="66"/>
      <c r="AB714" s="66"/>
    </row>
    <row r="715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  <c r="AA715" s="66"/>
      <c r="AB715" s="66"/>
    </row>
    <row r="716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  <c r="AA716" s="66"/>
      <c r="AB716" s="66"/>
    </row>
    <row r="717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  <c r="AA717" s="66"/>
      <c r="AB717" s="66"/>
    </row>
    <row r="718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  <c r="AA718" s="66"/>
      <c r="AB718" s="66"/>
    </row>
    <row r="719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  <c r="AA719" s="66"/>
      <c r="AB719" s="66"/>
    </row>
    <row r="720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  <c r="AA720" s="66"/>
      <c r="AB720" s="66"/>
    </row>
    <row r="72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  <c r="AA721" s="66"/>
      <c r="AB721" s="66"/>
    </row>
    <row r="722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  <c r="AA722" s="66"/>
      <c r="AB722" s="66"/>
    </row>
    <row r="723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  <c r="AA723" s="66"/>
      <c r="AB723" s="66"/>
    </row>
    <row r="724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  <c r="AA724" s="66"/>
      <c r="AB724" s="66"/>
    </row>
    <row r="725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  <c r="AA725" s="66"/>
      <c r="AB725" s="66"/>
    </row>
    <row r="726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  <c r="AA726" s="66"/>
      <c r="AB726" s="66"/>
    </row>
    <row r="727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  <c r="AA727" s="66"/>
      <c r="AB727" s="66"/>
    </row>
    <row r="728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  <c r="AA728" s="66"/>
      <c r="AB728" s="66"/>
    </row>
    <row r="729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  <c r="AA729" s="66"/>
      <c r="AB729" s="66"/>
    </row>
    <row r="730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  <c r="AA730" s="66"/>
      <c r="AB730" s="66"/>
    </row>
    <row r="73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  <c r="AA731" s="66"/>
      <c r="AB731" s="66"/>
    </row>
    <row r="732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  <c r="AA732" s="66"/>
      <c r="AB732" s="66"/>
    </row>
    <row r="733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  <c r="AA733" s="66"/>
      <c r="AB733" s="66"/>
    </row>
    <row r="734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  <c r="AA734" s="66"/>
      <c r="AB734" s="66"/>
    </row>
    <row r="735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  <c r="AA735" s="66"/>
      <c r="AB735" s="66"/>
    </row>
    <row r="736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  <c r="AA736" s="66"/>
      <c r="AB736" s="66"/>
    </row>
    <row r="737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  <c r="AA737" s="66"/>
      <c r="AB737" s="66"/>
    </row>
    <row r="738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  <c r="AA738" s="66"/>
      <c r="AB738" s="66"/>
    </row>
    <row r="739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  <c r="AA739" s="66"/>
      <c r="AB739" s="66"/>
    </row>
    <row r="740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  <c r="AA740" s="66"/>
      <c r="AB740" s="66"/>
    </row>
    <row r="74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  <c r="AA741" s="66"/>
      <c r="AB741" s="66"/>
    </row>
    <row r="742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  <c r="AA742" s="66"/>
      <c r="AB742" s="66"/>
    </row>
    <row r="743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  <c r="AA743" s="66"/>
      <c r="AB743" s="66"/>
    </row>
    <row r="744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  <c r="AA744" s="66"/>
      <c r="AB744" s="66"/>
    </row>
    <row r="745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  <c r="AA745" s="66"/>
      <c r="AB745" s="66"/>
    </row>
    <row r="746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  <c r="AA746" s="66"/>
      <c r="AB746" s="66"/>
    </row>
    <row r="747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  <c r="AA747" s="66"/>
      <c r="AB747" s="66"/>
    </row>
    <row r="748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  <c r="AA748" s="66"/>
      <c r="AB748" s="66"/>
    </row>
    <row r="749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  <c r="AA749" s="66"/>
      <c r="AB749" s="66"/>
    </row>
    <row r="750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  <c r="AA750" s="66"/>
      <c r="AB750" s="66"/>
    </row>
    <row r="75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  <c r="AA751" s="66"/>
      <c r="AB751" s="66"/>
    </row>
    <row r="752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  <c r="AA752" s="66"/>
      <c r="AB752" s="66"/>
    </row>
    <row r="753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  <c r="AA753" s="66"/>
      <c r="AB753" s="66"/>
    </row>
    <row r="754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  <c r="AA754" s="66"/>
      <c r="AB754" s="66"/>
    </row>
    <row r="755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  <c r="AA755" s="66"/>
      <c r="AB755" s="66"/>
    </row>
    <row r="756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  <c r="AA756" s="66"/>
      <c r="AB756" s="66"/>
    </row>
    <row r="757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  <c r="AA757" s="66"/>
      <c r="AB757" s="66"/>
    </row>
    <row r="758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  <c r="AA758" s="66"/>
      <c r="AB758" s="66"/>
    </row>
    <row r="759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  <c r="AA759" s="66"/>
      <c r="AB759" s="66"/>
    </row>
    <row r="760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  <c r="AA760" s="66"/>
      <c r="AB760" s="66"/>
    </row>
    <row r="76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  <c r="AA761" s="66"/>
      <c r="AB761" s="66"/>
    </row>
    <row r="762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  <c r="AA762" s="66"/>
      <c r="AB762" s="66"/>
    </row>
    <row r="763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  <c r="AA763" s="66"/>
      <c r="AB763" s="66"/>
    </row>
    <row r="764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  <c r="AA764" s="66"/>
      <c r="AB764" s="66"/>
    </row>
    <row r="765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  <c r="AA765" s="66"/>
      <c r="AB765" s="66"/>
    </row>
    <row r="766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  <c r="AA766" s="66"/>
      <c r="AB766" s="66"/>
    </row>
    <row r="767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  <c r="AA767" s="66"/>
      <c r="AB767" s="66"/>
    </row>
    <row r="768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  <c r="AA768" s="66"/>
      <c r="AB768" s="66"/>
    </row>
    <row r="769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  <c r="AA769" s="66"/>
      <c r="AB769" s="66"/>
    </row>
    <row r="770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  <c r="AA770" s="66"/>
      <c r="AB770" s="66"/>
    </row>
    <row r="77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  <c r="AA771" s="66"/>
      <c r="AB771" s="66"/>
    </row>
    <row r="772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  <c r="AA772" s="66"/>
      <c r="AB772" s="66"/>
    </row>
    <row r="773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  <c r="AA773" s="66"/>
      <c r="AB773" s="66"/>
    </row>
    <row r="774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  <c r="AA774" s="66"/>
      <c r="AB774" s="66"/>
    </row>
    <row r="775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  <c r="AA775" s="66"/>
      <c r="AB775" s="66"/>
    </row>
    <row r="776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  <c r="AA776" s="66"/>
      <c r="AB776" s="66"/>
    </row>
    <row r="777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  <c r="AA777" s="66"/>
      <c r="AB777" s="66"/>
    </row>
    <row r="778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  <c r="AA778" s="66"/>
      <c r="AB778" s="66"/>
    </row>
    <row r="779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  <c r="AA779" s="66"/>
      <c r="AB779" s="66"/>
    </row>
    <row r="780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  <c r="AA780" s="66"/>
      <c r="AB780" s="66"/>
    </row>
    <row r="78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  <c r="AA781" s="66"/>
      <c r="AB781" s="66"/>
    </row>
    <row r="782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  <c r="AA782" s="66"/>
      <c r="AB782" s="66"/>
    </row>
    <row r="783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  <c r="AA783" s="66"/>
      <c r="AB783" s="66"/>
    </row>
    <row r="784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  <c r="AA784" s="66"/>
      <c r="AB784" s="66"/>
    </row>
    <row r="785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  <c r="AA785" s="66"/>
      <c r="AB785" s="66"/>
    </row>
    <row r="786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  <c r="AA786" s="66"/>
      <c r="AB786" s="66"/>
    </row>
    <row r="787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  <c r="AA787" s="66"/>
      <c r="AB787" s="66"/>
    </row>
    <row r="788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  <c r="AA788" s="66"/>
      <c r="AB788" s="66"/>
    </row>
    <row r="789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  <c r="AA789" s="66"/>
      <c r="AB789" s="66"/>
    </row>
    <row r="790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  <c r="AA790" s="66"/>
      <c r="AB790" s="66"/>
    </row>
    <row r="79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  <c r="AA791" s="66"/>
      <c r="AB791" s="66"/>
    </row>
    <row r="792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  <c r="AA792" s="66"/>
      <c r="AB792" s="66"/>
    </row>
    <row r="793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  <c r="AA793" s="66"/>
      <c r="AB793" s="66"/>
    </row>
    <row r="794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  <c r="AA794" s="66"/>
      <c r="AB794" s="66"/>
    </row>
    <row r="795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  <c r="AA795" s="66"/>
      <c r="AB795" s="66"/>
    </row>
    <row r="796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  <c r="AA796" s="66"/>
      <c r="AB796" s="66"/>
    </row>
    <row r="797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  <c r="AA797" s="66"/>
      <c r="AB797" s="66"/>
    </row>
    <row r="798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  <c r="AA798" s="66"/>
      <c r="AB798" s="66"/>
    </row>
    <row r="799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  <c r="AA799" s="66"/>
      <c r="AB799" s="66"/>
    </row>
    <row r="800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  <c r="AA800" s="66"/>
      <c r="AB800" s="66"/>
    </row>
    <row r="80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  <c r="AA801" s="66"/>
      <c r="AB801" s="66"/>
    </row>
    <row r="802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  <c r="AA802" s="66"/>
      <c r="AB802" s="66"/>
    </row>
    <row r="803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  <c r="AA803" s="66"/>
      <c r="AB803" s="66"/>
    </row>
    <row r="804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  <c r="AA804" s="66"/>
      <c r="AB804" s="66"/>
    </row>
    <row r="805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  <c r="AA805" s="66"/>
      <c r="AB805" s="66"/>
    </row>
    <row r="806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  <c r="AA806" s="66"/>
      <c r="AB806" s="66"/>
    </row>
    <row r="807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  <c r="AA807" s="66"/>
      <c r="AB807" s="66"/>
    </row>
    <row r="808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  <c r="AA808" s="66"/>
      <c r="AB808" s="66"/>
    </row>
    <row r="809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  <c r="AA809" s="66"/>
      <c r="AB809" s="66"/>
    </row>
    <row r="810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  <c r="AA810" s="66"/>
      <c r="AB810" s="66"/>
    </row>
    <row r="81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  <c r="AA811" s="66"/>
      <c r="AB811" s="66"/>
    </row>
    <row r="812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  <c r="AA812" s="66"/>
      <c r="AB812" s="66"/>
    </row>
    <row r="813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  <c r="AA813" s="66"/>
      <c r="AB813" s="66"/>
    </row>
    <row r="814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  <c r="AA814" s="66"/>
      <c r="AB814" s="66"/>
    </row>
    <row r="815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  <c r="AA815" s="66"/>
      <c r="AB815" s="66"/>
    </row>
    <row r="816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  <c r="AA816" s="66"/>
      <c r="AB816" s="66"/>
    </row>
    <row r="817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  <c r="AA817" s="66"/>
      <c r="AB817" s="66"/>
    </row>
    <row r="818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  <c r="AA818" s="66"/>
      <c r="AB818" s="66"/>
    </row>
    <row r="819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  <c r="AA819" s="66"/>
      <c r="AB819" s="66"/>
    </row>
    <row r="820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  <c r="AA820" s="66"/>
      <c r="AB820" s="66"/>
    </row>
    <row r="82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  <c r="AA821" s="66"/>
      <c r="AB821" s="66"/>
    </row>
    <row r="822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  <c r="AA822" s="66"/>
      <c r="AB822" s="66"/>
    </row>
    <row r="823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  <c r="AA823" s="66"/>
      <c r="AB823" s="66"/>
    </row>
    <row r="824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  <c r="AA824" s="66"/>
      <c r="AB824" s="66"/>
    </row>
    <row r="825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  <c r="AA825" s="66"/>
      <c r="AB825" s="66"/>
    </row>
    <row r="826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  <c r="AA826" s="66"/>
      <c r="AB826" s="66"/>
    </row>
    <row r="827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  <c r="AA827" s="66"/>
      <c r="AB827" s="66"/>
    </row>
    <row r="828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  <c r="AA828" s="66"/>
      <c r="AB828" s="66"/>
    </row>
    <row r="829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  <c r="AA829" s="66"/>
      <c r="AB829" s="66"/>
    </row>
    <row r="830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  <c r="AA830" s="66"/>
      <c r="AB830" s="66"/>
    </row>
    <row r="83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  <c r="AA831" s="66"/>
      <c r="AB831" s="66"/>
    </row>
    <row r="832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  <c r="AA832" s="66"/>
      <c r="AB832" s="66"/>
    </row>
    <row r="833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  <c r="AA833" s="66"/>
      <c r="AB833" s="66"/>
    </row>
    <row r="834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  <c r="AA834" s="66"/>
      <c r="AB834" s="66"/>
    </row>
    <row r="835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  <c r="AA835" s="66"/>
      <c r="AB835" s="66"/>
    </row>
    <row r="836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  <c r="AA836" s="66"/>
      <c r="AB836" s="66"/>
    </row>
    <row r="837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  <c r="AA837" s="66"/>
      <c r="AB837" s="66"/>
    </row>
    <row r="838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  <c r="AA838" s="66"/>
      <c r="AB838" s="66"/>
    </row>
    <row r="839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  <c r="AA839" s="66"/>
      <c r="AB839" s="66"/>
    </row>
    <row r="840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  <c r="AA840" s="66"/>
      <c r="AB840" s="66"/>
    </row>
    <row r="84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  <c r="AA841" s="66"/>
      <c r="AB841" s="66"/>
    </row>
    <row r="842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  <c r="AA842" s="66"/>
      <c r="AB842" s="66"/>
    </row>
    <row r="843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  <c r="AA843" s="66"/>
      <c r="AB843" s="66"/>
    </row>
    <row r="844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  <c r="AA844" s="66"/>
      <c r="AB844" s="66"/>
    </row>
    <row r="845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  <c r="AA845" s="66"/>
      <c r="AB845" s="66"/>
    </row>
    <row r="846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  <c r="AA846" s="66"/>
      <c r="AB846" s="66"/>
    </row>
    <row r="847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  <c r="AA847" s="66"/>
      <c r="AB847" s="66"/>
    </row>
    <row r="848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  <c r="AA848" s="66"/>
      <c r="AB848" s="66"/>
    </row>
    <row r="849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  <c r="AA849" s="66"/>
      <c r="AB849" s="66"/>
    </row>
    <row r="850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  <c r="AA850" s="66"/>
      <c r="AB850" s="66"/>
    </row>
    <row r="85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  <c r="AA851" s="66"/>
      <c r="AB851" s="66"/>
    </row>
    <row r="852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  <c r="AA852" s="66"/>
      <c r="AB852" s="66"/>
    </row>
    <row r="853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  <c r="AA853" s="66"/>
      <c r="AB853" s="66"/>
    </row>
    <row r="854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  <c r="AA854" s="66"/>
      <c r="AB854" s="66"/>
    </row>
    <row r="855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  <c r="AA855" s="66"/>
      <c r="AB855" s="66"/>
    </row>
    <row r="856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  <c r="AA856" s="66"/>
      <c r="AB856" s="66"/>
    </row>
    <row r="857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  <c r="AA857" s="66"/>
      <c r="AB857" s="66"/>
    </row>
    <row r="858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  <c r="AA858" s="66"/>
      <c r="AB858" s="66"/>
    </row>
    <row r="859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  <c r="AA859" s="66"/>
      <c r="AB859" s="66"/>
    </row>
    <row r="860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  <c r="AA860" s="66"/>
      <c r="AB860" s="66"/>
    </row>
    <row r="86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  <c r="AA861" s="66"/>
      <c r="AB861" s="66"/>
    </row>
    <row r="862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  <c r="AA862" s="66"/>
      <c r="AB862" s="66"/>
    </row>
    <row r="863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  <c r="AA863" s="66"/>
      <c r="AB863" s="66"/>
    </row>
    <row r="864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  <c r="AA864" s="66"/>
      <c r="AB864" s="66"/>
    </row>
    <row r="865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  <c r="AA865" s="66"/>
      <c r="AB865" s="66"/>
    </row>
    <row r="866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  <c r="AA866" s="66"/>
      <c r="AB866" s="66"/>
    </row>
    <row r="867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  <c r="AA867" s="66"/>
      <c r="AB867" s="66"/>
    </row>
    <row r="868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  <c r="AA868" s="66"/>
      <c r="AB868" s="66"/>
    </row>
    <row r="869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  <c r="AA869" s="66"/>
      <c r="AB869" s="66"/>
    </row>
    <row r="870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  <c r="AA870" s="66"/>
      <c r="AB870" s="66"/>
    </row>
    <row r="87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  <c r="AA871" s="66"/>
      <c r="AB871" s="66"/>
    </row>
    <row r="872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  <c r="AA872" s="66"/>
      <c r="AB872" s="66"/>
    </row>
    <row r="873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  <c r="AA873" s="66"/>
      <c r="AB873" s="66"/>
    </row>
    <row r="874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  <c r="AA874" s="66"/>
      <c r="AB874" s="66"/>
    </row>
    <row r="875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  <c r="AA875" s="66"/>
      <c r="AB875" s="66"/>
    </row>
    <row r="876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  <c r="AA876" s="66"/>
      <c r="AB876" s="66"/>
    </row>
    <row r="877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  <c r="AA877" s="66"/>
      <c r="AB877" s="66"/>
    </row>
    <row r="878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  <c r="AA878" s="66"/>
      <c r="AB878" s="66"/>
    </row>
    <row r="879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  <c r="AA879" s="66"/>
      <c r="AB879" s="66"/>
    </row>
    <row r="880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  <c r="AA880" s="66"/>
      <c r="AB880" s="66"/>
    </row>
    <row r="88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  <c r="AA881" s="66"/>
      <c r="AB881" s="66"/>
    </row>
    <row r="882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  <c r="AA882" s="66"/>
      <c r="AB882" s="66"/>
    </row>
    <row r="883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  <c r="AA883" s="66"/>
      <c r="AB883" s="66"/>
    </row>
    <row r="884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  <c r="AA884" s="66"/>
      <c r="AB884" s="66"/>
    </row>
    <row r="885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  <c r="AA885" s="66"/>
      <c r="AB885" s="66"/>
    </row>
    <row r="886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  <c r="AA886" s="66"/>
      <c r="AB886" s="66"/>
    </row>
    <row r="887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  <c r="AA887" s="66"/>
      <c r="AB887" s="66"/>
    </row>
    <row r="888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  <c r="AA888" s="66"/>
      <c r="AB888" s="66"/>
    </row>
    <row r="889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  <c r="AA889" s="66"/>
      <c r="AB889" s="66"/>
    </row>
    <row r="890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  <c r="AA890" s="66"/>
      <c r="AB890" s="66"/>
    </row>
    <row r="89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  <c r="AA891" s="66"/>
      <c r="AB891" s="66"/>
    </row>
    <row r="892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  <c r="AA892" s="66"/>
      <c r="AB892" s="66"/>
    </row>
    <row r="893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  <c r="AA893" s="66"/>
      <c r="AB893" s="66"/>
    </row>
    <row r="894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  <c r="AA894" s="66"/>
      <c r="AB894" s="66"/>
    </row>
    <row r="895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  <c r="AA895" s="66"/>
      <c r="AB895" s="66"/>
    </row>
    <row r="896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  <c r="AA896" s="66"/>
      <c r="AB896" s="66"/>
    </row>
    <row r="897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  <c r="AA897" s="66"/>
      <c r="AB897" s="66"/>
    </row>
    <row r="898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  <c r="AA898" s="66"/>
      <c r="AB898" s="66"/>
    </row>
    <row r="899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  <c r="AA899" s="66"/>
      <c r="AB899" s="66"/>
    </row>
    <row r="900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  <c r="AA900" s="66"/>
      <c r="AB900" s="66"/>
    </row>
    <row r="90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  <c r="AA901" s="66"/>
      <c r="AB901" s="66"/>
    </row>
    <row r="902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  <c r="AA902" s="66"/>
      <c r="AB902" s="66"/>
    </row>
    <row r="903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  <c r="AA903" s="66"/>
      <c r="AB903" s="66"/>
    </row>
    <row r="904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  <c r="AA904" s="66"/>
      <c r="AB904" s="66"/>
    </row>
    <row r="905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  <c r="AA905" s="66"/>
      <c r="AB905" s="66"/>
    </row>
    <row r="906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  <c r="AA906" s="66"/>
      <c r="AB906" s="66"/>
    </row>
    <row r="907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  <c r="AA907" s="66"/>
      <c r="AB907" s="66"/>
    </row>
    <row r="908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  <c r="AA908" s="66"/>
      <c r="AB908" s="66"/>
    </row>
    <row r="909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  <c r="AA909" s="66"/>
      <c r="AB909" s="66"/>
    </row>
    <row r="910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  <c r="AA910" s="66"/>
      <c r="AB910" s="66"/>
    </row>
    <row r="91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  <c r="AA911" s="66"/>
      <c r="AB911" s="66"/>
    </row>
    <row r="912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  <c r="AA912" s="66"/>
      <c r="AB912" s="66"/>
    </row>
    <row r="913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  <c r="AA913" s="66"/>
      <c r="AB913" s="66"/>
    </row>
    <row r="914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  <c r="AA914" s="66"/>
      <c r="AB914" s="66"/>
    </row>
    <row r="915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  <c r="AA915" s="66"/>
      <c r="AB915" s="66"/>
    </row>
    <row r="916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  <c r="AA916" s="66"/>
      <c r="AB916" s="66"/>
    </row>
    <row r="917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  <c r="AA917" s="66"/>
      <c r="AB917" s="66"/>
    </row>
    <row r="918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  <c r="AA918" s="66"/>
      <c r="AB918" s="66"/>
    </row>
    <row r="919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  <c r="AA919" s="66"/>
      <c r="AB919" s="66"/>
    </row>
    <row r="920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  <c r="AA920" s="66"/>
      <c r="AB920" s="66"/>
    </row>
    <row r="92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  <c r="AA921" s="66"/>
      <c r="AB921" s="66"/>
    </row>
    <row r="922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  <c r="AA922" s="66"/>
      <c r="AB922" s="66"/>
    </row>
    <row r="923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  <c r="AA923" s="66"/>
      <c r="AB923" s="66"/>
    </row>
    <row r="924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  <c r="AA924" s="66"/>
      <c r="AB924" s="66"/>
    </row>
    <row r="925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  <c r="AA925" s="66"/>
      <c r="AB925" s="66"/>
    </row>
    <row r="926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  <c r="AA926" s="66"/>
      <c r="AB926" s="66"/>
    </row>
    <row r="927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  <c r="AA927" s="66"/>
      <c r="AB927" s="66"/>
    </row>
    <row r="928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  <c r="AA928" s="66"/>
      <c r="AB928" s="66"/>
    </row>
    <row r="929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  <c r="AA929" s="66"/>
      <c r="AB929" s="66"/>
    </row>
    <row r="930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  <c r="AA930" s="66"/>
      <c r="AB930" s="66"/>
    </row>
    <row r="93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  <c r="AA931" s="66"/>
      <c r="AB931" s="66"/>
    </row>
    <row r="932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  <c r="AA932" s="66"/>
      <c r="AB932" s="66"/>
    </row>
    <row r="933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  <c r="AA933" s="66"/>
      <c r="AB933" s="66"/>
    </row>
    <row r="934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  <c r="AA934" s="66"/>
      <c r="AB934" s="66"/>
    </row>
    <row r="935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  <c r="AA935" s="66"/>
      <c r="AB935" s="66"/>
    </row>
    <row r="936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  <c r="AA936" s="66"/>
      <c r="AB936" s="66"/>
    </row>
    <row r="937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  <c r="AA937" s="66"/>
      <c r="AB937" s="66"/>
    </row>
    <row r="938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  <c r="AA938" s="66"/>
      <c r="AB938" s="66"/>
    </row>
    <row r="939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  <c r="AA939" s="66"/>
      <c r="AB939" s="66"/>
    </row>
    <row r="940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  <c r="AA940" s="66"/>
      <c r="AB940" s="66"/>
    </row>
    <row r="94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  <c r="AA941" s="66"/>
      <c r="AB941" s="66"/>
    </row>
    <row r="942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  <c r="AA942" s="66"/>
      <c r="AB942" s="66"/>
    </row>
    <row r="943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  <c r="AA943" s="66"/>
      <c r="AB943" s="66"/>
    </row>
    <row r="944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  <c r="AA944" s="66"/>
      <c r="AB944" s="66"/>
    </row>
    <row r="945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  <c r="AA945" s="66"/>
      <c r="AB945" s="66"/>
    </row>
    <row r="946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  <c r="AA946" s="66"/>
      <c r="AB946" s="66"/>
    </row>
    <row r="947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  <c r="AA947" s="66"/>
      <c r="AB947" s="66"/>
    </row>
    <row r="948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  <c r="AA948" s="66"/>
      <c r="AB948" s="66"/>
    </row>
    <row r="949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  <c r="AA949" s="66"/>
      <c r="AB949" s="66"/>
    </row>
    <row r="950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  <c r="AA950" s="66"/>
      <c r="AB950" s="66"/>
    </row>
    <row r="95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  <c r="AA951" s="66"/>
      <c r="AB951" s="66"/>
    </row>
    <row r="952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  <c r="AA952" s="66"/>
      <c r="AB952" s="66"/>
    </row>
    <row r="953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  <c r="AA953" s="66"/>
      <c r="AB953" s="66"/>
    </row>
    <row r="954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  <c r="AA954" s="66"/>
      <c r="AB954" s="66"/>
    </row>
    <row r="955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  <c r="AA955" s="66"/>
      <c r="AB955" s="66"/>
    </row>
    <row r="956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  <c r="AA956" s="66"/>
      <c r="AB956" s="66"/>
    </row>
    <row r="957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  <c r="AA957" s="66"/>
      <c r="AB957" s="66"/>
    </row>
    <row r="958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  <c r="AA958" s="66"/>
      <c r="AB958" s="66"/>
    </row>
    <row r="959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  <c r="AA959" s="66"/>
      <c r="AB959" s="66"/>
    </row>
    <row r="960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  <c r="AA960" s="66"/>
      <c r="AB960" s="66"/>
    </row>
    <row r="96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  <c r="AA961" s="66"/>
      <c r="AB961" s="66"/>
    </row>
    <row r="962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  <c r="AA962" s="66"/>
      <c r="AB962" s="66"/>
    </row>
    <row r="963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  <c r="AA963" s="66"/>
      <c r="AB963" s="66"/>
    </row>
    <row r="964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  <c r="AA964" s="66"/>
      <c r="AB964" s="66"/>
    </row>
    <row r="965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  <c r="AA965" s="66"/>
      <c r="AB965" s="66"/>
    </row>
    <row r="966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  <c r="AA966" s="66"/>
      <c r="AB966" s="66"/>
    </row>
    <row r="967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  <c r="AA967" s="66"/>
      <c r="AB967" s="66"/>
    </row>
    <row r="968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  <c r="AA968" s="66"/>
      <c r="AB968" s="66"/>
    </row>
    <row r="969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  <c r="AA969" s="66"/>
      <c r="AB969" s="66"/>
    </row>
    <row r="970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  <c r="AA970" s="66"/>
      <c r="AB970" s="66"/>
    </row>
    <row r="97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  <c r="AA971" s="66"/>
      <c r="AB971" s="66"/>
    </row>
    <row r="972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  <c r="AA972" s="66"/>
      <c r="AB972" s="66"/>
    </row>
    <row r="973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  <c r="AA973" s="66"/>
      <c r="AB973" s="66"/>
    </row>
    <row r="974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  <c r="AA974" s="66"/>
      <c r="AB974" s="66"/>
    </row>
    <row r="975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  <c r="AA975" s="66"/>
      <c r="AB975" s="66"/>
    </row>
    <row r="976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  <c r="AA976" s="66"/>
      <c r="AB976" s="66"/>
    </row>
    <row r="977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  <c r="AA977" s="66"/>
      <c r="AB977" s="66"/>
    </row>
    <row r="978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  <c r="AA978" s="66"/>
      <c r="AB978" s="66"/>
    </row>
    <row r="979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  <c r="AA979" s="66"/>
      <c r="AB979" s="66"/>
    </row>
    <row r="980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  <c r="AA980" s="66"/>
      <c r="AB980" s="66"/>
    </row>
    <row r="98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  <c r="AA981" s="66"/>
      <c r="AB981" s="66"/>
    </row>
    <row r="982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  <c r="AA982" s="66"/>
      <c r="AB982" s="66"/>
    </row>
    <row r="983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  <c r="AA983" s="66"/>
      <c r="AB983" s="66"/>
    </row>
    <row r="984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  <c r="AA984" s="66"/>
      <c r="AB984" s="66"/>
    </row>
    <row r="985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  <c r="AA985" s="66"/>
      <c r="AB985" s="66"/>
    </row>
    <row r="986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  <c r="AA986" s="66"/>
      <c r="AB986" s="66"/>
    </row>
    <row r="987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  <c r="AA987" s="66"/>
      <c r="AB987" s="66"/>
    </row>
    <row r="988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  <c r="AA988" s="66"/>
      <c r="AB988" s="66"/>
    </row>
    <row r="989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  <c r="AA989" s="66"/>
      <c r="AB989" s="66"/>
    </row>
    <row r="990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  <c r="AA990" s="66"/>
      <c r="AB990" s="66"/>
    </row>
    <row r="99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  <c r="AA991" s="66"/>
      <c r="AB991" s="66"/>
    </row>
    <row r="992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  <c r="AA992" s="66"/>
      <c r="AB992" s="66"/>
    </row>
    <row r="993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  <c r="AA993" s="66"/>
      <c r="AB993" s="66"/>
    </row>
    <row r="994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  <c r="AA994" s="66"/>
      <c r="AB994" s="66"/>
    </row>
    <row r="995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  <c r="AA995" s="66"/>
      <c r="AB995" s="66"/>
    </row>
    <row r="996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  <c r="AA996" s="66"/>
      <c r="AB996" s="66"/>
    </row>
    <row r="997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  <c r="AA997" s="66"/>
      <c r="AB997" s="66"/>
    </row>
  </sheetData>
  <hyperlinks>
    <hyperlink r:id="rId1" ref="A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17.38"/>
    <col customWidth="1" min="5" max="5" width="15.25"/>
  </cols>
  <sheetData>
    <row r="1">
      <c r="A1" s="61" t="s">
        <v>60</v>
      </c>
      <c r="B1" s="61" t="s">
        <v>61</v>
      </c>
      <c r="C1" s="61" t="s">
        <v>62</v>
      </c>
      <c r="D1" s="61" t="s">
        <v>63</v>
      </c>
      <c r="E1" s="61" t="s">
        <v>64</v>
      </c>
    </row>
    <row r="2">
      <c r="A2" s="63" t="s">
        <v>65</v>
      </c>
      <c r="B2" s="12" t="s">
        <v>66</v>
      </c>
      <c r="C2" s="26" t="s">
        <v>67</v>
      </c>
      <c r="D2" s="64" t="s">
        <v>69</v>
      </c>
      <c r="E2" s="65">
        <v>18000.0</v>
      </c>
    </row>
  </sheetData>
  <drawing r:id="rId1"/>
</worksheet>
</file>