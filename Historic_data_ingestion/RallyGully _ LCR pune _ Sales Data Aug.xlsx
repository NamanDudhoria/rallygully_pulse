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Hudle" sheetId="4" r:id="rId8"/>
    <sheet state="visible" name="Playo" sheetId="5" r:id="rId9"/>
    <sheet state="visible" name="Khelomore" sheetId="6" r:id="rId10"/>
    <sheet state="visible" name="Other income" sheetId="7" r:id="rId11"/>
  </sheets>
  <definedNames/>
  <calcPr/>
</workbook>
</file>

<file path=xl/sharedStrings.xml><?xml version="1.0" encoding="utf-8"?>
<sst xmlns="http://schemas.openxmlformats.org/spreadsheetml/2006/main" count="115" uniqueCount="67">
  <si>
    <t>Link</t>
  </si>
  <si>
    <t>1 - 31 Aug</t>
  </si>
  <si>
    <t>Date</t>
  </si>
  <si>
    <t>Particulars</t>
  </si>
  <si>
    <t>Amount</t>
  </si>
  <si>
    <t>Day</t>
  </si>
  <si>
    <t>Offline booking hours</t>
  </si>
  <si>
    <t>Pickleball</t>
  </si>
  <si>
    <t>Booking Revenue</t>
  </si>
  <si>
    <t>Community Revenue</t>
  </si>
  <si>
    <t>Pay &amp; Play</t>
  </si>
  <si>
    <t xml:space="preserve">Paddle Rental </t>
  </si>
  <si>
    <t>Total Revenue</t>
  </si>
  <si>
    <t>Payment Gateway</t>
  </si>
  <si>
    <t>Paid to District</t>
  </si>
  <si>
    <t>Net Revenue</t>
  </si>
  <si>
    <t>Commissions (₹)</t>
  </si>
  <si>
    <t>GST on Commission</t>
  </si>
  <si>
    <t>TCS</t>
  </si>
  <si>
    <t>Saturday</t>
  </si>
  <si>
    <t>TDS</t>
  </si>
  <si>
    <t>Final Amount (₹)</t>
  </si>
  <si>
    <t xml:space="preserve">Online </t>
  </si>
  <si>
    <t>District</t>
  </si>
  <si>
    <t>Paid to Hudle</t>
  </si>
  <si>
    <t>Commisions (Including GST)</t>
  </si>
  <si>
    <t>Hudle</t>
  </si>
  <si>
    <t>Playo</t>
  </si>
  <si>
    <t>Khelomore</t>
  </si>
  <si>
    <t>Sunday</t>
  </si>
  <si>
    <t>Zplys</t>
  </si>
  <si>
    <t>Offline</t>
  </si>
  <si>
    <t>Monday</t>
  </si>
  <si>
    <t>Total</t>
  </si>
  <si>
    <t>Bookings</t>
  </si>
  <si>
    <t>Tuesday</t>
  </si>
  <si>
    <t>Wednesday</t>
  </si>
  <si>
    <t>Memberships</t>
  </si>
  <si>
    <t>Community</t>
  </si>
  <si>
    <t>Thursday</t>
  </si>
  <si>
    <t>Pickup games</t>
  </si>
  <si>
    <t>Friday</t>
  </si>
  <si>
    <t>Social Events/Tournaments</t>
  </si>
  <si>
    <t>Community Partnerships</t>
  </si>
  <si>
    <t>Academy</t>
  </si>
  <si>
    <t>Events &amp; Partnership</t>
  </si>
  <si>
    <t>Corporate events</t>
  </si>
  <si>
    <t>All B2B partnerships</t>
  </si>
  <si>
    <t>Commerce</t>
  </si>
  <si>
    <t>Product rental</t>
  </si>
  <si>
    <t>Product sales</t>
  </si>
  <si>
    <t>F&amp;B</t>
  </si>
  <si>
    <t>Other Income</t>
  </si>
  <si>
    <t>Total Gross Revenue</t>
  </si>
  <si>
    <t>GST (B)</t>
  </si>
  <si>
    <t>Commissions, Payment gateway &amp; Event Expense(C)</t>
  </si>
  <si>
    <t>Net Revenue (A-B-C)</t>
  </si>
  <si>
    <t>Paid to Playo (₹)</t>
  </si>
  <si>
    <t>GST (₹)</t>
  </si>
  <si>
    <t>TDS (₹)</t>
  </si>
  <si>
    <t>TCS (₹)</t>
  </si>
  <si>
    <t>Paid to Khelomore (₹)</t>
  </si>
  <si>
    <t>Month</t>
  </si>
  <si>
    <t>Sports Type</t>
  </si>
  <si>
    <t>Amount Collected</t>
  </si>
  <si>
    <t>Aug</t>
  </si>
  <si>
    <t>Football Management Operations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</si>
</sst>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₹]#,##0"/>
    <numFmt numFmtId="165" formatCode="[&gt;9999999][$₹]##\,##\,##\,##0;[&gt;99999][$₹]##\,##\,##0;[$₹]##,##0"/>
    <numFmt numFmtId="166" formatCode="[$₹]#,##0.00"/>
    <numFmt numFmtId="167" formatCode="[$₹]#,##0.0"/>
    <numFmt numFmtId="168" formatCode="d mmmm"/>
    <numFmt numFmtId="169" formatCode="d mmm"/>
    <numFmt numFmtId="170" formatCode="[&gt;9999999][$₹]##\,##\,##\,##0.00;[&gt;99999][$₹]##\,##\,##0.00;[$₹]##,##0.00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sz val="11.0"/>
      <color theme="1"/>
      <name val="Calibri"/>
    </font>
    <font>
      <b/>
      <u/>
      <color rgb="FF0000FF"/>
      <name val="Arial"/>
    </font>
    <font>
      <b/>
      <u/>
      <color rgb="FF0000FF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3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3" fillId="2" fontId="2" numFmtId="164" xfId="0" applyAlignment="1" applyBorder="1" applyFill="1" applyFont="1" applyNumberFormat="1">
      <alignment horizontal="center" vertical="bottom"/>
    </xf>
    <xf borderId="3" fillId="2" fontId="4" numFmtId="0" xfId="0" applyAlignment="1" applyBorder="1" applyFill="1" applyFont="1">
      <alignment vertical="bottom"/>
    </xf>
    <xf borderId="3" fillId="2" fontId="2" numFmtId="3" xfId="0" applyAlignment="1" applyBorder="1" applyFill="1" applyFont="1" applyNumberFormat="1">
      <alignment horizontal="center" vertical="bottom"/>
    </xf>
    <xf borderId="3" fillId="2" fontId="2" numFmtId="165" xfId="0" applyAlignment="1" applyBorder="1" applyFill="1" applyFont="1" applyNumberFormat="1">
      <alignment horizontal="center" vertical="bottom"/>
    </xf>
    <xf borderId="3" fillId="0" fontId="2" numFmtId="0" xfId="0" applyAlignment="1" applyBorder="1" applyFont="1">
      <alignment vertical="bottom"/>
    </xf>
    <xf borderId="3" fillId="2" fontId="5" numFmtId="166" xfId="0" applyAlignment="1" applyBorder="1" applyFill="1" applyFont="1" applyNumberFormat="1">
      <alignment horizontal="center" readingOrder="0" vertical="bottom"/>
    </xf>
    <xf borderId="3" fillId="2" fontId="2" numFmtId="166" xfId="0" applyAlignment="1" applyBorder="1" applyFill="1" applyFont="1" applyNumberFormat="1">
      <alignment horizontal="center" vertical="bottom"/>
    </xf>
    <xf borderId="3" fillId="2" fontId="2" numFmtId="167" xfId="0" applyAlignment="1" applyBorder="1" applyFill="1" applyFont="1" applyNumberFormat="1">
      <alignment vertical="bottom"/>
    </xf>
    <xf borderId="3" fillId="2" fontId="2" numFmtId="0" xfId="0" applyAlignment="1" applyBorder="1" applyFill="1" applyFont="1">
      <alignment vertical="bottom"/>
    </xf>
    <xf borderId="0" fillId="2" fontId="6" numFmtId="166" xfId="0" applyAlignment="1" applyFill="1" applyFont="1" applyNumberFormat="1">
      <alignment vertical="bottom"/>
    </xf>
    <xf borderId="3" fillId="3" fontId="4" numFmtId="168" xfId="0" applyAlignment="1" applyBorder="1" applyFill="1" applyFont="1" applyNumberFormat="1">
      <alignment horizontal="right" vertical="bottom"/>
    </xf>
    <xf borderId="0" fillId="2" fontId="2" numFmtId="166" xfId="0" applyAlignment="1" applyFill="1" applyFont="1" applyNumberFormat="1">
      <alignment horizontal="center" vertical="bottom"/>
    </xf>
    <xf borderId="3" fillId="3" fontId="4" numFmtId="164" xfId="0" applyAlignment="1" applyBorder="1" applyFill="1" applyFont="1" applyNumberFormat="1">
      <alignment vertical="bottom"/>
    </xf>
    <xf borderId="3" fillId="3" fontId="4" numFmtId="4" xfId="0" applyAlignment="1" applyBorder="1" applyFill="1" applyFont="1" applyNumberFormat="1">
      <alignment horizontal="right" vertical="bottom"/>
    </xf>
    <xf borderId="3" fillId="0" fontId="2" numFmtId="165" xfId="0" applyAlignment="1" applyBorder="1" applyFont="1" applyNumberFormat="1">
      <alignment horizontal="right" vertical="bottom"/>
    </xf>
    <xf borderId="3" fillId="0" fontId="4" numFmtId="164" xfId="0" applyAlignment="1" applyBorder="1" applyFont="1" applyNumberFormat="1">
      <alignment horizontal="right" vertical="bottom"/>
    </xf>
    <xf borderId="3" fillId="2" fontId="7" numFmtId="0" xfId="0" applyAlignment="1" applyBorder="1" applyFill="1" applyFont="1">
      <alignment horizontal="center" readingOrder="0" vertical="bottom"/>
    </xf>
    <xf borderId="0" fillId="0" fontId="4" numFmtId="169" xfId="0" applyAlignment="1" applyFont="1" applyNumberFormat="1">
      <alignment vertical="bottom"/>
    </xf>
    <xf borderId="3" fillId="0" fontId="4" numFmtId="0" xfId="0" applyAlignment="1" applyBorder="1" applyFont="1">
      <alignment vertical="bottom"/>
    </xf>
    <xf borderId="3" fillId="0" fontId="4" numFmtId="166" xfId="0" applyAlignment="1" applyBorder="1" applyFont="1" applyNumberFormat="1">
      <alignment readingOrder="0" vertical="bottom"/>
    </xf>
    <xf borderId="3" fillId="0" fontId="4" numFmtId="166" xfId="0" applyAlignment="1" applyBorder="1" applyFont="1" applyNumberFormat="1">
      <alignment horizontal="right" readingOrder="0" vertical="bottom"/>
    </xf>
    <xf borderId="3" fillId="0" fontId="4" numFmtId="170" xfId="0" applyAlignment="1" applyBorder="1" applyFont="1" applyNumberFormat="1">
      <alignment horizontal="right" readingOrder="0" vertical="bottom"/>
    </xf>
    <xf borderId="3" fillId="0" fontId="4" numFmtId="165" xfId="0" applyAlignment="1" applyBorder="1" applyFont="1" applyNumberFormat="1">
      <alignment readingOrder="0" vertical="bottom"/>
    </xf>
    <xf borderId="3" fillId="0" fontId="4" numFmtId="166" xfId="0" applyAlignment="1" applyBorder="1" applyFont="1" applyNumberFormat="1">
      <alignment vertical="bottom"/>
    </xf>
    <xf borderId="3" fillId="0" fontId="4" numFmtId="165" xfId="0" applyAlignment="1" applyBorder="1" applyFont="1" applyNumberFormat="1">
      <alignment vertical="bottom"/>
    </xf>
    <xf borderId="3" fillId="0" fontId="4" numFmtId="170" xfId="0" applyAlignment="1" applyBorder="1" applyFont="1" applyNumberFormat="1">
      <alignment horizontal="right" vertical="bottom"/>
    </xf>
    <xf borderId="3" fillId="0" fontId="4" numFmtId="164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vertical="bottom"/>
    </xf>
    <xf borderId="0" fillId="0" fontId="4" numFmtId="166" xfId="0" applyAlignment="1" applyFont="1" applyNumberFormat="1">
      <alignment vertical="bottom"/>
    </xf>
    <xf borderId="0" fillId="0" fontId="2" numFmtId="0" xfId="0" applyAlignment="1" applyFont="1">
      <alignment vertical="bottom"/>
    </xf>
    <xf borderId="3" fillId="0" fontId="4" numFmtId="170" xfId="0" applyAlignment="1" applyBorder="1" applyFont="1" applyNumberFormat="1">
      <alignment vertical="bottom"/>
    </xf>
    <xf borderId="3" fillId="0" fontId="2" numFmtId="0" xfId="0" applyAlignment="1" applyBorder="1" applyFont="1">
      <alignment vertical="bottom"/>
    </xf>
    <xf borderId="3" fillId="0" fontId="4" numFmtId="4" xfId="0" applyAlignment="1" applyBorder="1" applyFont="1" applyNumberFormat="1">
      <alignment horizontal="right" vertical="bottom"/>
    </xf>
    <xf borderId="3" fillId="2" fontId="2" numFmtId="166" xfId="0" applyAlignment="1" applyBorder="1" applyFill="1" applyFont="1" applyNumberFormat="1">
      <alignment vertical="bottom"/>
    </xf>
    <xf borderId="3" fillId="2" fontId="2" numFmtId="165" xfId="0" applyAlignment="1" applyBorder="1" applyFill="1" applyFont="1" applyNumberFormat="1">
      <alignment vertical="bottom"/>
    </xf>
    <xf borderId="3" fillId="2" fontId="2" numFmtId="166" xfId="0" applyAlignment="1" applyBorder="1" applyFill="1" applyFont="1" applyNumberFormat="1">
      <alignment horizontal="right" vertical="bottom"/>
    </xf>
    <xf borderId="3" fillId="2" fontId="2" numFmtId="170" xfId="0" applyAlignment="1" applyBorder="1" applyFill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3" fillId="2" fontId="4" numFmtId="166" xfId="0" applyAlignment="1" applyBorder="1" applyFill="1" applyFont="1" applyNumberFormat="1">
      <alignment vertical="bottom"/>
    </xf>
    <xf borderId="3" fillId="0" fontId="4" numFmtId="0" xfId="0" applyAlignment="1" applyBorder="1" applyFont="1">
      <alignment readingOrder="0" vertical="bottom"/>
    </xf>
    <xf borderId="3" fillId="0" fontId="4" numFmtId="165" xfId="0" applyAlignment="1" applyBorder="1" applyFont="1" applyNumberFormat="1">
      <alignment horizontal="right" readingOrder="0" vertical="bottom"/>
    </xf>
    <xf borderId="3" fillId="0" fontId="4" numFmtId="165" xfId="0" applyAlignment="1" applyBorder="1" applyFont="1" applyNumberForma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3" fillId="2" fontId="2" numFmtId="164" xfId="0" applyAlignment="1" applyBorder="1" applyFill="1" applyFont="1" applyNumberFormat="1">
      <alignment horizontal="right" vertical="bottom"/>
    </xf>
    <xf borderId="3" fillId="0" fontId="4" numFmtId="164" xfId="0" applyAlignment="1" applyBorder="1" applyFont="1" applyNumberFormat="1">
      <alignment shrinkToFit="0" vertical="bottom" wrapText="1"/>
    </xf>
    <xf borderId="3" fillId="0" fontId="2" numFmtId="164" xfId="0" applyAlignment="1" applyBorder="1" applyFont="1" applyNumberFormat="1">
      <alignment horizontal="right" vertical="bottom"/>
    </xf>
    <xf borderId="3" fillId="3" fontId="4" numFmtId="164" xfId="0" applyAlignment="1" applyBorder="1" applyFill="1" applyFont="1" applyNumberFormat="1">
      <alignment horizontal="right" vertical="bottom"/>
    </xf>
    <xf borderId="3" fillId="0" fontId="4" numFmtId="164" xfId="0" applyAlignment="1" applyBorder="1" applyFont="1" applyNumberFormat="1">
      <alignment vertical="bottom"/>
    </xf>
    <xf borderId="3" fillId="0" fontId="2" numFmtId="164" xfId="0" applyAlignment="1" applyBorder="1" applyFont="1" applyNumberFormat="1">
      <alignment vertical="bottom"/>
    </xf>
    <xf borderId="3" fillId="2" fontId="2" numFmtId="164" xfId="0" applyAlignment="1" applyBorder="1" applyFill="1" applyFont="1" applyNumberFormat="1">
      <alignment vertical="bottom"/>
    </xf>
    <xf borderId="3" fillId="2" fontId="4" numFmtId="164" xfId="0" applyAlignment="1" applyBorder="1" applyFill="1" applyFont="1" applyNumberFormat="1">
      <alignment vertical="bottom"/>
    </xf>
    <xf borderId="3" fillId="2" fontId="4" numFmtId="4" xfId="0" applyAlignment="1" applyBorder="1" applyFill="1" applyFont="1" applyNumberFormat="1">
      <alignment vertical="bottom"/>
    </xf>
    <xf borderId="3" fillId="2" fontId="8" numFmtId="167" xfId="0" applyAlignment="1" applyBorder="1" applyFill="1" applyFont="1" applyNumberFormat="1">
      <alignment horizontal="center" readingOrder="0" vertical="bottom"/>
    </xf>
    <xf borderId="3" fillId="2" fontId="2" numFmtId="167" xfId="0" applyAlignment="1" applyBorder="1" applyFill="1" applyFont="1" applyNumberFormat="1">
      <alignment horizontal="center" vertical="bottom"/>
    </xf>
    <xf borderId="0" fillId="0" fontId="9" numFmtId="167" xfId="0" applyFont="1" applyNumberFormat="1"/>
    <xf borderId="3" fillId="3" fontId="4" numFmtId="167" xfId="0" applyAlignment="1" applyBorder="1" applyFill="1" applyFont="1" applyNumberFormat="1">
      <alignment vertical="bottom"/>
    </xf>
    <xf borderId="3" fillId="3" fontId="4" numFmtId="4" xfId="0" applyAlignment="1" applyBorder="1" applyFill="1" applyFont="1" applyNumberFormat="1">
      <alignment horizontal="right" readingOrder="0" vertical="bottom"/>
    </xf>
    <xf borderId="3" fillId="3" fontId="4" numFmtId="167" xfId="0" applyAlignment="1" applyBorder="1" applyFill="1" applyFont="1" applyNumberFormat="1">
      <alignment horizontal="right" readingOrder="0" vertical="bottom"/>
    </xf>
    <xf borderId="3" fillId="2" fontId="2" numFmtId="167" xfId="0" applyAlignment="1" applyBorder="1" applyFill="1" applyFont="1" applyNumberFormat="1">
      <alignment horizontal="right" vertical="bottom"/>
    </xf>
    <xf borderId="3" fillId="2" fontId="2" numFmtId="4" xfId="0" applyAlignment="1" applyBorder="1" applyFill="1" applyFont="1" applyNumberFormat="1">
      <alignment horizontal="right" vertical="bottom"/>
    </xf>
    <xf borderId="3" fillId="2" fontId="4" numFmtId="167" xfId="0" applyAlignment="1" applyBorder="1" applyFill="1" applyFont="1" applyNumberFormat="1">
      <alignment vertical="bottom"/>
    </xf>
    <xf borderId="3" fillId="2" fontId="2" numFmtId="0" xfId="0" applyAlignment="1" applyBorder="1" applyFill="1" applyFont="1">
      <alignment horizontal="center" vertical="bottom"/>
    </xf>
    <xf borderId="3" fillId="3" fontId="4" numFmtId="166" xfId="0" applyAlignment="1" applyBorder="1" applyFill="1" applyFont="1" applyNumberFormat="1">
      <alignment horizontal="right" vertical="bottom"/>
    </xf>
    <xf borderId="3" fillId="0" fontId="4" numFmtId="170" xfId="0" applyAlignment="1" applyBorder="1" applyFont="1" applyNumberFormat="1">
      <alignment horizontal="right" vertical="bottom"/>
    </xf>
    <xf borderId="3" fillId="3" fontId="4" numFmtId="166" xfId="0" applyAlignment="1" applyBorder="1" applyFill="1" applyFont="1" applyNumberFormat="1">
      <alignment vertical="bottom"/>
    </xf>
    <xf borderId="0" fillId="0" fontId="4" numFmtId="1" xfId="0" applyAlignment="1" applyFont="1" applyNumberFormat="1">
      <alignment vertical="bottom"/>
    </xf>
    <xf borderId="3" fillId="2" fontId="2" numFmtId="169" xfId="0" applyAlignment="1" applyBorder="1" applyFill="1" applyFont="1" applyNumberFormat="1">
      <alignment vertical="bottom"/>
    </xf>
    <xf borderId="3" fillId="2" fontId="6" numFmtId="166" xfId="0" applyAlignment="1" applyBorder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18XGMIu4VUdMlUKHCiFTY47ny0l-EAjh6B-5upIrIfk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pk48P3s0gSHimcWkVuFTuKksgCrRrXqsyoLLno4Py0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1lqwpIule-kLzSKPOiwSEq8Nhcw_Va5YMAZrY91jKpg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2" t="s">
        <v>1</v>
      </c>
      <c r="C2" s="3"/>
    </row>
    <row r="3">
      <c r="B3" s="4" t="s">
        <v>3</v>
      </c>
      <c r="C3" s="4" t="s">
        <v>4</v>
      </c>
      <c r="E3" s="5"/>
    </row>
    <row r="4">
      <c r="B4" s="7"/>
      <c r="C4" s="9" t="s">
        <v>7</v>
      </c>
      <c r="E4" s="5"/>
    </row>
    <row r="5">
      <c r="B5" s="10" t="s">
        <v>10</v>
      </c>
      <c r="C5" s="20">
        <f>sum(C6,C12)</f>
        <v>82414</v>
      </c>
      <c r="E5" s="5"/>
    </row>
    <row r="6">
      <c r="B6" s="10" t="s">
        <v>22</v>
      </c>
      <c r="C6" s="20">
        <f>sum(C7:C11)</f>
        <v>74519</v>
      </c>
      <c r="E6" s="5"/>
    </row>
    <row r="7" outlineLevel="1">
      <c r="B7" s="24" t="s">
        <v>23</v>
      </c>
      <c r="C7" s="28">
        <f>District!C4</f>
        <v>43069</v>
      </c>
      <c r="E7" s="5"/>
    </row>
    <row r="8" outlineLevel="1">
      <c r="B8" s="24" t="s">
        <v>26</v>
      </c>
      <c r="C8" s="30">
        <f>Hudle!C3</f>
        <v>12250</v>
      </c>
      <c r="E8" s="5"/>
    </row>
    <row r="9" outlineLevel="1">
      <c r="B9" s="24" t="s">
        <v>27</v>
      </c>
      <c r="C9" s="30">
        <f>Playo!C3</f>
        <v>9175</v>
      </c>
      <c r="E9" s="5"/>
    </row>
    <row r="10" outlineLevel="1">
      <c r="B10" s="33" t="s">
        <v>28</v>
      </c>
      <c r="C10" s="30">
        <f>Khelomore!B4</f>
        <v>10025</v>
      </c>
      <c r="E10" s="35"/>
    </row>
    <row r="11" outlineLevel="1">
      <c r="B11" s="24" t="s">
        <v>30</v>
      </c>
      <c r="C11" s="28">
        <v>0.0</v>
      </c>
      <c r="E11" s="35"/>
    </row>
    <row r="12">
      <c r="B12" s="37" t="s">
        <v>31</v>
      </c>
      <c r="C12" s="20">
        <f>sum(C13:C14)</f>
        <v>7895</v>
      </c>
    </row>
    <row r="13" outlineLevel="1">
      <c r="B13" s="24" t="s">
        <v>34</v>
      </c>
      <c r="C13" s="30">
        <f>'Offline &amp; RG Community'!D33</f>
        <v>7895</v>
      </c>
    </row>
    <row r="14" outlineLevel="1">
      <c r="B14" s="29" t="s">
        <v>37</v>
      </c>
      <c r="C14" s="28">
        <v>0.0</v>
      </c>
      <c r="E14" s="5"/>
    </row>
    <row r="15">
      <c r="B15" s="37" t="s">
        <v>38</v>
      </c>
      <c r="C15" s="20">
        <f>sum(C16:C18)</f>
        <v>0</v>
      </c>
      <c r="E15" s="5"/>
    </row>
    <row r="16" outlineLevel="1">
      <c r="B16" s="33" t="s">
        <v>40</v>
      </c>
      <c r="C16" s="28">
        <f>0</f>
        <v>0</v>
      </c>
      <c r="E16" s="5"/>
    </row>
    <row r="17" outlineLevel="1">
      <c r="B17" s="33" t="s">
        <v>42</v>
      </c>
      <c r="C17" s="28">
        <v>0.0</v>
      </c>
    </row>
    <row r="18">
      <c r="B18" s="45" t="s">
        <v>43</v>
      </c>
      <c r="C18" s="28">
        <v>0.0</v>
      </c>
      <c r="E18" s="5"/>
    </row>
    <row r="19">
      <c r="B19" s="37" t="s">
        <v>44</v>
      </c>
      <c r="C19" s="20">
        <v>0.0</v>
      </c>
      <c r="E19" s="5"/>
    </row>
    <row r="20">
      <c r="B20" s="10" t="s">
        <v>45</v>
      </c>
      <c r="C20" s="20">
        <f>sum(C21,C22)</f>
        <v>0</v>
      </c>
    </row>
    <row r="21" outlineLevel="1">
      <c r="B21" s="24" t="s">
        <v>46</v>
      </c>
      <c r="C21" s="46">
        <v>0.0</v>
      </c>
    </row>
    <row r="22" outlineLevel="1">
      <c r="B22" s="33" t="s">
        <v>47</v>
      </c>
      <c r="C22" s="46">
        <v>0.0</v>
      </c>
    </row>
    <row r="23">
      <c r="B23" s="10" t="s">
        <v>48</v>
      </c>
      <c r="C23" s="20">
        <f>sum(C24:C26)</f>
        <v>13075</v>
      </c>
    </row>
    <row r="24" outlineLevel="1">
      <c r="B24" s="24" t="s">
        <v>49</v>
      </c>
      <c r="C24" s="47">
        <f>'Offline &amp; RG Community'!F33</f>
        <v>13075</v>
      </c>
    </row>
    <row r="25" outlineLevel="1">
      <c r="B25" s="24" t="s">
        <v>50</v>
      </c>
      <c r="C25" s="28">
        <v>0.0</v>
      </c>
    </row>
    <row r="26" outlineLevel="1">
      <c r="B26" s="24" t="s">
        <v>51</v>
      </c>
      <c r="C26" s="46">
        <v>0.0</v>
      </c>
    </row>
    <row r="27">
      <c r="B27" s="10" t="s">
        <v>52</v>
      </c>
      <c r="C27" s="20">
        <f>'Other income'!C2</f>
        <v>120000</v>
      </c>
    </row>
    <row r="28">
      <c r="B28" s="39" t="s">
        <v>53</v>
      </c>
      <c r="C28" s="49">
        <f>C5+C15+C19+C23+C27</f>
        <v>215489</v>
      </c>
    </row>
    <row r="29">
      <c r="B29" s="50" t="s">
        <v>54</v>
      </c>
      <c r="C29" s="51">
        <f>C28-(C28/1.18)</f>
        <v>32871.20339</v>
      </c>
    </row>
    <row r="30">
      <c r="B30" s="50" t="s">
        <v>55</v>
      </c>
      <c r="C30" s="53">
        <f>'Offline &amp; RG Community'!H33+District!D4+District!E4+Hudle!D3+Playo!D3+Playo!E3+Khelomore!C4</f>
        <v>6829.225</v>
      </c>
    </row>
    <row r="31">
      <c r="B31" s="54" t="s">
        <v>56</v>
      </c>
      <c r="C31" s="51">
        <f>C28-C29-C30</f>
        <v>175788.5716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18.25"/>
    <col customWidth="1" min="4" max="4" width="15.13"/>
    <col customWidth="1" min="5" max="5" width="17.63"/>
    <col customWidth="1" min="7" max="7" width="15.25"/>
  </cols>
  <sheetData>
    <row r="1">
      <c r="A1" s="6" t="s">
        <v>2</v>
      </c>
      <c r="B1" s="6" t="s">
        <v>5</v>
      </c>
      <c r="C1" s="8" t="s">
        <v>6</v>
      </c>
      <c r="D1" s="6" t="s">
        <v>8</v>
      </c>
      <c r="E1" s="6" t="s">
        <v>9</v>
      </c>
      <c r="F1" s="6" t="s">
        <v>11</v>
      </c>
      <c r="G1" s="6" t="s">
        <v>12</v>
      </c>
      <c r="H1" s="13" t="s">
        <v>13</v>
      </c>
      <c r="I1" s="14" t="s">
        <v>15</v>
      </c>
    </row>
    <row r="2">
      <c r="A2" s="16">
        <v>46235.0</v>
      </c>
      <c r="B2" s="18" t="s">
        <v>19</v>
      </c>
      <c r="C2" s="19">
        <v>0.0</v>
      </c>
      <c r="D2" s="21">
        <v>0.0</v>
      </c>
      <c r="E2" s="21">
        <v>0.0</v>
      </c>
      <c r="F2" s="21">
        <v>200.0</v>
      </c>
      <c r="G2" s="21">
        <f t="shared" ref="G2:G32" si="1">sum(D2:F2)</f>
        <v>200</v>
      </c>
      <c r="H2" s="32">
        <f t="shared" ref="H2:H32" si="2">G2*1.75%</f>
        <v>3.5</v>
      </c>
      <c r="I2" s="21">
        <f t="shared" ref="I2:I32" si="3">G2-H2</f>
        <v>196.5</v>
      </c>
    </row>
    <row r="3">
      <c r="A3" s="16">
        <v>46236.0</v>
      </c>
      <c r="B3" s="18" t="s">
        <v>29</v>
      </c>
      <c r="C3" s="19">
        <v>0.0</v>
      </c>
      <c r="D3" s="21">
        <v>0.0</v>
      </c>
      <c r="E3" s="21">
        <v>0.0</v>
      </c>
      <c r="F3" s="21">
        <v>200.0</v>
      </c>
      <c r="G3" s="21">
        <f t="shared" si="1"/>
        <v>200</v>
      </c>
      <c r="H3" s="32">
        <f t="shared" si="2"/>
        <v>3.5</v>
      </c>
      <c r="I3" s="21">
        <f t="shared" si="3"/>
        <v>196.5</v>
      </c>
    </row>
    <row r="4">
      <c r="A4" s="16">
        <v>46237.0</v>
      </c>
      <c r="B4" s="18" t="s">
        <v>32</v>
      </c>
      <c r="C4" s="38">
        <v>0.0</v>
      </c>
      <c r="D4" s="21">
        <v>0.0</v>
      </c>
      <c r="E4" s="21">
        <v>0.0</v>
      </c>
      <c r="F4" s="21">
        <v>200.0</v>
      </c>
      <c r="G4" s="21">
        <f t="shared" si="1"/>
        <v>200</v>
      </c>
      <c r="H4" s="32">
        <f t="shared" si="2"/>
        <v>3.5</v>
      </c>
      <c r="I4" s="21">
        <f t="shared" si="3"/>
        <v>196.5</v>
      </c>
    </row>
    <row r="5">
      <c r="A5" s="16">
        <v>46238.0</v>
      </c>
      <c r="B5" s="18" t="s">
        <v>35</v>
      </c>
      <c r="C5" s="38">
        <v>0.0</v>
      </c>
      <c r="D5" s="21">
        <v>0.0</v>
      </c>
      <c r="E5" s="21">
        <v>0.0</v>
      </c>
      <c r="F5" s="21">
        <v>0.0</v>
      </c>
      <c r="G5" s="21">
        <f t="shared" si="1"/>
        <v>0</v>
      </c>
      <c r="H5" s="32">
        <f t="shared" si="2"/>
        <v>0</v>
      </c>
      <c r="I5" s="21">
        <f t="shared" si="3"/>
        <v>0</v>
      </c>
    </row>
    <row r="6">
      <c r="A6" s="16">
        <v>46239.0</v>
      </c>
      <c r="B6" s="18" t="s">
        <v>36</v>
      </c>
      <c r="C6" s="38">
        <v>0.0</v>
      </c>
      <c r="D6" s="21">
        <v>0.0</v>
      </c>
      <c r="E6" s="21">
        <v>0.0</v>
      </c>
      <c r="F6" s="21">
        <v>200.0</v>
      </c>
      <c r="G6" s="21">
        <f t="shared" si="1"/>
        <v>200</v>
      </c>
      <c r="H6" s="32">
        <f t="shared" si="2"/>
        <v>3.5</v>
      </c>
      <c r="I6" s="21">
        <f t="shared" si="3"/>
        <v>196.5</v>
      </c>
    </row>
    <row r="7">
      <c r="A7" s="16">
        <v>46240.0</v>
      </c>
      <c r="B7" s="18" t="s">
        <v>39</v>
      </c>
      <c r="C7" s="38">
        <v>1.0</v>
      </c>
      <c r="D7" s="21">
        <v>698.0</v>
      </c>
      <c r="E7" s="21">
        <v>0.0</v>
      </c>
      <c r="F7" s="43">
        <v>0.0</v>
      </c>
      <c r="G7" s="21">
        <f t="shared" si="1"/>
        <v>698</v>
      </c>
      <c r="H7" s="32">
        <f t="shared" si="2"/>
        <v>12.215</v>
      </c>
      <c r="I7" s="21">
        <f t="shared" si="3"/>
        <v>685.785</v>
      </c>
    </row>
    <row r="8">
      <c r="A8" s="16">
        <v>46241.0</v>
      </c>
      <c r="B8" s="18" t="s">
        <v>41</v>
      </c>
      <c r="C8" s="38">
        <v>2.0</v>
      </c>
      <c r="D8" s="21">
        <v>1396.0</v>
      </c>
      <c r="E8" s="21">
        <v>0.0</v>
      </c>
      <c r="F8" s="21">
        <v>700.0</v>
      </c>
      <c r="G8" s="21">
        <f t="shared" si="1"/>
        <v>2096</v>
      </c>
      <c r="H8" s="32">
        <f t="shared" si="2"/>
        <v>36.68</v>
      </c>
      <c r="I8" s="21">
        <f t="shared" si="3"/>
        <v>2059.32</v>
      </c>
    </row>
    <row r="9">
      <c r="A9" s="16">
        <v>46242.0</v>
      </c>
      <c r="B9" s="18" t="s">
        <v>19</v>
      </c>
      <c r="C9" s="38">
        <v>1.5</v>
      </c>
      <c r="D9" s="21">
        <v>998.0</v>
      </c>
      <c r="E9" s="21">
        <v>0.0</v>
      </c>
      <c r="F9" s="43">
        <v>325.0</v>
      </c>
      <c r="G9" s="21">
        <f t="shared" si="1"/>
        <v>1323</v>
      </c>
      <c r="H9" s="32">
        <f t="shared" si="2"/>
        <v>23.1525</v>
      </c>
      <c r="I9" s="21">
        <f t="shared" si="3"/>
        <v>1299.8475</v>
      </c>
    </row>
    <row r="10">
      <c r="A10" s="16">
        <v>46243.0</v>
      </c>
      <c r="B10" s="18" t="s">
        <v>29</v>
      </c>
      <c r="C10" s="38">
        <v>1.0</v>
      </c>
      <c r="D10" s="21">
        <v>598.0</v>
      </c>
      <c r="E10" s="21">
        <v>0.0</v>
      </c>
      <c r="F10" s="21">
        <v>1600.0</v>
      </c>
      <c r="G10" s="21">
        <f t="shared" si="1"/>
        <v>2198</v>
      </c>
      <c r="H10" s="32">
        <f t="shared" si="2"/>
        <v>38.465</v>
      </c>
      <c r="I10" s="21">
        <f t="shared" si="3"/>
        <v>2159.535</v>
      </c>
    </row>
    <row r="11">
      <c r="A11" s="16">
        <v>46244.0</v>
      </c>
      <c r="B11" s="18" t="s">
        <v>32</v>
      </c>
      <c r="C11" s="38">
        <v>0.0</v>
      </c>
      <c r="D11" s="21">
        <v>0.0</v>
      </c>
      <c r="E11" s="21">
        <v>0.0</v>
      </c>
      <c r="F11" s="21">
        <v>0.0</v>
      </c>
      <c r="G11" s="21">
        <f t="shared" si="1"/>
        <v>0</v>
      </c>
      <c r="H11" s="32">
        <f t="shared" si="2"/>
        <v>0</v>
      </c>
      <c r="I11" s="21">
        <f t="shared" si="3"/>
        <v>0</v>
      </c>
    </row>
    <row r="12">
      <c r="A12" s="16">
        <v>46245.0</v>
      </c>
      <c r="B12" s="18" t="s">
        <v>35</v>
      </c>
      <c r="C12" s="38">
        <v>0.0</v>
      </c>
      <c r="D12" s="21">
        <v>0.0</v>
      </c>
      <c r="E12" s="21">
        <v>0.0</v>
      </c>
      <c r="F12" s="21">
        <v>0.0</v>
      </c>
      <c r="G12" s="21">
        <f t="shared" si="1"/>
        <v>0</v>
      </c>
      <c r="H12" s="32">
        <f t="shared" si="2"/>
        <v>0</v>
      </c>
      <c r="I12" s="21">
        <f t="shared" si="3"/>
        <v>0</v>
      </c>
    </row>
    <row r="13">
      <c r="A13" s="16">
        <v>46246.0</v>
      </c>
      <c r="B13" s="18" t="s">
        <v>36</v>
      </c>
      <c r="C13" s="38">
        <v>1.0</v>
      </c>
      <c r="D13" s="21">
        <v>360.0</v>
      </c>
      <c r="E13" s="21">
        <v>0.0</v>
      </c>
      <c r="F13" s="21">
        <v>150.0</v>
      </c>
      <c r="G13" s="21">
        <f t="shared" si="1"/>
        <v>510</v>
      </c>
      <c r="H13" s="32">
        <f t="shared" si="2"/>
        <v>8.925</v>
      </c>
      <c r="I13" s="21">
        <f t="shared" si="3"/>
        <v>501.075</v>
      </c>
    </row>
    <row r="14">
      <c r="A14" s="16">
        <v>46247.0</v>
      </c>
      <c r="B14" s="18" t="s">
        <v>39</v>
      </c>
      <c r="C14" s="38">
        <v>0.0</v>
      </c>
      <c r="D14" s="21">
        <v>0.0</v>
      </c>
      <c r="E14" s="21">
        <v>0.0</v>
      </c>
      <c r="F14" s="21">
        <v>100.0</v>
      </c>
      <c r="G14" s="21">
        <f t="shared" si="1"/>
        <v>100</v>
      </c>
      <c r="H14" s="32">
        <f t="shared" si="2"/>
        <v>1.75</v>
      </c>
      <c r="I14" s="21">
        <f t="shared" si="3"/>
        <v>98.25</v>
      </c>
    </row>
    <row r="15">
      <c r="A15" s="16">
        <v>46248.0</v>
      </c>
      <c r="B15" s="18" t="s">
        <v>41</v>
      </c>
      <c r="C15" s="38">
        <v>0.0</v>
      </c>
      <c r="D15" s="21">
        <v>0.0</v>
      </c>
      <c r="E15" s="21">
        <v>0.0</v>
      </c>
      <c r="F15" s="21">
        <v>375.0</v>
      </c>
      <c r="G15" s="21">
        <f t="shared" si="1"/>
        <v>375</v>
      </c>
      <c r="H15" s="32">
        <f t="shared" si="2"/>
        <v>6.5625</v>
      </c>
      <c r="I15" s="21">
        <f t="shared" si="3"/>
        <v>368.4375</v>
      </c>
    </row>
    <row r="16">
      <c r="A16" s="16">
        <v>46249.0</v>
      </c>
      <c r="B16" s="18" t="s">
        <v>19</v>
      </c>
      <c r="C16" s="38">
        <v>0.5</v>
      </c>
      <c r="D16" s="21">
        <v>349.0</v>
      </c>
      <c r="E16" s="21">
        <v>0.0</v>
      </c>
      <c r="F16" s="21">
        <v>350.0</v>
      </c>
      <c r="G16" s="21">
        <f t="shared" si="1"/>
        <v>699</v>
      </c>
      <c r="H16" s="32">
        <f t="shared" si="2"/>
        <v>12.2325</v>
      </c>
      <c r="I16" s="21">
        <f t="shared" si="3"/>
        <v>686.7675</v>
      </c>
    </row>
    <row r="17">
      <c r="A17" s="16">
        <v>46250.0</v>
      </c>
      <c r="B17" s="18" t="s">
        <v>29</v>
      </c>
      <c r="C17" s="38">
        <v>0.0</v>
      </c>
      <c r="D17" s="48">
        <v>0.0</v>
      </c>
      <c r="E17" s="21">
        <v>0.0</v>
      </c>
      <c r="F17" s="21">
        <v>550.0</v>
      </c>
      <c r="G17" s="21">
        <f t="shared" si="1"/>
        <v>550</v>
      </c>
      <c r="H17" s="32">
        <f t="shared" si="2"/>
        <v>9.625</v>
      </c>
      <c r="I17" s="21">
        <f t="shared" si="3"/>
        <v>540.375</v>
      </c>
    </row>
    <row r="18">
      <c r="A18" s="16">
        <v>46251.0</v>
      </c>
      <c r="B18" s="18" t="s">
        <v>32</v>
      </c>
      <c r="C18" s="38">
        <v>0.0</v>
      </c>
      <c r="D18" s="21">
        <v>0.0</v>
      </c>
      <c r="E18" s="21">
        <v>0.0</v>
      </c>
      <c r="F18" s="21">
        <v>350.0</v>
      </c>
      <c r="G18" s="21">
        <f t="shared" si="1"/>
        <v>350</v>
      </c>
      <c r="H18" s="32">
        <f t="shared" si="2"/>
        <v>6.125</v>
      </c>
      <c r="I18" s="21">
        <f t="shared" si="3"/>
        <v>343.875</v>
      </c>
    </row>
    <row r="19">
      <c r="A19" s="16">
        <v>46252.0</v>
      </c>
      <c r="B19" s="18" t="s">
        <v>35</v>
      </c>
      <c r="C19" s="38">
        <v>0.0</v>
      </c>
      <c r="D19" s="21">
        <v>0.0</v>
      </c>
      <c r="E19" s="21">
        <v>0.0</v>
      </c>
      <c r="F19" s="21">
        <v>250.0</v>
      </c>
      <c r="G19" s="21">
        <f t="shared" si="1"/>
        <v>250</v>
      </c>
      <c r="H19" s="32">
        <f t="shared" si="2"/>
        <v>4.375</v>
      </c>
      <c r="I19" s="21">
        <f t="shared" si="3"/>
        <v>245.625</v>
      </c>
    </row>
    <row r="20">
      <c r="A20" s="16">
        <v>46253.0</v>
      </c>
      <c r="B20" s="18" t="s">
        <v>36</v>
      </c>
      <c r="C20" s="38">
        <v>1.5</v>
      </c>
      <c r="D20" s="21">
        <v>1050.0</v>
      </c>
      <c r="E20" s="21">
        <v>0.0</v>
      </c>
      <c r="F20" s="21">
        <v>1350.0</v>
      </c>
      <c r="G20" s="21">
        <f t="shared" si="1"/>
        <v>2400</v>
      </c>
      <c r="H20" s="32">
        <f t="shared" si="2"/>
        <v>42</v>
      </c>
      <c r="I20" s="21">
        <f t="shared" si="3"/>
        <v>2358</v>
      </c>
    </row>
    <row r="21">
      <c r="A21" s="16">
        <v>46254.0</v>
      </c>
      <c r="B21" s="18" t="s">
        <v>39</v>
      </c>
      <c r="C21" s="38">
        <v>0.5</v>
      </c>
      <c r="D21" s="21">
        <v>349.0</v>
      </c>
      <c r="E21" s="21">
        <v>0.0</v>
      </c>
      <c r="F21" s="21">
        <v>0.0</v>
      </c>
      <c r="G21" s="21">
        <f t="shared" si="1"/>
        <v>349</v>
      </c>
      <c r="H21" s="32">
        <f t="shared" si="2"/>
        <v>6.1075</v>
      </c>
      <c r="I21" s="21">
        <f t="shared" si="3"/>
        <v>342.8925</v>
      </c>
    </row>
    <row r="22">
      <c r="A22" s="16">
        <v>46255.0</v>
      </c>
      <c r="B22" s="18" t="s">
        <v>41</v>
      </c>
      <c r="C22" s="38">
        <v>1.5</v>
      </c>
      <c r="D22" s="21">
        <v>1048.0</v>
      </c>
      <c r="E22" s="21">
        <v>0.0</v>
      </c>
      <c r="F22" s="21">
        <v>625.0</v>
      </c>
      <c r="G22" s="21">
        <f t="shared" si="1"/>
        <v>1673</v>
      </c>
      <c r="H22" s="32">
        <f t="shared" si="2"/>
        <v>29.2775</v>
      </c>
      <c r="I22" s="21">
        <f t="shared" si="3"/>
        <v>1643.7225</v>
      </c>
    </row>
    <row r="23">
      <c r="A23" s="16">
        <v>46256.0</v>
      </c>
      <c r="B23" s="18" t="s">
        <v>19</v>
      </c>
      <c r="C23" s="38">
        <v>0.0</v>
      </c>
      <c r="D23" s="21">
        <v>0.0</v>
      </c>
      <c r="E23" s="21">
        <v>0.0</v>
      </c>
      <c r="F23" s="21">
        <v>425.0</v>
      </c>
      <c r="G23" s="21">
        <f t="shared" si="1"/>
        <v>425</v>
      </c>
      <c r="H23" s="32">
        <f t="shared" si="2"/>
        <v>7.4375</v>
      </c>
      <c r="I23" s="21">
        <f t="shared" si="3"/>
        <v>417.5625</v>
      </c>
    </row>
    <row r="24">
      <c r="A24" s="16">
        <v>46257.0</v>
      </c>
      <c r="B24" s="18" t="s">
        <v>29</v>
      </c>
      <c r="C24" s="38">
        <v>0.0</v>
      </c>
      <c r="D24" s="21">
        <v>0.0</v>
      </c>
      <c r="E24" s="21">
        <v>0.0</v>
      </c>
      <c r="F24" s="21">
        <v>1325.0</v>
      </c>
      <c r="G24" s="21">
        <f t="shared" si="1"/>
        <v>1325</v>
      </c>
      <c r="H24" s="32">
        <f t="shared" si="2"/>
        <v>23.1875</v>
      </c>
      <c r="I24" s="21">
        <f t="shared" si="3"/>
        <v>1301.8125</v>
      </c>
    </row>
    <row r="25">
      <c r="A25" s="16">
        <v>46258.0</v>
      </c>
      <c r="B25" s="18" t="s">
        <v>32</v>
      </c>
      <c r="C25" s="38">
        <v>0.0</v>
      </c>
      <c r="D25" s="21">
        <v>0.0</v>
      </c>
      <c r="E25" s="21">
        <v>0.0</v>
      </c>
      <c r="F25" s="21">
        <v>0.0</v>
      </c>
      <c r="G25" s="21">
        <f t="shared" si="1"/>
        <v>0</v>
      </c>
      <c r="H25" s="32">
        <f t="shared" si="2"/>
        <v>0</v>
      </c>
      <c r="I25" s="21">
        <f t="shared" si="3"/>
        <v>0</v>
      </c>
    </row>
    <row r="26">
      <c r="A26" s="16">
        <v>46259.0</v>
      </c>
      <c r="B26" s="18" t="s">
        <v>35</v>
      </c>
      <c r="C26" s="38">
        <v>1.5</v>
      </c>
      <c r="D26" s="21">
        <v>1049.0</v>
      </c>
      <c r="E26" s="21">
        <v>0.0</v>
      </c>
      <c r="F26" s="21">
        <v>450.0</v>
      </c>
      <c r="G26" s="21">
        <f t="shared" si="1"/>
        <v>1499</v>
      </c>
      <c r="H26" s="32">
        <f t="shared" si="2"/>
        <v>26.2325</v>
      </c>
      <c r="I26" s="21">
        <f t="shared" si="3"/>
        <v>1472.7675</v>
      </c>
    </row>
    <row r="27">
      <c r="A27" s="16">
        <v>46260.0</v>
      </c>
      <c r="B27" s="18" t="s">
        <v>36</v>
      </c>
      <c r="C27" s="38">
        <v>0.0</v>
      </c>
      <c r="D27" s="21">
        <v>0.0</v>
      </c>
      <c r="E27" s="21">
        <v>0.0</v>
      </c>
      <c r="F27" s="21">
        <v>1200.0</v>
      </c>
      <c r="G27" s="21">
        <f t="shared" si="1"/>
        <v>1200</v>
      </c>
      <c r="H27" s="32">
        <f t="shared" si="2"/>
        <v>21</v>
      </c>
      <c r="I27" s="21">
        <f t="shared" si="3"/>
        <v>1179</v>
      </c>
    </row>
    <row r="28">
      <c r="A28" s="16">
        <v>46261.0</v>
      </c>
      <c r="B28" s="18" t="s">
        <v>39</v>
      </c>
      <c r="C28" s="38">
        <v>0.0</v>
      </c>
      <c r="D28" s="21">
        <v>0.0</v>
      </c>
      <c r="E28" s="21">
        <v>0.0</v>
      </c>
      <c r="F28" s="21">
        <v>800.0</v>
      </c>
      <c r="G28" s="21">
        <f t="shared" si="1"/>
        <v>800</v>
      </c>
      <c r="H28" s="32">
        <f t="shared" si="2"/>
        <v>14</v>
      </c>
      <c r="I28" s="21">
        <f t="shared" si="3"/>
        <v>786</v>
      </c>
    </row>
    <row r="29">
      <c r="A29" s="16">
        <v>46262.0</v>
      </c>
      <c r="B29" s="18" t="s">
        <v>41</v>
      </c>
      <c r="C29" s="38">
        <v>0.0</v>
      </c>
      <c r="D29" s="21">
        <v>0.0</v>
      </c>
      <c r="E29" s="21">
        <v>0.0</v>
      </c>
      <c r="F29" s="21">
        <v>400.0</v>
      </c>
      <c r="G29" s="21">
        <f t="shared" si="1"/>
        <v>400</v>
      </c>
      <c r="H29" s="32">
        <f t="shared" si="2"/>
        <v>7</v>
      </c>
      <c r="I29" s="21">
        <f t="shared" si="3"/>
        <v>393</v>
      </c>
    </row>
    <row r="30">
      <c r="A30" s="16">
        <v>46263.0</v>
      </c>
      <c r="B30" s="18" t="s">
        <v>19</v>
      </c>
      <c r="C30" s="38">
        <v>0.0</v>
      </c>
      <c r="D30" s="21">
        <v>0.0</v>
      </c>
      <c r="E30" s="21">
        <v>0.0</v>
      </c>
      <c r="F30" s="21">
        <v>200.0</v>
      </c>
      <c r="G30" s="21">
        <f t="shared" si="1"/>
        <v>200</v>
      </c>
      <c r="H30" s="32">
        <f t="shared" si="2"/>
        <v>3.5</v>
      </c>
      <c r="I30" s="21">
        <f t="shared" si="3"/>
        <v>196.5</v>
      </c>
    </row>
    <row r="31">
      <c r="A31" s="16">
        <v>46264.0</v>
      </c>
      <c r="B31" s="18" t="s">
        <v>29</v>
      </c>
      <c r="C31" s="19">
        <v>0.0</v>
      </c>
      <c r="D31" s="52">
        <v>0.0</v>
      </c>
      <c r="E31" s="52">
        <v>0.0</v>
      </c>
      <c r="F31" s="52">
        <v>350.0</v>
      </c>
      <c r="G31" s="21">
        <f t="shared" si="1"/>
        <v>350</v>
      </c>
      <c r="H31" s="32">
        <f t="shared" si="2"/>
        <v>6.125</v>
      </c>
      <c r="I31" s="21">
        <f t="shared" si="3"/>
        <v>343.875</v>
      </c>
    </row>
    <row r="32">
      <c r="A32" s="16">
        <v>46265.0</v>
      </c>
      <c r="B32" s="18" t="s">
        <v>32</v>
      </c>
      <c r="C32" s="19">
        <v>0.0</v>
      </c>
      <c r="D32" s="52">
        <v>0.0</v>
      </c>
      <c r="E32" s="52">
        <v>0.0</v>
      </c>
      <c r="F32" s="52">
        <v>400.0</v>
      </c>
      <c r="G32" s="21">
        <f t="shared" si="1"/>
        <v>400</v>
      </c>
      <c r="H32" s="32">
        <f t="shared" si="2"/>
        <v>7</v>
      </c>
      <c r="I32" s="21">
        <f t="shared" si="3"/>
        <v>393</v>
      </c>
    </row>
    <row r="33">
      <c r="A33" s="55" t="s">
        <v>33</v>
      </c>
      <c r="B33" s="56"/>
      <c r="C33" s="57"/>
      <c r="D33" s="49">
        <f t="shared" ref="D33:I33" si="4">SUM(D1:D32)</f>
        <v>7895</v>
      </c>
      <c r="E33" s="49">
        <f t="shared" si="4"/>
        <v>0</v>
      </c>
      <c r="F33" s="49">
        <f t="shared" si="4"/>
        <v>13075</v>
      </c>
      <c r="G33" s="49">
        <f t="shared" si="4"/>
        <v>20970</v>
      </c>
      <c r="H33" s="49">
        <f t="shared" si="4"/>
        <v>366.975</v>
      </c>
      <c r="I33" s="49">
        <f t="shared" si="4"/>
        <v>20603.025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7.75"/>
    <col customWidth="1" min="4" max="4" width="14.38"/>
    <col customWidth="1" min="9" max="9" width="14.13"/>
  </cols>
  <sheetData>
    <row r="1">
      <c r="A1" s="11" t="s">
        <v>0</v>
      </c>
      <c r="B1" s="12" t="s">
        <v>2</v>
      </c>
      <c r="C1" s="12" t="s">
        <v>14</v>
      </c>
      <c r="D1" s="12" t="s">
        <v>16</v>
      </c>
      <c r="E1" s="15" t="s">
        <v>17</v>
      </c>
      <c r="F1" s="12" t="s">
        <v>15</v>
      </c>
      <c r="G1" s="17" t="s">
        <v>18</v>
      </c>
      <c r="H1" s="17" t="s">
        <v>20</v>
      </c>
      <c r="I1" s="12" t="s">
        <v>21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23"/>
      <c r="B2" s="25" t="s">
        <v>1</v>
      </c>
      <c r="C2" s="26">
        <v>43069.0</v>
      </c>
      <c r="D2" s="26">
        <v>3014.0</v>
      </c>
      <c r="E2" s="27">
        <v>542.0</v>
      </c>
      <c r="F2" s="31">
        <f>C2-D2-E2</f>
        <v>39513</v>
      </c>
      <c r="G2" s="26">
        <v>215.0</v>
      </c>
      <c r="H2" s="26">
        <v>43.0</v>
      </c>
      <c r="I2" s="26">
        <f>F2-G2-H2</f>
        <v>39255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34"/>
      <c r="B3" s="29"/>
      <c r="C3" s="29"/>
      <c r="D3" s="29"/>
      <c r="E3" s="36"/>
      <c r="F3" s="36"/>
      <c r="G3" s="29"/>
      <c r="H3" s="29"/>
      <c r="I3" s="29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34"/>
      <c r="B4" s="39" t="s">
        <v>33</v>
      </c>
      <c r="C4" s="41">
        <f t="shared" ref="C4:F4" si="1">SUM(C2:C3)</f>
        <v>43069</v>
      </c>
      <c r="D4" s="41">
        <f t="shared" si="1"/>
        <v>3014</v>
      </c>
      <c r="E4" s="41">
        <f t="shared" si="1"/>
        <v>542</v>
      </c>
      <c r="F4" s="42">
        <f t="shared" si="1"/>
        <v>39513</v>
      </c>
      <c r="G4" s="44"/>
      <c r="H4" s="44"/>
      <c r="I4" s="41">
        <f>SUM(I2:I3)</f>
        <v>39255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23"/>
      <c r="B5" s="23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23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23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23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75"/>
    <col customWidth="1" min="4" max="4" width="23.88"/>
    <col customWidth="1" min="5" max="5" width="11.13"/>
    <col customWidth="1" min="6" max="6" width="6.13"/>
    <col customWidth="1" min="7" max="7" width="7.0"/>
  </cols>
  <sheetData>
    <row r="1">
      <c r="A1" s="22" t="s">
        <v>0</v>
      </c>
      <c r="B1" s="12" t="s">
        <v>2</v>
      </c>
      <c r="C1" s="12" t="s">
        <v>24</v>
      </c>
      <c r="D1" s="12" t="s">
        <v>25</v>
      </c>
      <c r="E1" s="12" t="s">
        <v>15</v>
      </c>
      <c r="F1" s="12" t="s">
        <v>20</v>
      </c>
      <c r="G1" s="12" t="s">
        <v>18</v>
      </c>
      <c r="H1" s="12" t="s">
        <v>4</v>
      </c>
    </row>
    <row r="2">
      <c r="A2" s="29"/>
      <c r="B2" s="25" t="s">
        <v>1</v>
      </c>
      <c r="C2" s="27">
        <v>12250.0</v>
      </c>
      <c r="D2" s="27">
        <v>1631.0</v>
      </c>
      <c r="E2" s="31">
        <f>C2-D2</f>
        <v>10619</v>
      </c>
      <c r="F2" s="27">
        <v>10.0</v>
      </c>
      <c r="G2" s="27">
        <v>53.0</v>
      </c>
      <c r="H2" s="26">
        <f>E2-F2-G2</f>
        <v>10556</v>
      </c>
    </row>
    <row r="3">
      <c r="A3" s="29"/>
      <c r="B3" s="40" t="s">
        <v>33</v>
      </c>
      <c r="C3" s="42">
        <f t="shared" ref="C3:E3" si="1">SUM(C2)</f>
        <v>12250</v>
      </c>
      <c r="D3" s="42">
        <f t="shared" si="1"/>
        <v>1631</v>
      </c>
      <c r="E3" s="42">
        <f t="shared" si="1"/>
        <v>10619</v>
      </c>
      <c r="F3" s="44"/>
      <c r="G3" s="44"/>
      <c r="H3" s="42">
        <f>SUM(H2)</f>
        <v>10556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58" t="s">
        <v>0</v>
      </c>
      <c r="B1" s="59" t="s">
        <v>2</v>
      </c>
      <c r="C1" s="59" t="s">
        <v>57</v>
      </c>
      <c r="D1" s="59" t="s">
        <v>16</v>
      </c>
      <c r="E1" s="59" t="s">
        <v>58</v>
      </c>
      <c r="F1" s="59" t="s">
        <v>15</v>
      </c>
      <c r="G1" s="59" t="s">
        <v>59</v>
      </c>
      <c r="H1" s="59" t="s">
        <v>60</v>
      </c>
      <c r="I1" s="59" t="s">
        <v>21</v>
      </c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</row>
    <row r="2">
      <c r="A2" s="61"/>
      <c r="B2" s="25" t="s">
        <v>1</v>
      </c>
      <c r="C2" s="62">
        <v>9175.0</v>
      </c>
      <c r="D2" s="62">
        <v>656.0</v>
      </c>
      <c r="E2" s="63">
        <v>118.0</v>
      </c>
      <c r="F2" s="31">
        <f>C2-D2-E2</f>
        <v>8401</v>
      </c>
      <c r="G2" s="63">
        <v>9.0</v>
      </c>
      <c r="H2" s="63">
        <v>0.0</v>
      </c>
      <c r="I2" s="62">
        <f>F2-G2-H2</f>
        <v>8392</v>
      </c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</row>
    <row r="3">
      <c r="A3" s="61"/>
      <c r="B3" s="64" t="s">
        <v>33</v>
      </c>
      <c r="C3" s="65">
        <f t="shared" ref="C3:F3" si="1">sum(C2)</f>
        <v>9175</v>
      </c>
      <c r="D3" s="65">
        <f t="shared" si="1"/>
        <v>656</v>
      </c>
      <c r="E3" s="65">
        <f t="shared" si="1"/>
        <v>118</v>
      </c>
      <c r="F3" s="65">
        <f t="shared" si="1"/>
        <v>8401</v>
      </c>
      <c r="G3" s="66"/>
      <c r="H3" s="66"/>
      <c r="I3" s="65">
        <f>sum(I2)</f>
        <v>8392</v>
      </c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</row>
    <row r="4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</row>
    <row r="5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</row>
    <row r="6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</row>
    <row r="7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</row>
    <row r="8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</row>
    <row r="9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</row>
    <row r="10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</row>
    <row r="11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</row>
    <row r="12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</row>
    <row r="13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</row>
    <row r="14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</row>
    <row r="1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</row>
    <row r="16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</row>
    <row r="17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</row>
    <row r="18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</row>
    <row r="19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</row>
    <row r="20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</row>
    <row r="2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</row>
    <row r="22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</row>
    <row r="23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</row>
    <row r="24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</row>
    <row r="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</row>
    <row r="26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</row>
    <row r="27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</row>
    <row r="28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</row>
    <row r="29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</row>
    <row r="30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</row>
    <row r="3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</row>
    <row r="3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</row>
    <row r="33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</row>
    <row r="34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</row>
    <row r="3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</row>
    <row r="36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</row>
    <row r="37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</row>
    <row r="38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</row>
    <row r="39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</row>
    <row r="40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</row>
    <row r="4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</row>
    <row r="42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</row>
    <row r="43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</row>
    <row r="44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</row>
    <row r="4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</row>
    <row r="46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</row>
    <row r="47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</row>
    <row r="48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</row>
    <row r="49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</row>
    <row r="50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</row>
    <row r="5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</row>
    <row r="52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</row>
    <row r="53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</row>
    <row r="54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</row>
    <row r="5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</row>
    <row r="56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</row>
    <row r="5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</row>
    <row r="58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</row>
    <row r="59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</row>
    <row r="60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</row>
    <row r="6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</row>
    <row r="62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</row>
    <row r="63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</row>
    <row r="64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</row>
    <row r="6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</row>
    <row r="66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</row>
    <row r="6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</row>
    <row r="68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</row>
    <row r="69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</row>
    <row r="70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</row>
    <row r="7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</row>
    <row r="72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</row>
    <row r="73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</row>
    <row r="74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</row>
    <row r="7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</row>
    <row r="76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</row>
    <row r="7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</row>
    <row r="78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</row>
    <row r="79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</row>
    <row r="80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</row>
    <row r="8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</row>
    <row r="82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</row>
    <row r="83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</row>
    <row r="84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</row>
    <row r="8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</row>
    <row r="86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</row>
    <row r="8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</row>
    <row r="88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</row>
    <row r="89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</row>
    <row r="90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</row>
    <row r="9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</row>
    <row r="92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</row>
    <row r="93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</row>
    <row r="94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</row>
    <row r="9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</row>
    <row r="9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</row>
    <row r="9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</row>
    <row r="98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</row>
    <row r="99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</row>
    <row r="100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</row>
    <row r="10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</row>
    <row r="102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</row>
    <row r="103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</row>
    <row r="104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</row>
    <row r="10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</row>
    <row r="106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</row>
    <row r="10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</row>
    <row r="108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</row>
    <row r="109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</row>
    <row r="110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</row>
    <row r="11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</row>
    <row r="112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</row>
    <row r="113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</row>
    <row r="114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</row>
    <row r="11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</row>
    <row r="116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</row>
    <row r="117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</row>
    <row r="118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</row>
    <row r="119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</row>
    <row r="120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</row>
    <row r="12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</row>
    <row r="122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</row>
    <row r="123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</row>
    <row r="124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</row>
    <row r="1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</row>
    <row r="126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</row>
    <row r="127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</row>
    <row r="128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</row>
    <row r="129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</row>
    <row r="130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</row>
    <row r="13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</row>
    <row r="132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</row>
    <row r="133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</row>
    <row r="134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</row>
    <row r="13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</row>
    <row r="136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</row>
    <row r="137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</row>
    <row r="138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</row>
    <row r="139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</row>
    <row r="140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</row>
    <row r="14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</row>
    <row r="142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</row>
    <row r="143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</row>
    <row r="144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</row>
    <row r="14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</row>
    <row r="146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</row>
    <row r="147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</row>
    <row r="148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</row>
    <row r="149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</row>
    <row r="150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</row>
    <row r="15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</row>
    <row r="152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</row>
    <row r="153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</row>
    <row r="154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</row>
    <row r="15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</row>
    <row r="156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</row>
    <row r="157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</row>
    <row r="158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</row>
    <row r="159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</row>
    <row r="160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</row>
    <row r="16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</row>
    <row r="162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</row>
    <row r="163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</row>
    <row r="164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</row>
    <row r="16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</row>
    <row r="166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</row>
    <row r="167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</row>
    <row r="168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</row>
    <row r="169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</row>
    <row r="170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</row>
    <row r="17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</row>
    <row r="172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</row>
    <row r="173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</row>
    <row r="174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</row>
    <row r="17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</row>
    <row r="176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</row>
    <row r="177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</row>
    <row r="178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</row>
    <row r="179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</row>
    <row r="180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</row>
    <row r="18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</row>
    <row r="182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</row>
    <row r="183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</row>
    <row r="184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</row>
    <row r="18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</row>
    <row r="186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</row>
    <row r="187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</row>
    <row r="188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</row>
    <row r="189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</row>
    <row r="190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</row>
    <row r="19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</row>
    <row r="192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</row>
    <row r="193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</row>
    <row r="194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</row>
    <row r="19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</row>
    <row r="196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</row>
    <row r="197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</row>
    <row r="198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</row>
    <row r="199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</row>
    <row r="200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</row>
    <row r="20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</row>
    <row r="202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</row>
    <row r="203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</row>
    <row r="204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</row>
    <row r="20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</row>
    <row r="206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</row>
    <row r="207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</row>
    <row r="208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</row>
    <row r="209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</row>
    <row r="210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</row>
    <row r="21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</row>
    <row r="212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</row>
    <row r="213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</row>
    <row r="214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</row>
    <row r="21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</row>
    <row r="216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</row>
    <row r="217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</row>
    <row r="218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</row>
    <row r="219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</row>
    <row r="220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</row>
    <row r="22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</row>
    <row r="222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</row>
    <row r="223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</row>
    <row r="224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</row>
    <row r="2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</row>
    <row r="226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</row>
    <row r="227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</row>
    <row r="228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</row>
    <row r="229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</row>
    <row r="230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</row>
    <row r="23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</row>
    <row r="232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</row>
    <row r="233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</row>
    <row r="234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</row>
    <row r="23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</row>
    <row r="236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</row>
    <row r="237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</row>
    <row r="238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</row>
    <row r="239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</row>
    <row r="240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</row>
    <row r="24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</row>
    <row r="242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</row>
    <row r="243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</row>
    <row r="244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</row>
    <row r="245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</row>
    <row r="246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</row>
    <row r="247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</row>
    <row r="248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</row>
    <row r="249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</row>
    <row r="250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</row>
    <row r="25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</row>
    <row r="252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</row>
    <row r="253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</row>
    <row r="254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</row>
    <row r="255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</row>
    <row r="256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</row>
    <row r="257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</row>
    <row r="258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</row>
    <row r="259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</row>
    <row r="260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</row>
    <row r="26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</row>
    <row r="262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</row>
    <row r="263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</row>
    <row r="264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</row>
    <row r="265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</row>
    <row r="266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</row>
    <row r="267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</row>
    <row r="268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</row>
    <row r="269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</row>
    <row r="270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</row>
    <row r="27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</row>
    <row r="272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</row>
    <row r="273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</row>
    <row r="274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</row>
    <row r="275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</row>
    <row r="276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</row>
    <row r="277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</row>
    <row r="278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</row>
    <row r="279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</row>
    <row r="280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</row>
    <row r="28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</row>
    <row r="282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</row>
    <row r="283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</row>
    <row r="284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</row>
    <row r="285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</row>
    <row r="286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</row>
    <row r="287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</row>
    <row r="288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</row>
    <row r="289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</row>
    <row r="290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</row>
    <row r="29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</row>
    <row r="292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</row>
    <row r="293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</row>
    <row r="294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</row>
    <row r="29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</row>
    <row r="296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</row>
    <row r="297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</row>
    <row r="298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</row>
    <row r="299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</row>
    <row r="300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</row>
    <row r="30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</row>
    <row r="302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</row>
    <row r="303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</row>
    <row r="304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</row>
    <row r="305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</row>
    <row r="306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</row>
    <row r="307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</row>
    <row r="308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</row>
    <row r="309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</row>
    <row r="310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</row>
    <row r="31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</row>
    <row r="312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</row>
    <row r="313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</row>
    <row r="314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</row>
    <row r="315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</row>
    <row r="316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</row>
    <row r="317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</row>
    <row r="318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</row>
    <row r="319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</row>
    <row r="320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</row>
    <row r="32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</row>
    <row r="322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</row>
    <row r="323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</row>
    <row r="324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</row>
    <row r="325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</row>
    <row r="326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</row>
    <row r="327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</row>
    <row r="328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</row>
    <row r="329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</row>
    <row r="330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</row>
    <row r="33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</row>
    <row r="332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</row>
    <row r="333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</row>
    <row r="334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</row>
    <row r="335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</row>
    <row r="336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</row>
    <row r="337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</row>
    <row r="338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</row>
    <row r="339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</row>
    <row r="340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</row>
    <row r="34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</row>
    <row r="342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</row>
    <row r="343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</row>
    <row r="344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</row>
    <row r="345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</row>
    <row r="346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</row>
    <row r="347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</row>
    <row r="348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</row>
    <row r="349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</row>
    <row r="350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</row>
    <row r="35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</row>
    <row r="352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</row>
    <row r="353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</row>
    <row r="354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</row>
    <row r="355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</row>
    <row r="356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</row>
    <row r="357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</row>
    <row r="358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</row>
    <row r="359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</row>
    <row r="360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</row>
    <row r="36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</row>
    <row r="362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</row>
    <row r="363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</row>
    <row r="364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</row>
    <row r="36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</row>
    <row r="366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</row>
    <row r="36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</row>
    <row r="368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</row>
    <row r="369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</row>
    <row r="370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</row>
    <row r="37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</row>
    <row r="372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</row>
    <row r="373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</row>
    <row r="374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</row>
    <row r="375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</row>
    <row r="376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</row>
    <row r="377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</row>
    <row r="378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</row>
    <row r="379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</row>
    <row r="380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</row>
    <row r="38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</row>
    <row r="382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</row>
    <row r="383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</row>
    <row r="384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</row>
    <row r="385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</row>
    <row r="386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</row>
    <row r="38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</row>
    <row r="388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</row>
    <row r="389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</row>
    <row r="390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</row>
    <row r="39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</row>
    <row r="392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</row>
    <row r="393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</row>
    <row r="394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</row>
    <row r="395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</row>
    <row r="396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</row>
    <row r="39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</row>
    <row r="398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</row>
    <row r="399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</row>
    <row r="400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</row>
    <row r="40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</row>
    <row r="402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</row>
    <row r="403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</row>
    <row r="404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</row>
    <row r="405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</row>
    <row r="406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</row>
    <row r="40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</row>
    <row r="408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</row>
    <row r="409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</row>
    <row r="410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</row>
    <row r="41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</row>
    <row r="412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</row>
    <row r="413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</row>
    <row r="414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</row>
    <row r="415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</row>
    <row r="416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</row>
    <row r="4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</row>
    <row r="418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</row>
    <row r="419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</row>
    <row r="420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</row>
    <row r="42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</row>
    <row r="422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</row>
    <row r="423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</row>
    <row r="424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</row>
    <row r="425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</row>
    <row r="426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</row>
    <row r="42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</row>
    <row r="428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</row>
    <row r="429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</row>
    <row r="430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</row>
    <row r="43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</row>
    <row r="432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</row>
    <row r="433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</row>
    <row r="434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</row>
    <row r="43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</row>
    <row r="436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</row>
    <row r="43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</row>
    <row r="74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</row>
    <row r="742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</row>
    <row r="743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</row>
    <row r="744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</row>
    <row r="745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</row>
    <row r="746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</row>
    <row r="74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</row>
    <row r="748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</row>
    <row r="749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</row>
    <row r="750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</row>
    <row r="75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</row>
    <row r="752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</row>
    <row r="753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</row>
    <row r="754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</row>
    <row r="755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</row>
    <row r="756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</row>
    <row r="75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</row>
    <row r="758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</row>
    <row r="759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</row>
    <row r="760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</row>
    <row r="76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</row>
    <row r="762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</row>
    <row r="763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</row>
    <row r="764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</row>
    <row r="765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</row>
    <row r="766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</row>
    <row r="76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</row>
    <row r="768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</row>
    <row r="769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</row>
    <row r="770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</row>
    <row r="77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</row>
    <row r="772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</row>
    <row r="773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</row>
    <row r="774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</row>
    <row r="775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</row>
    <row r="776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</row>
    <row r="77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</row>
    <row r="778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</row>
    <row r="779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</row>
    <row r="780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</row>
    <row r="78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</row>
    <row r="782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</row>
    <row r="78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</row>
    <row r="784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</row>
    <row r="785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</row>
    <row r="786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</row>
    <row r="78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</row>
    <row r="788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</row>
    <row r="789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</row>
    <row r="790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</row>
    <row r="79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</row>
    <row r="792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</row>
    <row r="79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</row>
    <row r="794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</row>
    <row r="795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</row>
    <row r="796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</row>
    <row r="79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</row>
    <row r="798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</row>
    <row r="799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</row>
    <row r="800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</row>
    <row r="80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</row>
    <row r="802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</row>
    <row r="80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</row>
    <row r="804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</row>
    <row r="80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</row>
    <row r="806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</row>
    <row r="80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</row>
    <row r="808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</row>
    <row r="809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</row>
    <row r="810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</row>
    <row r="81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</row>
    <row r="812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</row>
    <row r="81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</row>
    <row r="814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</row>
    <row r="81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</row>
    <row r="816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</row>
    <row r="8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</row>
    <row r="818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</row>
    <row r="819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</row>
    <row r="820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</row>
    <row r="82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</row>
    <row r="822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</row>
    <row r="82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</row>
    <row r="824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</row>
    <row r="825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</row>
    <row r="826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</row>
    <row r="82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</row>
    <row r="828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</row>
    <row r="829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</row>
    <row r="830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</row>
    <row r="83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</row>
    <row r="832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</row>
    <row r="83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</row>
    <row r="834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</row>
    <row r="835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</row>
    <row r="836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</row>
    <row r="83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</row>
    <row r="838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</row>
    <row r="839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</row>
    <row r="840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</row>
    <row r="84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</row>
    <row r="842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</row>
    <row r="84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</row>
    <row r="844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</row>
    <row r="845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</row>
    <row r="846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</row>
    <row r="84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</row>
    <row r="848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</row>
    <row r="849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</row>
    <row r="850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</row>
    <row r="85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</row>
    <row r="852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</row>
    <row r="85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</row>
    <row r="854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</row>
    <row r="85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</row>
    <row r="856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</row>
    <row r="85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</row>
    <row r="858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</row>
    <row r="859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</row>
    <row r="860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</row>
    <row r="86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</row>
    <row r="862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</row>
    <row r="86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</row>
    <row r="864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</row>
    <row r="865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</row>
    <row r="866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</row>
    <row r="86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</row>
    <row r="868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</row>
    <row r="869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</row>
    <row r="870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</row>
    <row r="87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</row>
    <row r="872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</row>
    <row r="87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</row>
    <row r="874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</row>
    <row r="875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</row>
    <row r="876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</row>
    <row r="87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</row>
    <row r="878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</row>
    <row r="879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</row>
    <row r="880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</row>
    <row r="88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</row>
    <row r="882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</row>
    <row r="88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</row>
    <row r="884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</row>
    <row r="88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</row>
    <row r="886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</row>
    <row r="88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</row>
    <row r="888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</row>
    <row r="889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</row>
    <row r="890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</row>
    <row r="89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</row>
    <row r="892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</row>
    <row r="89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</row>
    <row r="894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</row>
    <row r="89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</row>
    <row r="896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</row>
    <row r="89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</row>
    <row r="898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</row>
    <row r="899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</row>
    <row r="900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</row>
    <row r="90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</row>
    <row r="902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</row>
    <row r="90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</row>
    <row r="904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</row>
    <row r="905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</row>
    <row r="906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</row>
    <row r="90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</row>
    <row r="908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</row>
    <row r="909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</row>
    <row r="910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</row>
    <row r="91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</row>
    <row r="912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</row>
    <row r="91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</row>
    <row r="914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</row>
    <row r="915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</row>
    <row r="916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</row>
    <row r="9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</row>
    <row r="918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</row>
    <row r="919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</row>
    <row r="920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</row>
    <row r="92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</row>
    <row r="922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</row>
    <row r="92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</row>
    <row r="924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</row>
    <row r="925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</row>
    <row r="926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</row>
    <row r="92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</row>
    <row r="928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</row>
    <row r="929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</row>
    <row r="930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</row>
    <row r="93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</row>
    <row r="932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</row>
    <row r="93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</row>
    <row r="934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</row>
    <row r="935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</row>
    <row r="936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</row>
    <row r="93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</row>
    <row r="938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</row>
    <row r="939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</row>
    <row r="940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</row>
    <row r="94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</row>
    <row r="942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</row>
    <row r="94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</row>
    <row r="944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</row>
    <row r="945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</row>
    <row r="946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</row>
    <row r="94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</row>
    <row r="948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</row>
    <row r="949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</row>
    <row r="950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</row>
    <row r="95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</row>
    <row r="952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</row>
    <row r="95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</row>
    <row r="954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</row>
    <row r="955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</row>
    <row r="956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</row>
    <row r="95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</row>
    <row r="958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</row>
    <row r="959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</row>
    <row r="960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</row>
    <row r="96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</row>
    <row r="962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</row>
    <row r="96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</row>
    <row r="964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</row>
    <row r="965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</row>
    <row r="966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</row>
    <row r="96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</row>
    <row r="968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</row>
    <row r="969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</row>
    <row r="970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</row>
    <row r="97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</row>
    <row r="972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</row>
    <row r="97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</row>
    <row r="974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</row>
    <row r="975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</row>
    <row r="976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</row>
    <row r="97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</row>
    <row r="978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</row>
    <row r="979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</row>
    <row r="980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</row>
    <row r="98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</row>
    <row r="982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</row>
    <row r="98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</row>
    <row r="984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</row>
    <row r="985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</row>
    <row r="986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</row>
    <row r="98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</row>
    <row r="988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</row>
    <row r="989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</row>
    <row r="990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</row>
    <row r="99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</row>
    <row r="992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</row>
    <row r="993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</row>
    <row r="994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</row>
    <row r="995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</row>
    <row r="996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</row>
    <row r="997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2.25"/>
    <col customWidth="1" min="2" max="2" width="18.25"/>
    <col customWidth="1" min="3" max="3" width="14.38"/>
    <col customWidth="1" min="4" max="4" width="14.13"/>
  </cols>
  <sheetData>
    <row r="1">
      <c r="A1" s="12" t="s">
        <v>2</v>
      </c>
      <c r="B1" s="12" t="s">
        <v>61</v>
      </c>
      <c r="C1" s="12" t="s">
        <v>16</v>
      </c>
      <c r="D1" s="12" t="s">
        <v>21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5" t="s">
        <v>1</v>
      </c>
      <c r="B2" s="26">
        <v>10025.0</v>
      </c>
      <c r="C2" s="68">
        <f>B2*5%</f>
        <v>501.25</v>
      </c>
      <c r="D2" s="68">
        <f>B2-C2</f>
        <v>9523.75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9"/>
      <c r="B3" s="29"/>
      <c r="C3" s="70"/>
      <c r="D3" s="70"/>
      <c r="E3" s="5"/>
      <c r="F3" s="5"/>
      <c r="G3" s="5"/>
      <c r="H3" s="5"/>
      <c r="I3" s="5"/>
      <c r="J3" s="71"/>
      <c r="K3" s="5"/>
      <c r="L3" s="71"/>
      <c r="M3" s="71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2" t="s">
        <v>33</v>
      </c>
      <c r="B4" s="73">
        <f t="shared" ref="B4:D4" si="1">SUM(B2)</f>
        <v>10025</v>
      </c>
      <c r="C4" s="73">
        <f t="shared" si="1"/>
        <v>501.25</v>
      </c>
      <c r="D4" s="73">
        <f t="shared" si="1"/>
        <v>9523.75</v>
      </c>
      <c r="E4" s="5"/>
      <c r="F4" s="5"/>
      <c r="G4" s="5"/>
      <c r="H4" s="5"/>
      <c r="I4" s="5"/>
      <c r="J4" s="71"/>
      <c r="K4" s="5"/>
      <c r="L4" s="71"/>
      <c r="M4" s="71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5.75"/>
    <col customWidth="1" min="3" max="3" width="15.25"/>
  </cols>
  <sheetData>
    <row r="1">
      <c r="A1" s="67" t="s">
        <v>62</v>
      </c>
      <c r="B1" s="67" t="s">
        <v>63</v>
      </c>
      <c r="C1" s="67" t="s">
        <v>64</v>
      </c>
    </row>
    <row r="2">
      <c r="A2" s="45" t="s">
        <v>65</v>
      </c>
      <c r="B2" s="24" t="s">
        <v>66</v>
      </c>
      <c r="C2" s="69">
        <v>120000.0</v>
      </c>
    </row>
  </sheetData>
  <drawing r:id="rId1"/>
</worksheet>
</file>