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B2B" sheetId="5" r:id="rId9"/>
  </sheets>
  <definedNames/>
  <calcPr/>
</workbook>
</file>

<file path=xl/sharedStrings.xml><?xml version="1.0" encoding="utf-8"?>
<sst xmlns="http://schemas.openxmlformats.org/spreadsheetml/2006/main" count="110" uniqueCount="69">
  <si>
    <t>1 - 31 July</t>
  </si>
  <si>
    <t>Link</t>
  </si>
  <si>
    <t>Particulars</t>
  </si>
  <si>
    <t>Amount</t>
  </si>
  <si>
    <t>Date</t>
  </si>
  <si>
    <t>Pickleball</t>
  </si>
  <si>
    <t>Pay &amp; Play</t>
  </si>
  <si>
    <t>Day</t>
  </si>
  <si>
    <t>Offline booking hours</t>
  </si>
  <si>
    <t>Booking Revenue (Turf)</t>
  </si>
  <si>
    <t>Community Revenue</t>
  </si>
  <si>
    <t>Total Revenue</t>
  </si>
  <si>
    <t>Payment Gateway</t>
  </si>
  <si>
    <t>Net Revenue</t>
  </si>
  <si>
    <t>Wednesday</t>
  </si>
  <si>
    <t>Paid to Hudle</t>
  </si>
  <si>
    <t>Commisions (Including GST)</t>
  </si>
  <si>
    <t>TDS</t>
  </si>
  <si>
    <t>TCS</t>
  </si>
  <si>
    <t xml:space="preserve">Online </t>
  </si>
  <si>
    <t>District</t>
  </si>
  <si>
    <t>Hudle</t>
  </si>
  <si>
    <t>Total</t>
  </si>
  <si>
    <t>Thursday</t>
  </si>
  <si>
    <t>Playo</t>
  </si>
  <si>
    <t>Khelomore</t>
  </si>
  <si>
    <t>Zplys</t>
  </si>
  <si>
    <t>Friday</t>
  </si>
  <si>
    <t>Offline</t>
  </si>
  <si>
    <t>Bookings</t>
  </si>
  <si>
    <t>Saturday</t>
  </si>
  <si>
    <t>Memberships</t>
  </si>
  <si>
    <t>Sunday</t>
  </si>
  <si>
    <t>Community</t>
  </si>
  <si>
    <t>Monday</t>
  </si>
  <si>
    <t>Pickup games</t>
  </si>
  <si>
    <t>Social Events/Tournaments</t>
  </si>
  <si>
    <t>Tuesday</t>
  </si>
  <si>
    <t>Academy</t>
  </si>
  <si>
    <t>Events &amp; Partnership</t>
  </si>
  <si>
    <t>Corporate events</t>
  </si>
  <si>
    <t>Paid to District</t>
  </si>
  <si>
    <t>Commissions (₹)</t>
  </si>
  <si>
    <t>GST on Commission</t>
  </si>
  <si>
    <t>All B2B partnerships</t>
  </si>
  <si>
    <t>Commerce</t>
  </si>
  <si>
    <t>Final Amount (₹)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</si>
  <si>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</si>
  <si>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</si>
  <si>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</si>
  <si>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</si>
  <si>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</si>
  <si>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</si>
  <si>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</si>
  <si>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Expenses</t>
  </si>
  <si>
    <t>VM Salary</t>
  </si>
  <si>
    <t>Support Staff</t>
  </si>
  <si>
    <t>Marketing, Branding &amp; Community</t>
  </si>
  <si>
    <t>Balls</t>
  </si>
  <si>
    <t>Net Profit</t>
  </si>
  <si>
    <t>Brand</t>
  </si>
  <si>
    <t>Type</t>
  </si>
  <si>
    <t>Deliverables</t>
  </si>
  <si>
    <t>Amt</t>
  </si>
  <si>
    <t>July</t>
  </si>
  <si>
    <t>Clash Sports</t>
  </si>
  <si>
    <t>Football Tournament</t>
  </si>
  <si>
    <t>12 hours of turf</t>
  </si>
  <si>
    <t>Energy Drinks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</si>
</sst>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&gt;9999999][$₹]##\,##\,##\,##0;[&gt;99999][$₹]##\,##\,##0;[$₹]##,##0"/>
    <numFmt numFmtId="165" formatCode="[$₹]#,##0"/>
    <numFmt numFmtId="166" formatCode="[$₹]#,##0.0"/>
    <numFmt numFmtId="167" formatCode="d mmmm"/>
    <numFmt numFmtId="168" formatCode="[$₹]#,##0.00"/>
    <numFmt numFmtId="169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6" xfId="0" applyAlignment="1" applyBorder="1" applyFill="1" applyFont="1" applyNumberFormat="1">
      <alignment vertical="bottom"/>
    </xf>
    <xf borderId="3" fillId="2" fontId="2" numFmtId="165" xfId="0" applyAlignment="1" applyBorder="1" applyFill="1" applyFont="1" applyNumberFormat="1">
      <alignment vertical="bottom"/>
    </xf>
    <xf borderId="3" fillId="2" fontId="5" numFmtId="0" xfId="0" applyAlignment="1" applyBorder="1" applyFill="1" applyFont="1">
      <alignment horizontal="center" readingOrder="0" vertical="bottom"/>
    </xf>
    <xf borderId="3" fillId="3" fontId="4" numFmtId="167" xfId="0" applyAlignment="1" applyBorder="1" applyFill="1" applyFont="1" applyNumberFormat="1">
      <alignment horizontal="right" vertical="bottom"/>
    </xf>
    <xf borderId="3" fillId="2" fontId="2" numFmtId="168" xfId="0" applyAlignment="1" applyBorder="1" applyFill="1" applyFont="1" applyNumberFormat="1">
      <alignment horizontal="center" vertical="bottom"/>
    </xf>
    <xf borderId="3" fillId="3" fontId="4" numFmtId="165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168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169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vertical="bottom"/>
    </xf>
    <xf borderId="3" fillId="0" fontId="4" numFmtId="169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168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readingOrder="0" vertical="bottom"/>
    </xf>
    <xf borderId="3" fillId="2" fontId="2" numFmtId="164" xfId="0" applyAlignment="1" applyBorder="1" applyFill="1" applyFont="1" applyNumberFormat="1">
      <alignment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2" fontId="2" numFmtId="169" xfId="0" applyAlignment="1" applyBorder="1" applyFill="1" applyFont="1" applyNumberFormat="1">
      <alignment horizontal="right" vertical="bottom"/>
    </xf>
    <xf borderId="3" fillId="2" fontId="4" numFmtId="168" xfId="0" applyAlignment="1" applyBorder="1" applyFill="1" applyFont="1" applyNumberFormat="1">
      <alignment vertical="bottom"/>
    </xf>
    <xf borderId="3" fillId="0" fontId="2" numFmtId="0" xfId="0" applyAlignment="1" applyBorder="1" applyFont="1">
      <alignment vertical="bottom"/>
    </xf>
    <xf borderId="3" fillId="0" fontId="4" numFmtId="4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2" fontId="6" numFmtId="168" xfId="0" applyAlignment="1" applyBorder="1" applyFill="1" applyFont="1" applyNumberFormat="1">
      <alignment horizontal="center" readingOrder="0" vertical="bottom"/>
    </xf>
    <xf borderId="3" fillId="0" fontId="4" numFmtId="164" xfId="0" applyAlignment="1" applyBorder="1" applyFont="1" applyNumberFormat="1">
      <alignment horizontal="right" vertical="bottom"/>
    </xf>
    <xf borderId="0" fillId="2" fontId="7" numFmtId="165" xfId="0" applyAlignment="1" applyFill="1" applyFont="1" applyNumberFormat="1">
      <alignment vertical="bottom"/>
    </xf>
    <xf borderId="3" fillId="0" fontId="4" numFmtId="164" xfId="0" applyAlignment="1" applyBorder="1" applyFont="1" applyNumberFormat="1">
      <alignment horizontal="right" readingOrder="0" vertical="bottom"/>
    </xf>
    <xf borderId="0" fillId="2" fontId="2" numFmtId="165" xfId="0" applyAlignment="1" applyFill="1" applyFont="1" applyNumberFormat="1">
      <alignment horizontal="center" vertical="bottom"/>
    </xf>
    <xf borderId="0" fillId="0" fontId="4" numFmtId="165" xfId="0" applyAlignment="1" applyFont="1" applyNumberFormat="1">
      <alignment vertical="bottom"/>
    </xf>
    <xf borderId="3" fillId="2" fontId="2" numFmtId="0" xfId="0" applyAlignment="1" applyBorder="1" applyFill="1" applyFont="1">
      <alignment vertical="bottom"/>
    </xf>
    <xf borderId="3" fillId="0" fontId="4" numFmtId="168" xfId="0" applyAlignment="1" applyBorder="1" applyFont="1" applyNumberFormat="1">
      <alignment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2" fontId="2" numFmtId="165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0" fillId="0" fontId="4" numFmtId="166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3" fillId="0" fontId="2" numFmtId="168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3" fillId="2" fontId="4" numFmtId="165" xfId="0" applyAlignment="1" applyBorder="1" applyFill="1" applyFont="1" applyNumberFormat="1">
      <alignment vertical="bottom"/>
    </xf>
    <xf borderId="0" fillId="0" fontId="4" numFmtId="164" xfId="0" applyAlignment="1" applyFont="1" applyNumberFormat="1">
      <alignment vertical="bottom"/>
    </xf>
    <xf borderId="3" fillId="3" fontId="4" numFmtId="165" xfId="0" applyAlignment="1" applyBorder="1" applyFill="1" applyFont="1" applyNumberFormat="1">
      <alignment horizontal="right" vertical="bottom"/>
    </xf>
    <xf borderId="3" fillId="2" fontId="4" numFmtId="4" xfId="0" applyAlignment="1" applyBorder="1" applyFill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168" xfId="0" applyAlignment="1" applyFont="1" applyNumberFormat="1">
      <alignment readingOrder="0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readingOrder="0" vertical="bottom"/>
    </xf>
    <xf borderId="3" fillId="0" fontId="4" numFmtId="0" xfId="0" applyAlignment="1" applyBorder="1" applyFont="1">
      <alignment readingOrder="0" vertical="bottom"/>
    </xf>
    <xf borderId="3" fillId="0" fontId="4" numFmtId="168" xfId="0" applyAlignment="1" applyBorder="1" applyFont="1" applyNumberFormat="1">
      <alignment horizontal="right" readingOrder="0" vertical="bottom"/>
    </xf>
    <xf borderId="3" fillId="0" fontId="2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caLIILkMLo-ixvhy6P7P3SDWm9Fb8IGR7Rw0_-UPMA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2</v>
      </c>
      <c r="C3" s="4" t="s">
        <v>3</v>
      </c>
      <c r="E3" s="5"/>
    </row>
    <row r="4">
      <c r="B4" s="6"/>
      <c r="C4" s="7" t="s">
        <v>5</v>
      </c>
      <c r="E4" s="5"/>
    </row>
    <row r="5">
      <c r="B5" s="9" t="s">
        <v>6</v>
      </c>
      <c r="C5" s="20">
        <f>sum(C6,C12)</f>
        <v>62050</v>
      </c>
      <c r="E5" s="5"/>
    </row>
    <row r="6">
      <c r="B6" s="9" t="s">
        <v>19</v>
      </c>
      <c r="C6" s="20">
        <f>sum(C7:C11)</f>
        <v>9450</v>
      </c>
      <c r="E6" s="5"/>
    </row>
    <row r="7" outlineLevel="1">
      <c r="B7" s="22" t="s">
        <v>20</v>
      </c>
      <c r="C7" s="24">
        <f>District!C4</f>
        <v>3450</v>
      </c>
      <c r="E7" s="5"/>
    </row>
    <row r="8" outlineLevel="1">
      <c r="B8" s="22" t="s">
        <v>21</v>
      </c>
      <c r="C8" s="27">
        <f>Hudle!C3</f>
        <v>6000</v>
      </c>
      <c r="E8" s="5"/>
    </row>
    <row r="9" outlineLevel="1">
      <c r="B9" s="22" t="s">
        <v>24</v>
      </c>
      <c r="C9" s="27">
        <v>0.0</v>
      </c>
      <c r="E9" s="5"/>
    </row>
    <row r="10" outlineLevel="1">
      <c r="B10" s="29" t="s">
        <v>25</v>
      </c>
      <c r="C10" s="27">
        <v>0.0</v>
      </c>
      <c r="E10" s="30"/>
    </row>
    <row r="11" outlineLevel="1">
      <c r="B11" s="22" t="s">
        <v>26</v>
      </c>
      <c r="C11" s="27">
        <v>0.0</v>
      </c>
      <c r="E11" s="30"/>
    </row>
    <row r="12">
      <c r="B12" s="33" t="s">
        <v>28</v>
      </c>
      <c r="C12" s="20">
        <f>sum(C13:C14)</f>
        <v>52600</v>
      </c>
    </row>
    <row r="13" outlineLevel="1">
      <c r="B13" s="22" t="s">
        <v>29</v>
      </c>
      <c r="C13" s="24">
        <f>'Offline &amp; RG Community'!D33</f>
        <v>52600</v>
      </c>
    </row>
    <row r="14" outlineLevel="1">
      <c r="B14" s="19" t="s">
        <v>31</v>
      </c>
      <c r="C14" s="27">
        <v>0.0</v>
      </c>
      <c r="E14" s="5"/>
    </row>
    <row r="15">
      <c r="B15" s="33" t="s">
        <v>33</v>
      </c>
      <c r="C15" s="20">
        <f>sum(C16:C17)</f>
        <v>20000</v>
      </c>
      <c r="E15" s="5"/>
    </row>
    <row r="16" outlineLevel="1">
      <c r="B16" s="29" t="s">
        <v>35</v>
      </c>
      <c r="C16" s="24">
        <f>'Offline &amp; RG Community'!E33</f>
        <v>20000</v>
      </c>
      <c r="E16" s="5"/>
    </row>
    <row r="17" outlineLevel="1">
      <c r="B17" s="29" t="s">
        <v>36</v>
      </c>
      <c r="C17" s="27">
        <v>0.0</v>
      </c>
    </row>
    <row r="18">
      <c r="B18" s="33" t="s">
        <v>38</v>
      </c>
      <c r="C18" s="35">
        <v>0.0</v>
      </c>
      <c r="E18" s="5"/>
    </row>
    <row r="19">
      <c r="B19" s="9" t="s">
        <v>39</v>
      </c>
      <c r="C19" s="20">
        <f>sum(C20,C21)</f>
        <v>9800</v>
      </c>
    </row>
    <row r="20" outlineLevel="1">
      <c r="B20" s="22" t="s">
        <v>40</v>
      </c>
      <c r="C20" s="37">
        <f>B2B!E4</f>
        <v>9800</v>
      </c>
    </row>
    <row r="21" outlineLevel="1">
      <c r="B21" s="29" t="s">
        <v>44</v>
      </c>
      <c r="C21" s="39">
        <v>0.0</v>
      </c>
    </row>
    <row r="22">
      <c r="B22" s="9" t="s">
        <v>45</v>
      </c>
      <c r="C22" s="20">
        <f>sum(C23:C25)</f>
        <v>0</v>
      </c>
    </row>
    <row r="23" outlineLevel="1">
      <c r="B23" s="22" t="s">
        <v>47</v>
      </c>
      <c r="C23" s="39">
        <v>0.0</v>
      </c>
    </row>
    <row r="24" outlineLevel="1">
      <c r="B24" s="22" t="s">
        <v>48</v>
      </c>
      <c r="C24" s="27">
        <v>0.0</v>
      </c>
    </row>
    <row r="25" outlineLevel="1">
      <c r="B25" s="22" t="s">
        <v>49</v>
      </c>
      <c r="C25" s="39">
        <v>0.0</v>
      </c>
    </row>
    <row r="26">
      <c r="B26" s="9" t="s">
        <v>50</v>
      </c>
      <c r="C26" s="20">
        <v>0.0</v>
      </c>
    </row>
    <row r="27">
      <c r="B27" s="42" t="s">
        <v>51</v>
      </c>
      <c r="C27" s="45">
        <f>C6+C12+C15+C18+C19+C22+C26</f>
        <v>91850</v>
      </c>
    </row>
    <row r="28">
      <c r="B28" s="46" t="s">
        <v>52</v>
      </c>
      <c r="C28" s="49">
        <f>'Offline &amp; RG Community'!H33+District!F4+B2B!E4+Hudle!E3</f>
        <v>89995.5</v>
      </c>
    </row>
    <row r="29">
      <c r="B29" s="9" t="s">
        <v>53</v>
      </c>
      <c r="C29" s="20">
        <f>(C27/1.18)-(C27-C28)</f>
        <v>75984.48305</v>
      </c>
    </row>
    <row r="30">
      <c r="B30" s="22"/>
      <c r="C30" s="24"/>
    </row>
    <row r="31">
      <c r="B31" s="9" t="s">
        <v>54</v>
      </c>
      <c r="C31" s="24"/>
    </row>
    <row r="32">
      <c r="B32" s="22" t="s">
        <v>55</v>
      </c>
      <c r="C32" s="37"/>
    </row>
    <row r="33">
      <c r="B33" s="22" t="s">
        <v>56</v>
      </c>
      <c r="C33" s="37"/>
    </row>
    <row r="34">
      <c r="B34" s="22" t="s">
        <v>57</v>
      </c>
      <c r="C34" s="18"/>
    </row>
    <row r="35">
      <c r="B35" s="22" t="s">
        <v>58</v>
      </c>
      <c r="C35" s="18"/>
    </row>
    <row r="36">
      <c r="B36" s="22"/>
      <c r="C36" s="22"/>
    </row>
    <row r="37">
      <c r="B37" s="9" t="s">
        <v>59</v>
      </c>
      <c r="C37" s="20">
        <f>C29-(sum(C32:C35))</f>
        <v>75984.48305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13"/>
    <col customWidth="1" min="3" max="3" width="18.25"/>
    <col customWidth="1" min="4" max="4" width="19.75"/>
    <col customWidth="1" min="5" max="5" width="17.63"/>
    <col customWidth="1" min="8" max="8" width="15.25"/>
  </cols>
  <sheetData>
    <row r="1">
      <c r="A1" s="8" t="s">
        <v>4</v>
      </c>
      <c r="B1" s="8" t="s">
        <v>7</v>
      </c>
      <c r="C1" s="10" t="s">
        <v>8</v>
      </c>
      <c r="D1" s="8" t="s">
        <v>9</v>
      </c>
      <c r="E1" s="8" t="s">
        <v>10</v>
      </c>
      <c r="F1" s="8" t="s">
        <v>11</v>
      </c>
      <c r="G1" s="11" t="s">
        <v>12</v>
      </c>
      <c r="H1" s="12" t="s">
        <v>13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14">
        <v>46204.0</v>
      </c>
      <c r="B2" s="16" t="s">
        <v>14</v>
      </c>
      <c r="C2" s="17">
        <v>1.0</v>
      </c>
      <c r="D2" s="18">
        <v>1200.0</v>
      </c>
      <c r="E2" s="18">
        <v>0.0</v>
      </c>
      <c r="F2" s="18">
        <f t="shared" ref="F2:F32" si="1">sum(D2:E2)</f>
        <v>1200</v>
      </c>
      <c r="G2" s="25">
        <f t="shared" ref="G2:G32" si="2">F2*1.75%</f>
        <v>21</v>
      </c>
      <c r="H2" s="18">
        <f t="shared" ref="H2:H32" si="3">F2-G2</f>
        <v>1179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14">
        <v>46205.0</v>
      </c>
      <c r="B3" s="16" t="s">
        <v>23</v>
      </c>
      <c r="C3" s="17">
        <v>2.0</v>
      </c>
      <c r="D3" s="18">
        <v>2400.0</v>
      </c>
      <c r="E3" s="18">
        <v>0.0</v>
      </c>
      <c r="F3" s="18">
        <f t="shared" si="1"/>
        <v>2400</v>
      </c>
      <c r="G3" s="25">
        <f t="shared" si="2"/>
        <v>42</v>
      </c>
      <c r="H3" s="18">
        <f t="shared" si="3"/>
        <v>2358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14">
        <v>46206.0</v>
      </c>
      <c r="B4" s="16" t="s">
        <v>27</v>
      </c>
      <c r="C4" s="34">
        <v>3.0</v>
      </c>
      <c r="D4" s="18">
        <v>3900.0</v>
      </c>
      <c r="E4" s="18">
        <v>0.0</v>
      </c>
      <c r="F4" s="18">
        <f t="shared" si="1"/>
        <v>3900</v>
      </c>
      <c r="G4" s="25">
        <f t="shared" si="2"/>
        <v>68.25</v>
      </c>
      <c r="H4" s="18">
        <f t="shared" si="3"/>
        <v>3831.75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14">
        <v>46207.0</v>
      </c>
      <c r="B5" s="16" t="s">
        <v>30</v>
      </c>
      <c r="C5" s="34">
        <v>3.0</v>
      </c>
      <c r="D5" s="18">
        <v>3500.0</v>
      </c>
      <c r="E5" s="18">
        <v>0.0</v>
      </c>
      <c r="F5" s="18">
        <f t="shared" si="1"/>
        <v>3500</v>
      </c>
      <c r="G5" s="25">
        <f t="shared" si="2"/>
        <v>61.25</v>
      </c>
      <c r="H5" s="18">
        <f t="shared" si="3"/>
        <v>3438.75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14">
        <v>46208.0</v>
      </c>
      <c r="B6" s="16" t="s">
        <v>32</v>
      </c>
      <c r="C6" s="34">
        <v>2.0</v>
      </c>
      <c r="D6" s="18">
        <v>5000.0</v>
      </c>
      <c r="E6" s="18">
        <v>0.0</v>
      </c>
      <c r="F6" s="18">
        <f t="shared" si="1"/>
        <v>5000</v>
      </c>
      <c r="G6" s="25">
        <f t="shared" si="2"/>
        <v>87.5</v>
      </c>
      <c r="H6" s="18">
        <f t="shared" si="3"/>
        <v>4912.5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14">
        <v>46209.0</v>
      </c>
      <c r="B7" s="16" t="s">
        <v>34</v>
      </c>
      <c r="C7" s="34">
        <v>0.0</v>
      </c>
      <c r="D7" s="18">
        <v>0.0</v>
      </c>
      <c r="E7" s="18">
        <v>0.0</v>
      </c>
      <c r="F7" s="18">
        <f t="shared" si="1"/>
        <v>0</v>
      </c>
      <c r="G7" s="25">
        <f t="shared" si="2"/>
        <v>0</v>
      </c>
      <c r="H7" s="18">
        <f t="shared" si="3"/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14">
        <v>46210.0</v>
      </c>
      <c r="B8" s="16" t="s">
        <v>37</v>
      </c>
      <c r="C8" s="34">
        <v>1.0</v>
      </c>
      <c r="D8" s="18">
        <v>1600.0</v>
      </c>
      <c r="E8" s="18">
        <v>0.0</v>
      </c>
      <c r="F8" s="18">
        <f t="shared" si="1"/>
        <v>1600</v>
      </c>
      <c r="G8" s="25">
        <f t="shared" si="2"/>
        <v>28</v>
      </c>
      <c r="H8" s="18">
        <f t="shared" si="3"/>
        <v>1572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4">
        <v>46211.0</v>
      </c>
      <c r="B9" s="16" t="s">
        <v>14</v>
      </c>
      <c r="C9" s="34">
        <v>1.0</v>
      </c>
      <c r="D9" s="18">
        <v>1500.0</v>
      </c>
      <c r="E9" s="18">
        <v>0.0</v>
      </c>
      <c r="F9" s="18">
        <f t="shared" si="1"/>
        <v>1500</v>
      </c>
      <c r="G9" s="25">
        <f t="shared" si="2"/>
        <v>26.25</v>
      </c>
      <c r="H9" s="18">
        <f t="shared" si="3"/>
        <v>1473.75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14">
        <v>46212.0</v>
      </c>
      <c r="B10" s="16" t="s">
        <v>23</v>
      </c>
      <c r="C10" s="34">
        <v>1.0</v>
      </c>
      <c r="D10" s="18">
        <v>1200.0</v>
      </c>
      <c r="E10" s="18">
        <v>0.0</v>
      </c>
      <c r="F10" s="18">
        <f t="shared" si="1"/>
        <v>1200</v>
      </c>
      <c r="G10" s="25">
        <f t="shared" si="2"/>
        <v>21</v>
      </c>
      <c r="H10" s="18">
        <f t="shared" si="3"/>
        <v>1179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14">
        <v>46213.0</v>
      </c>
      <c r="B11" s="16" t="s">
        <v>27</v>
      </c>
      <c r="C11" s="34">
        <v>2.0</v>
      </c>
      <c r="D11" s="18">
        <v>2200.0</v>
      </c>
      <c r="E11" s="18">
        <v>0.0</v>
      </c>
      <c r="F11" s="18">
        <f t="shared" si="1"/>
        <v>2200</v>
      </c>
      <c r="G11" s="25">
        <f t="shared" si="2"/>
        <v>38.5</v>
      </c>
      <c r="H11" s="18">
        <f t="shared" si="3"/>
        <v>2161.5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14">
        <v>46214.0</v>
      </c>
      <c r="B12" s="16" t="s">
        <v>30</v>
      </c>
      <c r="C12" s="34">
        <v>1.0</v>
      </c>
      <c r="D12" s="18">
        <v>1600.0</v>
      </c>
      <c r="E12" s="18">
        <v>0.0</v>
      </c>
      <c r="F12" s="18">
        <f t="shared" si="1"/>
        <v>1600</v>
      </c>
      <c r="G12" s="25">
        <f t="shared" si="2"/>
        <v>28</v>
      </c>
      <c r="H12" s="18">
        <f t="shared" si="3"/>
        <v>1572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14">
        <v>46215.0</v>
      </c>
      <c r="B13" s="16" t="s">
        <v>32</v>
      </c>
      <c r="C13" s="34">
        <v>10.5</v>
      </c>
      <c r="D13" s="18">
        <v>6500.0</v>
      </c>
      <c r="E13" s="18">
        <v>0.0</v>
      </c>
      <c r="F13" s="18">
        <f t="shared" si="1"/>
        <v>6500</v>
      </c>
      <c r="G13" s="25">
        <f t="shared" si="2"/>
        <v>113.75</v>
      </c>
      <c r="H13" s="18">
        <f t="shared" si="3"/>
        <v>6386.25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14">
        <v>46216.0</v>
      </c>
      <c r="B14" s="16" t="s">
        <v>34</v>
      </c>
      <c r="C14" s="34">
        <v>0.0</v>
      </c>
      <c r="D14" s="18">
        <v>0.0</v>
      </c>
      <c r="E14" s="18">
        <v>0.0</v>
      </c>
      <c r="F14" s="18">
        <f t="shared" si="1"/>
        <v>0</v>
      </c>
      <c r="G14" s="25">
        <f t="shared" si="2"/>
        <v>0</v>
      </c>
      <c r="H14" s="18">
        <f t="shared" si="3"/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14">
        <v>46217.0</v>
      </c>
      <c r="B15" s="16" t="s">
        <v>37</v>
      </c>
      <c r="C15" s="34">
        <v>0.0</v>
      </c>
      <c r="D15" s="18">
        <v>0.0</v>
      </c>
      <c r="E15" s="18">
        <v>1500.0</v>
      </c>
      <c r="F15" s="18">
        <f t="shared" si="1"/>
        <v>1500</v>
      </c>
      <c r="G15" s="25">
        <f t="shared" si="2"/>
        <v>26.25</v>
      </c>
      <c r="H15" s="18">
        <f t="shared" si="3"/>
        <v>1473.75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14">
        <v>46218.0</v>
      </c>
      <c r="B16" s="16" t="s">
        <v>14</v>
      </c>
      <c r="C16" s="34">
        <v>0.0</v>
      </c>
      <c r="D16" s="18">
        <v>0.0</v>
      </c>
      <c r="E16" s="18">
        <v>0.0</v>
      </c>
      <c r="F16" s="18">
        <f t="shared" si="1"/>
        <v>0</v>
      </c>
      <c r="G16" s="25">
        <f t="shared" si="2"/>
        <v>0</v>
      </c>
      <c r="H16" s="18">
        <f t="shared" si="3"/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4">
        <v>46219.0</v>
      </c>
      <c r="B17" s="16" t="s">
        <v>23</v>
      </c>
      <c r="C17" s="34">
        <v>0.0</v>
      </c>
      <c r="D17" s="47">
        <v>0.0</v>
      </c>
      <c r="E17" s="48">
        <v>0.0</v>
      </c>
      <c r="F17" s="18">
        <f t="shared" si="1"/>
        <v>0</v>
      </c>
      <c r="G17" s="25">
        <f t="shared" si="2"/>
        <v>0</v>
      </c>
      <c r="H17" s="18">
        <f t="shared" si="3"/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14">
        <v>46220.0</v>
      </c>
      <c r="B18" s="16" t="s">
        <v>27</v>
      </c>
      <c r="C18" s="34">
        <v>0.0</v>
      </c>
      <c r="D18" s="18">
        <v>0.0</v>
      </c>
      <c r="E18" s="18">
        <v>1500.0</v>
      </c>
      <c r="F18" s="18">
        <f t="shared" si="1"/>
        <v>1500</v>
      </c>
      <c r="G18" s="25">
        <f t="shared" si="2"/>
        <v>26.25</v>
      </c>
      <c r="H18" s="18">
        <f t="shared" si="3"/>
        <v>1473.75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4">
        <v>46221.0</v>
      </c>
      <c r="B19" s="16" t="s">
        <v>30</v>
      </c>
      <c r="C19" s="34">
        <v>2.0</v>
      </c>
      <c r="D19" s="18">
        <v>2400.0</v>
      </c>
      <c r="E19" s="18">
        <v>3000.0</v>
      </c>
      <c r="F19" s="18">
        <f t="shared" si="1"/>
        <v>5400</v>
      </c>
      <c r="G19" s="25">
        <f t="shared" si="2"/>
        <v>94.5</v>
      </c>
      <c r="H19" s="18">
        <f t="shared" si="3"/>
        <v>5305.5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14">
        <v>46222.0</v>
      </c>
      <c r="B20" s="16" t="s">
        <v>32</v>
      </c>
      <c r="C20" s="34">
        <v>10.5</v>
      </c>
      <c r="D20" s="18">
        <v>6000.0</v>
      </c>
      <c r="E20" s="18">
        <v>1500.0</v>
      </c>
      <c r="F20" s="18">
        <f t="shared" si="1"/>
        <v>7500</v>
      </c>
      <c r="G20" s="25">
        <f t="shared" si="2"/>
        <v>131.25</v>
      </c>
      <c r="H20" s="18">
        <f t="shared" si="3"/>
        <v>7368.75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14">
        <v>46223.0</v>
      </c>
      <c r="B21" s="16" t="s">
        <v>34</v>
      </c>
      <c r="C21" s="34">
        <v>0.0</v>
      </c>
      <c r="D21" s="18">
        <v>0.0</v>
      </c>
      <c r="E21" s="18">
        <v>0.0</v>
      </c>
      <c r="F21" s="18">
        <f t="shared" si="1"/>
        <v>0</v>
      </c>
      <c r="G21" s="25">
        <f t="shared" si="2"/>
        <v>0</v>
      </c>
      <c r="H21" s="18">
        <f t="shared" si="3"/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14">
        <v>46224.0</v>
      </c>
      <c r="B22" s="16" t="s">
        <v>37</v>
      </c>
      <c r="C22" s="34">
        <v>0.0</v>
      </c>
      <c r="D22" s="18">
        <v>0.0</v>
      </c>
      <c r="E22" s="18">
        <v>0.0</v>
      </c>
      <c r="F22" s="18">
        <f t="shared" si="1"/>
        <v>0</v>
      </c>
      <c r="G22" s="25">
        <f t="shared" si="2"/>
        <v>0</v>
      </c>
      <c r="H22" s="18">
        <f t="shared" si="3"/>
        <v>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14">
        <v>46225.0</v>
      </c>
      <c r="B23" s="16" t="s">
        <v>14</v>
      </c>
      <c r="C23" s="34">
        <v>2.0</v>
      </c>
      <c r="D23" s="18">
        <v>2400.0</v>
      </c>
      <c r="E23" s="18">
        <v>0.0</v>
      </c>
      <c r="F23" s="18">
        <f t="shared" si="1"/>
        <v>2400</v>
      </c>
      <c r="G23" s="25">
        <f t="shared" si="2"/>
        <v>42</v>
      </c>
      <c r="H23" s="18">
        <f t="shared" si="3"/>
        <v>2358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14">
        <v>46226.0</v>
      </c>
      <c r="B24" s="16" t="s">
        <v>23</v>
      </c>
      <c r="C24" s="34">
        <v>1.0</v>
      </c>
      <c r="D24" s="18">
        <v>1600.0</v>
      </c>
      <c r="E24" s="18">
        <v>0.0</v>
      </c>
      <c r="F24" s="18">
        <f t="shared" si="1"/>
        <v>1600</v>
      </c>
      <c r="G24" s="25">
        <f t="shared" si="2"/>
        <v>28</v>
      </c>
      <c r="H24" s="18">
        <f t="shared" si="3"/>
        <v>1572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14">
        <v>46227.0</v>
      </c>
      <c r="B25" s="16" t="s">
        <v>27</v>
      </c>
      <c r="C25" s="34">
        <v>1.0</v>
      </c>
      <c r="D25" s="18">
        <v>1500.0</v>
      </c>
      <c r="E25" s="18">
        <v>3000.0</v>
      </c>
      <c r="F25" s="18">
        <f t="shared" si="1"/>
        <v>4500</v>
      </c>
      <c r="G25" s="25">
        <f t="shared" si="2"/>
        <v>78.75</v>
      </c>
      <c r="H25" s="18">
        <f t="shared" si="3"/>
        <v>4421.25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4">
        <v>46228.0</v>
      </c>
      <c r="B26" s="16" t="s">
        <v>30</v>
      </c>
      <c r="C26" s="34">
        <v>0.0</v>
      </c>
      <c r="D26" s="18">
        <v>0.0</v>
      </c>
      <c r="E26" s="18">
        <v>3000.0</v>
      </c>
      <c r="F26" s="18">
        <f t="shared" si="1"/>
        <v>3000</v>
      </c>
      <c r="G26" s="25">
        <f t="shared" si="2"/>
        <v>52.5</v>
      </c>
      <c r="H26" s="18">
        <f t="shared" si="3"/>
        <v>2947.5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4">
        <v>46229.0</v>
      </c>
      <c r="B27" s="16" t="s">
        <v>32</v>
      </c>
      <c r="C27" s="34">
        <v>3.0</v>
      </c>
      <c r="D27" s="18">
        <v>4200.0</v>
      </c>
      <c r="E27" s="18">
        <v>3500.0</v>
      </c>
      <c r="F27" s="18">
        <f t="shared" si="1"/>
        <v>7700</v>
      </c>
      <c r="G27" s="25">
        <f t="shared" si="2"/>
        <v>134.75</v>
      </c>
      <c r="H27" s="18">
        <f t="shared" si="3"/>
        <v>7565.25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4">
        <v>46230.0</v>
      </c>
      <c r="B28" s="16" t="s">
        <v>34</v>
      </c>
      <c r="C28" s="34">
        <v>0.0</v>
      </c>
      <c r="D28" s="18">
        <v>0.0</v>
      </c>
      <c r="E28" s="18">
        <v>0.0</v>
      </c>
      <c r="F28" s="18">
        <f t="shared" si="1"/>
        <v>0</v>
      </c>
      <c r="G28" s="25">
        <f t="shared" si="2"/>
        <v>0</v>
      </c>
      <c r="H28" s="18">
        <f t="shared" si="3"/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4">
        <v>46231.0</v>
      </c>
      <c r="B29" s="16" t="s">
        <v>37</v>
      </c>
      <c r="C29" s="34">
        <v>0.0</v>
      </c>
      <c r="D29" s="18">
        <v>0.0</v>
      </c>
      <c r="E29" s="18">
        <v>0.0</v>
      </c>
      <c r="F29" s="18">
        <f t="shared" si="1"/>
        <v>0</v>
      </c>
      <c r="G29" s="25">
        <f t="shared" si="2"/>
        <v>0</v>
      </c>
      <c r="H29" s="18">
        <f t="shared" si="3"/>
        <v>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4">
        <v>46232.0</v>
      </c>
      <c r="B30" s="16" t="s">
        <v>14</v>
      </c>
      <c r="C30" s="34">
        <v>1.0</v>
      </c>
      <c r="D30" s="18">
        <v>1500.0</v>
      </c>
      <c r="E30" s="18">
        <v>1500.0</v>
      </c>
      <c r="F30" s="18">
        <f t="shared" si="1"/>
        <v>3000</v>
      </c>
      <c r="G30" s="25">
        <f t="shared" si="2"/>
        <v>52.5</v>
      </c>
      <c r="H30" s="18">
        <f t="shared" si="3"/>
        <v>2947.5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14">
        <v>46233.0</v>
      </c>
      <c r="B31" s="16" t="s">
        <v>23</v>
      </c>
      <c r="C31" s="17">
        <v>0.0</v>
      </c>
      <c r="D31" s="53">
        <v>0.0</v>
      </c>
      <c r="E31" s="18">
        <v>0.0</v>
      </c>
      <c r="F31" s="18">
        <f t="shared" si="1"/>
        <v>0</v>
      </c>
      <c r="G31" s="25">
        <f t="shared" si="2"/>
        <v>0</v>
      </c>
      <c r="H31" s="18">
        <f t="shared" si="3"/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4">
        <v>46234.0</v>
      </c>
      <c r="B32" s="16" t="s">
        <v>27</v>
      </c>
      <c r="C32" s="17">
        <v>2.0</v>
      </c>
      <c r="D32" s="53">
        <v>2400.0</v>
      </c>
      <c r="E32" s="18">
        <v>1500.0</v>
      </c>
      <c r="F32" s="18">
        <f t="shared" si="1"/>
        <v>3900</v>
      </c>
      <c r="G32" s="25">
        <f t="shared" si="2"/>
        <v>68.25</v>
      </c>
      <c r="H32" s="18">
        <f t="shared" si="3"/>
        <v>3831.75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2" t="s">
        <v>22</v>
      </c>
      <c r="B33" s="51"/>
      <c r="C33" s="54"/>
      <c r="D33" s="45">
        <f t="shared" ref="D33:H33" si="4">SUM(D1:D32)</f>
        <v>52600</v>
      </c>
      <c r="E33" s="45">
        <f t="shared" si="4"/>
        <v>20000</v>
      </c>
      <c r="F33" s="45">
        <f t="shared" si="4"/>
        <v>72600</v>
      </c>
      <c r="G33" s="45">
        <f t="shared" si="4"/>
        <v>1270.5</v>
      </c>
      <c r="H33" s="45">
        <f t="shared" si="4"/>
        <v>71329.5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55"/>
      <c r="B34" s="5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36" t="s">
        <v>1</v>
      </c>
      <c r="B1" s="8" t="s">
        <v>4</v>
      </c>
      <c r="C1" s="8" t="s">
        <v>41</v>
      </c>
      <c r="D1" s="8" t="s">
        <v>42</v>
      </c>
      <c r="E1" s="38" t="s">
        <v>43</v>
      </c>
      <c r="F1" s="8" t="s">
        <v>13</v>
      </c>
      <c r="G1" s="40" t="s">
        <v>18</v>
      </c>
      <c r="H1" s="40" t="s">
        <v>17</v>
      </c>
      <c r="I1" s="8" t="s">
        <v>46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41"/>
      <c r="B2" s="43" t="s">
        <v>0</v>
      </c>
      <c r="C2" s="44">
        <v>3450.0</v>
      </c>
      <c r="D2" s="44">
        <v>241.0</v>
      </c>
      <c r="E2" s="44">
        <v>43.0</v>
      </c>
      <c r="F2" s="18">
        <f>C2-D2-E2</f>
        <v>3166</v>
      </c>
      <c r="G2" s="44">
        <v>17.0</v>
      </c>
      <c r="H2" s="44">
        <v>3.0</v>
      </c>
      <c r="I2" s="44">
        <f>F2-G2-H2</f>
        <v>3146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1"/>
      <c r="B3" s="50"/>
      <c r="C3" s="50"/>
      <c r="D3" s="50"/>
      <c r="E3" s="50"/>
      <c r="F3" s="50"/>
      <c r="G3" s="50"/>
      <c r="H3" s="50"/>
      <c r="I3" s="5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1"/>
      <c r="B4" s="12" t="s">
        <v>22</v>
      </c>
      <c r="C4" s="45">
        <f>SUM(C2:C3)</f>
        <v>3450</v>
      </c>
      <c r="D4" s="51"/>
      <c r="E4" s="51"/>
      <c r="F4" s="45">
        <f>SUM(F2:F3)</f>
        <v>3166</v>
      </c>
      <c r="G4" s="51"/>
      <c r="H4" s="51"/>
      <c r="I4" s="45">
        <f>SUM(I2:I3)</f>
        <v>3146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2"/>
      <c r="B5" s="52"/>
      <c r="C5" s="52"/>
      <c r="D5" s="52"/>
      <c r="E5" s="52"/>
      <c r="F5" s="52"/>
      <c r="G5" s="52"/>
      <c r="H5" s="5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2"/>
      <c r="B6" s="52"/>
      <c r="C6" s="52"/>
      <c r="D6" s="52"/>
      <c r="E6" s="52"/>
      <c r="F6" s="52"/>
      <c r="G6" s="52"/>
      <c r="H6" s="5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2"/>
      <c r="B7" s="52"/>
      <c r="C7" s="52"/>
      <c r="D7" s="52"/>
      <c r="E7" s="52"/>
      <c r="F7" s="52"/>
      <c r="G7" s="52"/>
      <c r="H7" s="5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13" t="s">
        <v>1</v>
      </c>
      <c r="B1" s="15" t="s">
        <v>4</v>
      </c>
      <c r="C1" s="15" t="s">
        <v>15</v>
      </c>
      <c r="D1" s="15" t="s">
        <v>16</v>
      </c>
      <c r="E1" s="15" t="s">
        <v>13</v>
      </c>
      <c r="F1" s="15" t="s">
        <v>17</v>
      </c>
      <c r="G1" s="15" t="s">
        <v>18</v>
      </c>
      <c r="H1" s="15" t="s">
        <v>3</v>
      </c>
    </row>
    <row r="2">
      <c r="A2" s="19"/>
      <c r="B2" s="19" t="s">
        <v>0</v>
      </c>
      <c r="C2" s="21">
        <v>6000.0</v>
      </c>
      <c r="D2" s="21">
        <v>300.0</v>
      </c>
      <c r="E2" s="23">
        <f>C2-D2</f>
        <v>5700</v>
      </c>
      <c r="F2" s="21">
        <v>5.0</v>
      </c>
      <c r="G2" s="21">
        <v>0.0</v>
      </c>
      <c r="H2" s="26">
        <f>E2-F2</f>
        <v>5695</v>
      </c>
    </row>
    <row r="3">
      <c r="A3" s="19"/>
      <c r="B3" s="28" t="s">
        <v>22</v>
      </c>
      <c r="C3" s="31">
        <f>SUM(C2)</f>
        <v>6000</v>
      </c>
      <c r="D3" s="32"/>
      <c r="E3" s="31">
        <f>SUM(E2)</f>
        <v>5700</v>
      </c>
      <c r="F3" s="32"/>
      <c r="G3" s="32"/>
      <c r="H3" s="31">
        <f>SUM(H2)</f>
        <v>5695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0.5"/>
    <col customWidth="1" min="3" max="3" width="21.88"/>
  </cols>
  <sheetData>
    <row r="1">
      <c r="A1" s="57" t="s">
        <v>4</v>
      </c>
      <c r="B1" s="57" t="s">
        <v>60</v>
      </c>
      <c r="C1" s="57" t="s">
        <v>61</v>
      </c>
      <c r="D1" s="58" t="s">
        <v>62</v>
      </c>
      <c r="E1" s="57" t="s">
        <v>63</v>
      </c>
    </row>
    <row r="2">
      <c r="A2" s="59" t="s">
        <v>64</v>
      </c>
      <c r="B2" s="59" t="s">
        <v>65</v>
      </c>
      <c r="C2" s="59" t="s">
        <v>66</v>
      </c>
      <c r="D2" s="60" t="s">
        <v>67</v>
      </c>
      <c r="E2" s="60">
        <v>6000.0</v>
      </c>
    </row>
    <row r="3">
      <c r="A3" s="59" t="s">
        <v>64</v>
      </c>
      <c r="B3" s="59" t="s">
        <v>65</v>
      </c>
      <c r="C3" s="59" t="s">
        <v>66</v>
      </c>
      <c r="D3" s="60" t="s">
        <v>68</v>
      </c>
      <c r="E3" s="60">
        <v>3800.0</v>
      </c>
    </row>
    <row r="4">
      <c r="A4" s="9" t="s">
        <v>22</v>
      </c>
      <c r="B4" s="22"/>
      <c r="C4" s="22"/>
      <c r="D4" s="61"/>
      <c r="E4" s="61">
        <f>SUM(E2,E3)</f>
        <v>9800</v>
      </c>
    </row>
  </sheetData>
  <drawing r:id="rId1"/>
</worksheet>
</file>