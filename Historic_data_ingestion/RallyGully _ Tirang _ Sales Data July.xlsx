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Offline &amp; RG Community" sheetId="2" r:id="rId6"/>
    <sheet state="visible" name="District" sheetId="3" r:id="rId7"/>
    <sheet state="visible" name="Social EventsTournaments" sheetId="4" r:id="rId8"/>
    <sheet state="visible" name="Academy" sheetId="5" r:id="rId9"/>
  </sheets>
  <definedNames/>
  <calcPr/>
</workbook>
</file>

<file path=xl/sharedStrings.xml><?xml version="1.0" encoding="utf-8"?>
<sst xmlns="http://schemas.openxmlformats.org/spreadsheetml/2006/main" count="113" uniqueCount="65">
  <si>
    <t>Link</t>
  </si>
  <si>
    <t>Date</t>
  </si>
  <si>
    <t>Sport</t>
  </si>
  <si>
    <t>1 - 31 July</t>
  </si>
  <si>
    <t>Type</t>
  </si>
  <si>
    <t>Amt</t>
  </si>
  <si>
    <t>Day</t>
  </si>
  <si>
    <t>Post Comission</t>
  </si>
  <si>
    <t>Offline booking hours</t>
  </si>
  <si>
    <t>Payment Gateway</t>
  </si>
  <si>
    <t>Net Revenue</t>
  </si>
  <si>
    <t xml:space="preserve">TDS </t>
  </si>
  <si>
    <t>Booking Revenue</t>
  </si>
  <si>
    <t>Final Amount (₹)</t>
  </si>
  <si>
    <t>Community Revenue</t>
  </si>
  <si>
    <t>Notes</t>
  </si>
  <si>
    <t xml:space="preserve">Paddle Rental </t>
  </si>
  <si>
    <t>F&amp;B</t>
  </si>
  <si>
    <t>Particulars</t>
  </si>
  <si>
    <t>Total Revenue</t>
  </si>
  <si>
    <t>Amount</t>
  </si>
  <si>
    <t>Pickleball</t>
  </si>
  <si>
    <t>DUPR</t>
  </si>
  <si>
    <t>Wednesday</t>
  </si>
  <si>
    <t>Pay &amp; Play</t>
  </si>
  <si>
    <t>Paid to District</t>
  </si>
  <si>
    <t>Commissions (₹)</t>
  </si>
  <si>
    <t>GST on Commission</t>
  </si>
  <si>
    <t>TCS</t>
  </si>
  <si>
    <t>TDS</t>
  </si>
  <si>
    <t>Courtly</t>
  </si>
  <si>
    <t xml:space="preserve">Online </t>
  </si>
  <si>
    <t>Thursday</t>
  </si>
  <si>
    <t>District</t>
  </si>
  <si>
    <t>Friday</t>
  </si>
  <si>
    <t>Offline</t>
  </si>
  <si>
    <t>Saturday</t>
  </si>
  <si>
    <t>Sunday</t>
  </si>
  <si>
    <t>Hudle</t>
  </si>
  <si>
    <t>Monday</t>
  </si>
  <si>
    <t>Playo</t>
  </si>
  <si>
    <t>Khelomore</t>
  </si>
  <si>
    <t>Tuesday</t>
  </si>
  <si>
    <t>Total</t>
  </si>
  <si>
    <t>Zplys</t>
  </si>
  <si>
    <t>Bookings</t>
  </si>
  <si>
    <t>Memberships</t>
  </si>
  <si>
    <t>Community</t>
  </si>
  <si>
    <t>Pickup games</t>
  </si>
  <si>
    <t>Social Events/Tournaments</t>
  </si>
  <si>
    <t>Academy</t>
  </si>
  <si>
    <t>Events &amp; Partnership</t>
  </si>
  <si>
    <t>Corporate events</t>
  </si>
  <si>
    <t>All B2B partnerships</t>
  </si>
  <si>
    <t>Commerce</t>
  </si>
  <si>
    <t>Product rental</t>
  </si>
  <si>
    <t>Product sales</t>
  </si>
  <si>
    <t>Other Income</t>
  </si>
  <si>
    <t>Total Gross Revenue</t>
  </si>
  <si>
    <t>GST (B)</t>
  </si>
  <si>
    <t>Commissions, Payment gateway &amp; Event Expense(C)</t>
  </si>
  <si>
    <t>Net Revenue (A-B-C)</t>
  </si>
  <si>
    <t>Sports</t>
  </si>
  <si>
    <t>Month</t>
  </si>
  <si>
    <t>July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</si>
</sst>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[$₹]#,##0"/>
    <numFmt numFmtId="165" formatCode="[$₹]#,##0.00"/>
    <numFmt numFmtId="166" formatCode="[$₹]#,##0.0"/>
    <numFmt numFmtId="167" formatCode="d mmmm"/>
    <numFmt numFmtId="168" formatCode="[&gt;9999999][$₹]##\,##\,##\,##0;[&gt;99999][$₹]##\,##\,##0;[$₹]##,##0"/>
    <numFmt numFmtId="169" formatCode="d mmm"/>
  </numFmts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/>
    <font>
      <color theme="1"/>
      <name val="Arial"/>
    </font>
    <font>
      <b/>
      <u/>
      <color rgb="FF0000FF"/>
      <name val="Arial"/>
    </font>
    <font>
      <b/>
      <sz val="11.0"/>
      <color theme="1"/>
      <name val="Calibri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vertical="bottom"/>
    </xf>
    <xf borderId="1" fillId="2" fontId="2" numFmtId="164" xfId="0" applyAlignment="1" applyBorder="1" applyFill="1" applyFont="1" applyNumberFormat="1">
      <alignment horizontal="center" vertical="bottom"/>
    </xf>
    <xf borderId="1" fillId="2" fontId="2" numFmtId="0" xfId="0" applyAlignment="1" applyBorder="1" applyFill="1" applyFont="1">
      <alignment horizontal="center" vertical="bottom"/>
    </xf>
    <xf borderId="1" fillId="2" fontId="2" numFmtId="165" xfId="0" applyAlignment="1" applyBorder="1" applyFill="1" applyFont="1" applyNumberFormat="1">
      <alignment horizontal="center" vertical="bottom"/>
    </xf>
    <xf borderId="2" fillId="2" fontId="2" numFmtId="0" xfId="0" applyAlignment="1" applyBorder="1" applyFill="1" applyFont="1">
      <alignment horizontal="center" readingOrder="0" vertical="bottom"/>
    </xf>
    <xf borderId="1" fillId="2" fontId="2" numFmtId="3" xfId="0" applyAlignment="1" applyBorder="1" applyFill="1" applyFont="1" applyNumberFormat="1">
      <alignment horizontal="center" vertical="bottom"/>
    </xf>
    <xf borderId="3" fillId="0" fontId="3" numFmtId="0" xfId="0" applyBorder="1" applyFont="1"/>
    <xf borderId="1" fillId="2" fontId="2" numFmtId="0" xfId="0" applyAlignment="1" applyBorder="1" applyFill="1" applyFont="1">
      <alignment horizontal="center" readingOrder="0" vertical="bottom"/>
    </xf>
    <xf borderId="0" fillId="0" fontId="4" numFmtId="0" xfId="0" applyAlignment="1" applyFont="1">
      <alignment vertical="bottom"/>
    </xf>
    <xf borderId="1" fillId="0" fontId="2" numFmtId="0" xfId="0" applyAlignment="1" applyBorder="1" applyFont="1">
      <alignment horizontal="center" vertical="bottom"/>
    </xf>
    <xf borderId="1" fillId="2" fontId="2" numFmtId="166" xfId="0" applyAlignment="1" applyBorder="1" applyFill="1" applyFont="1" applyNumberFormat="1">
      <alignment vertical="bottom"/>
    </xf>
    <xf borderId="1" fillId="0" fontId="4" numFmtId="167" xfId="0" applyAlignment="1" applyBorder="1" applyFont="1" applyNumberFormat="1">
      <alignment horizontal="right" readingOrder="0" vertical="bottom"/>
    </xf>
    <xf borderId="1" fillId="0" fontId="4" numFmtId="168" xfId="0" applyAlignment="1" applyBorder="1" applyFont="1" applyNumberFormat="1">
      <alignment vertical="bottom"/>
    </xf>
    <xf borderId="1" fillId="2" fontId="2" numFmtId="0" xfId="0" applyAlignment="1" applyBorder="1" applyFill="1" applyFont="1">
      <alignment vertical="bottom"/>
    </xf>
    <xf borderId="1" fillId="2" fontId="4" numFmtId="0" xfId="0" applyAlignment="1" applyBorder="1" applyFill="1" applyFont="1">
      <alignment vertical="bottom"/>
    </xf>
    <xf borderId="1" fillId="0" fontId="4" numFmtId="168" xfId="0" applyAlignment="1" applyBorder="1" applyFont="1" applyNumberFormat="1">
      <alignment horizontal="right" readingOrder="0" vertical="bottom"/>
    </xf>
    <xf borderId="1" fillId="3" fontId="4" numFmtId="167" xfId="0" applyAlignment="1" applyBorder="1" applyFill="1" applyFont="1" applyNumberFormat="1">
      <alignment horizontal="right" vertical="bottom"/>
    </xf>
    <xf borderId="1" fillId="2" fontId="2" numFmtId="168" xfId="0" applyAlignment="1" applyBorder="1" applyFill="1" applyFont="1" applyNumberFormat="1">
      <alignment horizontal="center" vertical="bottom"/>
    </xf>
    <xf borderId="1" fillId="3" fontId="4" numFmtId="164" xfId="0" applyAlignment="1" applyBorder="1" applyFill="1" applyFont="1" applyNumberFormat="1">
      <alignment vertical="bottom"/>
    </xf>
    <xf borderId="1" fillId="2" fontId="5" numFmtId="165" xfId="0" applyAlignment="1" applyBorder="1" applyFill="1" applyFont="1" applyNumberFormat="1">
      <alignment horizontal="center" readingOrder="0" vertical="bottom"/>
    </xf>
    <xf borderId="1" fillId="3" fontId="4" numFmtId="4" xfId="0" applyAlignment="1" applyBorder="1" applyFill="1" applyFont="1" applyNumberFormat="1">
      <alignment horizontal="right" vertical="bottom"/>
    </xf>
    <xf borderId="1" fillId="0" fontId="2" numFmtId="0" xfId="0" applyAlignment="1" applyBorder="1" applyFont="1">
      <alignment vertical="bottom"/>
    </xf>
    <xf borderId="1" fillId="0" fontId="4" numFmtId="164" xfId="0" applyAlignment="1" applyBorder="1" applyFont="1" applyNumberFormat="1">
      <alignment horizontal="right" vertical="bottom"/>
    </xf>
    <xf borderId="1" fillId="0" fontId="4" numFmtId="165" xfId="0" applyAlignment="1" applyBorder="1" applyFont="1" applyNumberFormat="1">
      <alignment horizontal="right" vertical="bottom"/>
    </xf>
    <xf borderId="0" fillId="2" fontId="6" numFmtId="164" xfId="0" applyAlignment="1" applyFill="1" applyFont="1" applyNumberFormat="1">
      <alignment vertical="bottom"/>
    </xf>
    <xf borderId="0" fillId="2" fontId="2" numFmtId="164" xfId="0" applyAlignment="1" applyFill="1" applyFont="1" applyNumberFormat="1">
      <alignment horizontal="center" vertical="bottom"/>
    </xf>
    <xf borderId="1" fillId="0" fontId="4" numFmtId="168" xfId="0" applyAlignment="1" applyBorder="1" applyFont="1" applyNumberFormat="1">
      <alignment horizontal="right" vertical="bottom"/>
    </xf>
    <xf borderId="0" fillId="0" fontId="4" numFmtId="164" xfId="0" applyAlignment="1" applyFont="1" applyNumberFormat="1">
      <alignment vertical="bottom"/>
    </xf>
    <xf borderId="1" fillId="0" fontId="2" numFmtId="168" xfId="0" applyAlignment="1" applyBorder="1" applyFont="1" applyNumberFormat="1">
      <alignment horizontal="right" vertical="bottom"/>
    </xf>
    <xf borderId="1" fillId="0" fontId="4" numFmtId="165" xfId="0" applyAlignment="1" applyBorder="1" applyFont="1" applyNumberFormat="1">
      <alignment readingOrder="0" vertical="bottom"/>
    </xf>
    <xf borderId="1" fillId="0" fontId="4" numFmtId="0" xfId="0" applyAlignment="1" applyBorder="1" applyFont="1">
      <alignment readingOrder="0" vertical="bottom"/>
    </xf>
    <xf borderId="1" fillId="0" fontId="4" numFmtId="164" xfId="0" applyAlignment="1" applyBorder="1" applyFont="1" applyNumberFormat="1">
      <alignment horizontal="right" readingOrder="0" vertical="bottom"/>
    </xf>
    <xf borderId="1" fillId="0" fontId="4" numFmtId="164" xfId="0" applyAlignment="1" applyBorder="1" applyFont="1" applyNumberFormat="1">
      <alignment horizontal="right" vertical="bottom"/>
    </xf>
    <xf borderId="1" fillId="3" fontId="4" numFmtId="168" xfId="0" applyAlignment="1" applyBorder="1" applyFill="1" applyFont="1" applyNumberFormat="1">
      <alignment vertical="bottom"/>
    </xf>
    <xf borderId="1" fillId="0" fontId="4" numFmtId="165" xfId="0" applyAlignment="1" applyBorder="1" applyFont="1" applyNumberFormat="1">
      <alignment horizontal="right" readingOrder="0" vertical="bottom"/>
    </xf>
    <xf borderId="1" fillId="0" fontId="4" numFmtId="0" xfId="0" applyAlignment="1" applyBorder="1" applyFont="1">
      <alignment vertical="bottom"/>
    </xf>
    <xf borderId="1" fillId="3" fontId="4" numFmtId="164" xfId="0" applyAlignment="1" applyBorder="1" applyFill="1" applyFont="1" applyNumberFormat="1">
      <alignment horizontal="right" vertical="bottom"/>
    </xf>
    <xf borderId="1" fillId="0" fontId="4" numFmtId="4" xfId="0" applyAlignment="1" applyBorder="1" applyFont="1" applyNumberFormat="1">
      <alignment horizontal="right" vertical="bottom"/>
    </xf>
    <xf borderId="1" fillId="0" fontId="4" numFmtId="164" xfId="0" applyAlignment="1" applyBorder="1" applyFont="1" applyNumberFormat="1">
      <alignment readingOrder="0" vertical="bottom"/>
    </xf>
    <xf borderId="1" fillId="0" fontId="4" numFmtId="168" xfId="0" applyAlignment="1" applyBorder="1" applyFont="1" applyNumberFormat="1">
      <alignment readingOrder="0" vertical="bottom"/>
    </xf>
    <xf borderId="0" fillId="0" fontId="4" numFmtId="164" xfId="0" applyAlignment="1" applyFont="1" applyNumberFormat="1">
      <alignment horizontal="right" vertical="bottom"/>
    </xf>
    <xf borderId="1" fillId="0" fontId="4" numFmtId="164" xfId="0" applyAlignment="1" applyBorder="1" applyFont="1" applyNumberFormat="1">
      <alignment vertical="bottom"/>
    </xf>
    <xf borderId="1" fillId="0" fontId="7" numFmtId="0" xfId="0" applyBorder="1" applyFont="1"/>
    <xf borderId="1" fillId="0" fontId="4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1" fillId="2" fontId="2" numFmtId="164" xfId="0" applyAlignment="1" applyBorder="1" applyFill="1" applyFont="1" applyNumberFormat="1">
      <alignment vertical="bottom"/>
    </xf>
    <xf borderId="1" fillId="0" fontId="2" numFmtId="0" xfId="0" applyAlignment="1" applyBorder="1" applyFont="1">
      <alignment vertical="bottom"/>
    </xf>
    <xf borderId="1" fillId="2" fontId="2" numFmtId="0" xfId="0" applyAlignment="1" applyBorder="1" applyFill="1" applyFont="1">
      <alignment horizontal="right" vertical="bottom"/>
    </xf>
    <xf borderId="1" fillId="2" fontId="4" numFmtId="165" xfId="0" applyAlignment="1" applyBorder="1" applyFill="1" applyFont="1" applyNumberFormat="1">
      <alignment vertical="bottom"/>
    </xf>
    <xf borderId="1" fillId="2" fontId="2" numFmtId="164" xfId="0" applyAlignment="1" applyBorder="1" applyFill="1" applyFont="1" applyNumberFormat="1">
      <alignment horizontal="right" vertical="bottom"/>
    </xf>
    <xf borderId="1" fillId="2" fontId="4" numFmtId="164" xfId="0" applyAlignment="1" applyBorder="1" applyFill="1" applyFont="1" applyNumberFormat="1">
      <alignment vertical="bottom"/>
    </xf>
    <xf borderId="1" fillId="2" fontId="2" numFmtId="168" xfId="0" applyAlignment="1" applyBorder="1" applyFill="1" applyFont="1" applyNumberFormat="1">
      <alignment horizontal="right" vertical="bottom"/>
    </xf>
    <xf borderId="0" fillId="0" fontId="4" numFmtId="169" xfId="0" applyAlignment="1" applyFont="1" applyNumberFormat="1">
      <alignment vertical="bottom"/>
    </xf>
    <xf borderId="1" fillId="0" fontId="4" numFmtId="165" xfId="0" applyAlignment="1" applyBorder="1" applyFont="1" applyNumberFormat="1">
      <alignment vertical="bottom"/>
    </xf>
    <xf borderId="1" fillId="0" fontId="2" numFmtId="168" xfId="0" applyAlignment="1" applyBorder="1" applyFont="1" applyNumberFormat="1">
      <alignment horizontal="right" readingOrder="0" vertical="bottom"/>
    </xf>
    <xf borderId="0" fillId="3" fontId="7" numFmtId="0" xfId="0" applyFill="1" applyFont="1"/>
    <xf borderId="1" fillId="2" fontId="4" numFmtId="4" xfId="0" applyAlignment="1" applyBorder="1" applyFill="1" applyFont="1" applyNumberFormat="1">
      <alignment vertical="bottom"/>
    </xf>
    <xf borderId="1" fillId="0" fontId="4" numFmtId="164" xfId="0" applyAlignment="1" applyBorder="1" applyFont="1" applyNumberFormat="1">
      <alignment shrinkToFit="0" vertical="bottom" wrapText="1"/>
    </xf>
    <xf borderId="1" fillId="0" fontId="2" numFmtId="164" xfId="0" applyAlignment="1" applyBorder="1" applyFont="1" applyNumberFormat="1">
      <alignment horizontal="right" vertical="bottom"/>
    </xf>
    <xf borderId="1" fillId="0" fontId="2" numFmtId="164" xfId="0" applyAlignment="1" applyBorder="1" applyFont="1" applyNumberFormat="1">
      <alignment vertical="bottom"/>
    </xf>
    <xf borderId="1" fillId="2" fontId="1" numFmtId="0" xfId="0" applyAlignment="1" applyBorder="1" applyFill="1" applyFont="1">
      <alignment readingOrder="0"/>
    </xf>
    <xf borderId="1" fillId="0" fontId="7" numFmtId="0" xfId="0" applyAlignment="1" applyBorder="1" applyFont="1">
      <alignment readingOrder="0"/>
    </xf>
    <xf borderId="1" fillId="0" fontId="7" numFmtId="165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l8XAPqTQImJzgLC_EYuJBkOsiyb7tiqsQOktsnv9_Ss/edit?usp=sharing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32.0"/>
  </cols>
  <sheetData>
    <row r="1">
      <c r="A1" s="1"/>
    </row>
    <row r="2">
      <c r="B2" s="6" t="s">
        <v>3</v>
      </c>
      <c r="C2" s="8"/>
    </row>
    <row r="3">
      <c r="B3" s="11" t="s">
        <v>18</v>
      </c>
      <c r="C3" s="11" t="s">
        <v>20</v>
      </c>
      <c r="E3" s="10"/>
    </row>
    <row r="4">
      <c r="B4" s="16"/>
      <c r="C4" s="19" t="s">
        <v>21</v>
      </c>
      <c r="E4" s="10"/>
    </row>
    <row r="5">
      <c r="B5" s="23" t="s">
        <v>24</v>
      </c>
      <c r="C5" s="30">
        <f>sum(C6,C12)</f>
        <v>173433</v>
      </c>
      <c r="E5" s="10"/>
    </row>
    <row r="6">
      <c r="B6" s="23" t="s">
        <v>31</v>
      </c>
      <c r="C6" s="30">
        <f>sum(C7:C11)</f>
        <v>116089</v>
      </c>
      <c r="E6" s="10"/>
    </row>
    <row r="7" outlineLevel="1">
      <c r="B7" s="37" t="s">
        <v>33</v>
      </c>
      <c r="C7" s="14">
        <f>District!C4</f>
        <v>116089</v>
      </c>
      <c r="E7" s="10"/>
    </row>
    <row r="8" outlineLevel="1">
      <c r="B8" s="37" t="s">
        <v>38</v>
      </c>
      <c r="C8" s="41">
        <v>0.0</v>
      </c>
      <c r="E8" s="10"/>
    </row>
    <row r="9" outlineLevel="1">
      <c r="B9" s="37" t="s">
        <v>40</v>
      </c>
      <c r="C9" s="41">
        <v>0.0</v>
      </c>
      <c r="E9" s="10"/>
    </row>
    <row r="10" outlineLevel="1">
      <c r="B10" s="45" t="s">
        <v>41</v>
      </c>
      <c r="C10" s="41">
        <v>0.0</v>
      </c>
      <c r="E10" s="46"/>
    </row>
    <row r="11" outlineLevel="1">
      <c r="B11" s="37" t="s">
        <v>44</v>
      </c>
      <c r="C11" s="41">
        <v>0.0</v>
      </c>
      <c r="E11" s="46"/>
    </row>
    <row r="12">
      <c r="B12" s="48" t="s">
        <v>35</v>
      </c>
      <c r="C12" s="30">
        <f>sum(C13:C14)</f>
        <v>57344</v>
      </c>
    </row>
    <row r="13" outlineLevel="1">
      <c r="B13" s="37" t="s">
        <v>45</v>
      </c>
      <c r="C13" s="14">
        <f>'Offline &amp; RG Community'!D33</f>
        <v>57344</v>
      </c>
    </row>
    <row r="14" outlineLevel="1">
      <c r="B14" s="55" t="s">
        <v>46</v>
      </c>
      <c r="C14" s="41">
        <v>0.0</v>
      </c>
      <c r="E14" s="10"/>
    </row>
    <row r="15">
      <c r="B15" s="48" t="s">
        <v>47</v>
      </c>
      <c r="C15" s="30">
        <f>sum(C16:C17)</f>
        <v>69742</v>
      </c>
      <c r="E15" s="10"/>
    </row>
    <row r="16" outlineLevel="1">
      <c r="B16" s="45" t="s">
        <v>48</v>
      </c>
      <c r="C16" s="14">
        <f>'Offline &amp; RG Community'!E33</f>
        <v>45000</v>
      </c>
      <c r="E16" s="10"/>
    </row>
    <row r="17" outlineLevel="1">
      <c r="B17" s="45" t="s">
        <v>49</v>
      </c>
      <c r="C17" s="41">
        <f>'Social EventsTournaments'!D6</f>
        <v>24742</v>
      </c>
    </row>
    <row r="18">
      <c r="B18" s="48" t="s">
        <v>50</v>
      </c>
      <c r="C18" s="56">
        <f>Academy!C2</f>
        <v>6500</v>
      </c>
      <c r="E18" s="10"/>
    </row>
    <row r="19">
      <c r="B19" s="23" t="s">
        <v>51</v>
      </c>
      <c r="C19" s="56">
        <v>0.0</v>
      </c>
    </row>
    <row r="20" outlineLevel="1">
      <c r="B20" s="37" t="s">
        <v>52</v>
      </c>
      <c r="C20" s="28">
        <v>0.0</v>
      </c>
    </row>
    <row r="21" outlineLevel="1">
      <c r="B21" s="45" t="s">
        <v>53</v>
      </c>
      <c r="C21" s="17">
        <v>0.0</v>
      </c>
    </row>
    <row r="22">
      <c r="B22" s="23" t="s">
        <v>54</v>
      </c>
      <c r="C22" s="30">
        <f>sum(C23:C25)</f>
        <v>10195</v>
      </c>
    </row>
    <row r="23" outlineLevel="1">
      <c r="B23" s="37" t="s">
        <v>55</v>
      </c>
      <c r="C23" s="28">
        <f>'Offline &amp; RG Community'!F33</f>
        <v>9775</v>
      </c>
    </row>
    <row r="24" outlineLevel="1">
      <c r="B24" s="37" t="s">
        <v>56</v>
      </c>
      <c r="C24" s="41">
        <v>0.0</v>
      </c>
    </row>
    <row r="25" outlineLevel="1">
      <c r="B25" s="37" t="s">
        <v>17</v>
      </c>
      <c r="C25" s="28">
        <f>'Offline &amp; RG Community'!G33</f>
        <v>420</v>
      </c>
    </row>
    <row r="26">
      <c r="B26" s="23" t="s">
        <v>57</v>
      </c>
      <c r="C26" s="30">
        <v>0.0</v>
      </c>
    </row>
    <row r="27">
      <c r="B27" s="15" t="s">
        <v>58</v>
      </c>
      <c r="C27" s="51">
        <f>C6+C12+C15+C18+C19+C22+C26</f>
        <v>259870</v>
      </c>
    </row>
    <row r="28">
      <c r="B28" s="59" t="s">
        <v>59</v>
      </c>
      <c r="C28" s="60">
        <f>C27-(C27/1.18)</f>
        <v>39641.18644</v>
      </c>
    </row>
    <row r="29">
      <c r="B29" s="59" t="s">
        <v>60</v>
      </c>
      <c r="C29" s="24">
        <f>'Offline &amp; RG Community'!I33+District!D2+District!E2+'Social EventsTournaments'!E6+'Social EventsTournaments'!F6+Academy!D2</f>
        <v>12879.0325</v>
      </c>
    </row>
    <row r="30">
      <c r="B30" s="61" t="s">
        <v>61</v>
      </c>
      <c r="C30" s="60">
        <f>C27-C28-C29</f>
        <v>207349.7811</v>
      </c>
    </row>
  </sheetData>
  <mergeCells count="1">
    <mergeCell ref="B2:C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6.88"/>
    <col customWidth="1" min="2" max="2" width="9.75"/>
    <col customWidth="1" min="3" max="3" width="18.25"/>
    <col customWidth="1" min="4" max="4" width="15.13"/>
    <col customWidth="1" min="5" max="5" width="17.63"/>
    <col customWidth="1" min="7" max="7" width="5.38"/>
    <col customWidth="1" min="8" max="8" width="12.25"/>
    <col customWidth="1" min="9" max="9" width="15.25"/>
    <col customWidth="1" min="10" max="10" width="11.13"/>
  </cols>
  <sheetData>
    <row r="1">
      <c r="A1" s="3" t="s">
        <v>1</v>
      </c>
      <c r="B1" s="3" t="s">
        <v>6</v>
      </c>
      <c r="C1" s="7" t="s">
        <v>8</v>
      </c>
      <c r="D1" s="3" t="s">
        <v>12</v>
      </c>
      <c r="E1" s="3" t="s">
        <v>14</v>
      </c>
      <c r="F1" s="3" t="s">
        <v>16</v>
      </c>
      <c r="G1" s="3" t="s">
        <v>17</v>
      </c>
      <c r="H1" s="3" t="s">
        <v>19</v>
      </c>
      <c r="I1" s="12" t="s">
        <v>9</v>
      </c>
      <c r="J1" s="15" t="s">
        <v>10</v>
      </c>
    </row>
    <row r="2">
      <c r="A2" s="18">
        <v>46204.0</v>
      </c>
      <c r="B2" s="20" t="s">
        <v>23</v>
      </c>
      <c r="C2" s="22">
        <v>2.5</v>
      </c>
      <c r="D2" s="24">
        <v>960.0</v>
      </c>
      <c r="E2" s="24">
        <v>600.0</v>
      </c>
      <c r="F2" s="24">
        <v>0.0</v>
      </c>
      <c r="G2" s="24">
        <v>0.0</v>
      </c>
      <c r="H2" s="24">
        <f t="shared" ref="H2:H32" si="1">sum(D2:G2)</f>
        <v>1560</v>
      </c>
      <c r="I2" s="34">
        <f t="shared" ref="I2:I32" si="2">H2*1.75%</f>
        <v>27.3</v>
      </c>
      <c r="J2" s="24">
        <f t="shared" ref="J2:J32" si="3">H2-I2</f>
        <v>1532.7</v>
      </c>
    </row>
    <row r="3">
      <c r="A3" s="18">
        <v>46205.0</v>
      </c>
      <c r="B3" s="20" t="s">
        <v>32</v>
      </c>
      <c r="C3" s="22">
        <v>2.0</v>
      </c>
      <c r="D3" s="24">
        <v>1440.0</v>
      </c>
      <c r="E3" s="24">
        <v>0.0</v>
      </c>
      <c r="F3" s="24">
        <v>250.0</v>
      </c>
      <c r="G3" s="24">
        <v>0.0</v>
      </c>
      <c r="H3" s="24">
        <f t="shared" si="1"/>
        <v>1690</v>
      </c>
      <c r="I3" s="34">
        <f t="shared" si="2"/>
        <v>29.575</v>
      </c>
      <c r="J3" s="24">
        <f t="shared" si="3"/>
        <v>1660.425</v>
      </c>
    </row>
    <row r="4">
      <c r="A4" s="18">
        <v>46206.0</v>
      </c>
      <c r="B4" s="20" t="s">
        <v>34</v>
      </c>
      <c r="C4" s="39">
        <v>5.0</v>
      </c>
      <c r="D4" s="24">
        <v>3600.0</v>
      </c>
      <c r="E4" s="24">
        <v>0.0</v>
      </c>
      <c r="F4" s="24">
        <v>350.0</v>
      </c>
      <c r="G4" s="24">
        <v>0.0</v>
      </c>
      <c r="H4" s="24">
        <f t="shared" si="1"/>
        <v>3950</v>
      </c>
      <c r="I4" s="34">
        <f t="shared" si="2"/>
        <v>69.125</v>
      </c>
      <c r="J4" s="24">
        <f t="shared" si="3"/>
        <v>3880.875</v>
      </c>
    </row>
    <row r="5">
      <c r="A5" s="18">
        <v>46207.0</v>
      </c>
      <c r="B5" s="20" t="s">
        <v>36</v>
      </c>
      <c r="C5" s="39">
        <v>3.0</v>
      </c>
      <c r="D5" s="24">
        <v>2160.0</v>
      </c>
      <c r="E5" s="24">
        <v>0.0</v>
      </c>
      <c r="F5" s="24">
        <v>650.0</v>
      </c>
      <c r="G5" s="24">
        <v>0.0</v>
      </c>
      <c r="H5" s="24">
        <f t="shared" si="1"/>
        <v>2810</v>
      </c>
      <c r="I5" s="34">
        <f t="shared" si="2"/>
        <v>49.175</v>
      </c>
      <c r="J5" s="24">
        <f t="shared" si="3"/>
        <v>2760.825</v>
      </c>
    </row>
    <row r="6">
      <c r="A6" s="18">
        <v>46208.0</v>
      </c>
      <c r="B6" s="20" t="s">
        <v>37</v>
      </c>
      <c r="C6" s="39">
        <v>6.0</v>
      </c>
      <c r="D6" s="24">
        <v>2880.0</v>
      </c>
      <c r="E6" s="24">
        <v>1600.0</v>
      </c>
      <c r="F6" s="24">
        <v>500.0</v>
      </c>
      <c r="G6" s="24">
        <v>0.0</v>
      </c>
      <c r="H6" s="24">
        <f t="shared" si="1"/>
        <v>4980</v>
      </c>
      <c r="I6" s="34">
        <f t="shared" si="2"/>
        <v>87.15</v>
      </c>
      <c r="J6" s="24">
        <f t="shared" si="3"/>
        <v>4892.85</v>
      </c>
    </row>
    <row r="7">
      <c r="A7" s="18">
        <v>46209.0</v>
      </c>
      <c r="B7" s="20" t="s">
        <v>39</v>
      </c>
      <c r="C7" s="39">
        <v>1.5</v>
      </c>
      <c r="D7" s="24">
        <v>1080.0</v>
      </c>
      <c r="E7" s="24">
        <v>2200.0</v>
      </c>
      <c r="F7" s="42">
        <v>200.0</v>
      </c>
      <c r="G7" s="24">
        <v>0.0</v>
      </c>
      <c r="H7" s="24">
        <f t="shared" si="1"/>
        <v>3480</v>
      </c>
      <c r="I7" s="34">
        <f t="shared" si="2"/>
        <v>60.9</v>
      </c>
      <c r="J7" s="24">
        <f t="shared" si="3"/>
        <v>3419.1</v>
      </c>
    </row>
    <row r="8">
      <c r="A8" s="18">
        <v>46210.0</v>
      </c>
      <c r="B8" s="20" t="s">
        <v>42</v>
      </c>
      <c r="C8" s="39">
        <v>3.0</v>
      </c>
      <c r="D8" s="24">
        <v>2160.0</v>
      </c>
      <c r="E8" s="24">
        <v>0.0</v>
      </c>
      <c r="F8" s="24">
        <v>300.0</v>
      </c>
      <c r="G8" s="24">
        <v>70.0</v>
      </c>
      <c r="H8" s="24">
        <f t="shared" si="1"/>
        <v>2530</v>
      </c>
      <c r="I8" s="34">
        <f t="shared" si="2"/>
        <v>44.275</v>
      </c>
      <c r="J8" s="24">
        <f t="shared" si="3"/>
        <v>2485.725</v>
      </c>
    </row>
    <row r="9">
      <c r="A9" s="18">
        <v>46211.0</v>
      </c>
      <c r="B9" s="20" t="s">
        <v>23</v>
      </c>
      <c r="C9" s="39">
        <v>3.5</v>
      </c>
      <c r="D9" s="24">
        <v>2400.0</v>
      </c>
      <c r="E9" s="24">
        <v>2200.0</v>
      </c>
      <c r="F9" s="42">
        <v>100.0</v>
      </c>
      <c r="G9" s="24">
        <v>0.0</v>
      </c>
      <c r="H9" s="24">
        <f t="shared" si="1"/>
        <v>4700</v>
      </c>
      <c r="I9" s="34">
        <f t="shared" si="2"/>
        <v>82.25</v>
      </c>
      <c r="J9" s="24">
        <f t="shared" si="3"/>
        <v>4617.75</v>
      </c>
    </row>
    <row r="10">
      <c r="A10" s="18">
        <v>46212.0</v>
      </c>
      <c r="B10" s="20" t="s">
        <v>32</v>
      </c>
      <c r="C10" s="39">
        <v>2.0</v>
      </c>
      <c r="D10" s="24">
        <v>1440.0</v>
      </c>
      <c r="E10" s="24">
        <v>3000.0</v>
      </c>
      <c r="F10" s="24">
        <v>350.0</v>
      </c>
      <c r="G10" s="24">
        <v>0.0</v>
      </c>
      <c r="H10" s="24">
        <f t="shared" si="1"/>
        <v>4790</v>
      </c>
      <c r="I10" s="34">
        <f t="shared" si="2"/>
        <v>83.825</v>
      </c>
      <c r="J10" s="24">
        <f t="shared" si="3"/>
        <v>4706.175</v>
      </c>
    </row>
    <row r="11">
      <c r="A11" s="18">
        <v>46213.0</v>
      </c>
      <c r="B11" s="20" t="s">
        <v>34</v>
      </c>
      <c r="C11" s="39">
        <v>0.5</v>
      </c>
      <c r="D11" s="24">
        <v>460.0</v>
      </c>
      <c r="E11" s="24">
        <v>1400.0</v>
      </c>
      <c r="F11" s="24">
        <v>625.0</v>
      </c>
      <c r="G11" s="24">
        <v>0.0</v>
      </c>
      <c r="H11" s="24">
        <f t="shared" si="1"/>
        <v>2485</v>
      </c>
      <c r="I11" s="34">
        <f t="shared" si="2"/>
        <v>43.4875</v>
      </c>
      <c r="J11" s="24">
        <f t="shared" si="3"/>
        <v>2441.5125</v>
      </c>
    </row>
    <row r="12">
      <c r="A12" s="18">
        <v>46214.0</v>
      </c>
      <c r="B12" s="20" t="s">
        <v>36</v>
      </c>
      <c r="C12" s="39">
        <v>4.0</v>
      </c>
      <c r="D12" s="24">
        <v>2985.0</v>
      </c>
      <c r="E12" s="24">
        <v>1400.0</v>
      </c>
      <c r="F12" s="24">
        <v>700.0</v>
      </c>
      <c r="G12" s="24">
        <v>0.0</v>
      </c>
      <c r="H12" s="24">
        <f t="shared" si="1"/>
        <v>5085</v>
      </c>
      <c r="I12" s="34">
        <f t="shared" si="2"/>
        <v>88.9875</v>
      </c>
      <c r="J12" s="24">
        <f t="shared" si="3"/>
        <v>4996.0125</v>
      </c>
    </row>
    <row r="13">
      <c r="A13" s="18">
        <v>46215.0</v>
      </c>
      <c r="B13" s="20" t="s">
        <v>37</v>
      </c>
      <c r="C13" s="39">
        <v>0.0</v>
      </c>
      <c r="D13" s="24">
        <v>0.0</v>
      </c>
      <c r="E13" s="24">
        <v>0.0</v>
      </c>
      <c r="F13" s="24">
        <v>200.0</v>
      </c>
      <c r="G13" s="24">
        <v>0.0</v>
      </c>
      <c r="H13" s="24">
        <f t="shared" si="1"/>
        <v>200</v>
      </c>
      <c r="I13" s="34">
        <f t="shared" si="2"/>
        <v>3.5</v>
      </c>
      <c r="J13" s="24">
        <f t="shared" si="3"/>
        <v>196.5</v>
      </c>
    </row>
    <row r="14">
      <c r="A14" s="18">
        <v>46216.0</v>
      </c>
      <c r="B14" s="20" t="s">
        <v>39</v>
      </c>
      <c r="C14" s="39">
        <v>1.0</v>
      </c>
      <c r="D14" s="24">
        <v>720.0</v>
      </c>
      <c r="E14" s="24">
        <v>1600.0</v>
      </c>
      <c r="F14" s="24">
        <v>250.0</v>
      </c>
      <c r="G14" s="24">
        <v>0.0</v>
      </c>
      <c r="H14" s="24">
        <f t="shared" si="1"/>
        <v>2570</v>
      </c>
      <c r="I14" s="34">
        <f t="shared" si="2"/>
        <v>44.975</v>
      </c>
      <c r="J14" s="24">
        <f t="shared" si="3"/>
        <v>2525.025</v>
      </c>
    </row>
    <row r="15">
      <c r="A15" s="18">
        <v>46217.0</v>
      </c>
      <c r="B15" s="20" t="s">
        <v>42</v>
      </c>
      <c r="C15" s="39">
        <v>1.0</v>
      </c>
      <c r="D15" s="24">
        <v>720.0</v>
      </c>
      <c r="E15" s="24">
        <v>800.0</v>
      </c>
      <c r="F15" s="24">
        <v>200.0</v>
      </c>
      <c r="G15" s="24">
        <v>0.0</v>
      </c>
      <c r="H15" s="24">
        <f t="shared" si="1"/>
        <v>1720</v>
      </c>
      <c r="I15" s="34">
        <f t="shared" si="2"/>
        <v>30.1</v>
      </c>
      <c r="J15" s="24">
        <f t="shared" si="3"/>
        <v>1689.9</v>
      </c>
    </row>
    <row r="16">
      <c r="A16" s="18">
        <v>46218.0</v>
      </c>
      <c r="B16" s="20" t="s">
        <v>23</v>
      </c>
      <c r="C16" s="39">
        <v>3.5</v>
      </c>
      <c r="D16" s="24">
        <v>2600.0</v>
      </c>
      <c r="E16" s="24">
        <v>2000.0</v>
      </c>
      <c r="F16" s="24">
        <v>250.0</v>
      </c>
      <c r="G16" s="24">
        <v>70.0</v>
      </c>
      <c r="H16" s="24">
        <f t="shared" si="1"/>
        <v>4920</v>
      </c>
      <c r="I16" s="34">
        <f t="shared" si="2"/>
        <v>86.1</v>
      </c>
      <c r="J16" s="24">
        <f t="shared" si="3"/>
        <v>4833.9</v>
      </c>
    </row>
    <row r="17">
      <c r="A17" s="18">
        <v>46219.0</v>
      </c>
      <c r="B17" s="20" t="s">
        <v>32</v>
      </c>
      <c r="C17" s="39">
        <v>4.0</v>
      </c>
      <c r="D17" s="42">
        <v>2880.0</v>
      </c>
      <c r="E17" s="24">
        <v>2200.0</v>
      </c>
      <c r="F17" s="24">
        <v>200.0</v>
      </c>
      <c r="G17" s="24">
        <v>70.0</v>
      </c>
      <c r="H17" s="24">
        <f t="shared" si="1"/>
        <v>5350</v>
      </c>
      <c r="I17" s="34">
        <f t="shared" si="2"/>
        <v>93.625</v>
      </c>
      <c r="J17" s="24">
        <f t="shared" si="3"/>
        <v>5256.375</v>
      </c>
    </row>
    <row r="18">
      <c r="A18" s="18">
        <v>46220.0</v>
      </c>
      <c r="B18" s="20" t="s">
        <v>34</v>
      </c>
      <c r="C18" s="39">
        <v>1.0</v>
      </c>
      <c r="D18" s="24">
        <v>720.0</v>
      </c>
      <c r="E18" s="24">
        <v>1600.0</v>
      </c>
      <c r="F18" s="24">
        <v>250.0</v>
      </c>
      <c r="G18" s="24">
        <v>0.0</v>
      </c>
      <c r="H18" s="24">
        <f t="shared" si="1"/>
        <v>2570</v>
      </c>
      <c r="I18" s="34">
        <f t="shared" si="2"/>
        <v>44.975</v>
      </c>
      <c r="J18" s="24">
        <f t="shared" si="3"/>
        <v>2525.025</v>
      </c>
    </row>
    <row r="19">
      <c r="A19" s="18">
        <v>46221.0</v>
      </c>
      <c r="B19" s="20" t="s">
        <v>36</v>
      </c>
      <c r="C19" s="39">
        <v>5.5</v>
      </c>
      <c r="D19" s="24">
        <v>3960.0</v>
      </c>
      <c r="E19" s="24">
        <v>1600.0</v>
      </c>
      <c r="F19" s="24">
        <v>500.0</v>
      </c>
      <c r="G19" s="24">
        <v>0.0</v>
      </c>
      <c r="H19" s="24">
        <f t="shared" si="1"/>
        <v>6060</v>
      </c>
      <c r="I19" s="34">
        <f t="shared" si="2"/>
        <v>106.05</v>
      </c>
      <c r="J19" s="24">
        <f t="shared" si="3"/>
        <v>5953.95</v>
      </c>
    </row>
    <row r="20">
      <c r="A20" s="18">
        <v>46222.0</v>
      </c>
      <c r="B20" s="20" t="s">
        <v>37</v>
      </c>
      <c r="C20" s="39">
        <v>2.5</v>
      </c>
      <c r="D20" s="24">
        <v>1720.0</v>
      </c>
      <c r="E20" s="24">
        <v>0.0</v>
      </c>
      <c r="F20" s="24">
        <v>0.0</v>
      </c>
      <c r="G20" s="24">
        <v>70.0</v>
      </c>
      <c r="H20" s="24">
        <f t="shared" si="1"/>
        <v>1790</v>
      </c>
      <c r="I20" s="34">
        <f t="shared" si="2"/>
        <v>31.325</v>
      </c>
      <c r="J20" s="24">
        <f t="shared" si="3"/>
        <v>1758.675</v>
      </c>
    </row>
    <row r="21">
      <c r="A21" s="18">
        <v>46223.0</v>
      </c>
      <c r="B21" s="20" t="s">
        <v>39</v>
      </c>
      <c r="C21" s="39">
        <v>0.0</v>
      </c>
      <c r="D21" s="24">
        <v>0.0</v>
      </c>
      <c r="E21" s="24">
        <v>800.0</v>
      </c>
      <c r="F21" s="24">
        <v>0.0</v>
      </c>
      <c r="G21" s="24">
        <v>70.0</v>
      </c>
      <c r="H21" s="24">
        <f t="shared" si="1"/>
        <v>870</v>
      </c>
      <c r="I21" s="34">
        <f t="shared" si="2"/>
        <v>15.225</v>
      </c>
      <c r="J21" s="24">
        <f t="shared" si="3"/>
        <v>854.775</v>
      </c>
    </row>
    <row r="22">
      <c r="A22" s="18">
        <v>46224.0</v>
      </c>
      <c r="B22" s="20" t="s">
        <v>42</v>
      </c>
      <c r="C22" s="39">
        <v>2.5</v>
      </c>
      <c r="D22" s="24">
        <v>1600.0</v>
      </c>
      <c r="E22" s="24">
        <v>1400.0</v>
      </c>
      <c r="F22" s="24">
        <v>150.0</v>
      </c>
      <c r="G22" s="24">
        <v>0.0</v>
      </c>
      <c r="H22" s="24">
        <f t="shared" si="1"/>
        <v>3150</v>
      </c>
      <c r="I22" s="34">
        <f t="shared" si="2"/>
        <v>55.125</v>
      </c>
      <c r="J22" s="24">
        <f t="shared" si="3"/>
        <v>3094.875</v>
      </c>
    </row>
    <row r="23">
      <c r="A23" s="18">
        <v>46225.0</v>
      </c>
      <c r="B23" s="20" t="s">
        <v>23</v>
      </c>
      <c r="C23" s="39">
        <v>1.5</v>
      </c>
      <c r="D23" s="24">
        <v>1119.0</v>
      </c>
      <c r="E23" s="24">
        <v>800.0</v>
      </c>
      <c r="F23" s="24">
        <v>200.0</v>
      </c>
      <c r="G23" s="24">
        <v>0.0</v>
      </c>
      <c r="H23" s="24">
        <f t="shared" si="1"/>
        <v>2119</v>
      </c>
      <c r="I23" s="34">
        <f t="shared" si="2"/>
        <v>37.0825</v>
      </c>
      <c r="J23" s="24">
        <f t="shared" si="3"/>
        <v>2081.9175</v>
      </c>
    </row>
    <row r="24">
      <c r="A24" s="18">
        <v>46226.0</v>
      </c>
      <c r="B24" s="20" t="s">
        <v>32</v>
      </c>
      <c r="C24" s="39">
        <v>1.0</v>
      </c>
      <c r="D24" s="24">
        <v>800.0</v>
      </c>
      <c r="E24" s="24">
        <v>3000.0</v>
      </c>
      <c r="F24" s="24">
        <v>150.0</v>
      </c>
      <c r="G24" s="24">
        <v>0.0</v>
      </c>
      <c r="H24" s="24">
        <f t="shared" si="1"/>
        <v>3950</v>
      </c>
      <c r="I24" s="34">
        <f t="shared" si="2"/>
        <v>69.125</v>
      </c>
      <c r="J24" s="24">
        <f t="shared" si="3"/>
        <v>3880.875</v>
      </c>
    </row>
    <row r="25">
      <c r="A25" s="18">
        <v>46227.0</v>
      </c>
      <c r="B25" s="20" t="s">
        <v>34</v>
      </c>
      <c r="C25" s="39">
        <v>1.0</v>
      </c>
      <c r="D25" s="24">
        <v>640.0</v>
      </c>
      <c r="E25" s="24">
        <v>4400.0</v>
      </c>
      <c r="F25" s="24">
        <v>450.0</v>
      </c>
      <c r="G25" s="24">
        <v>0.0</v>
      </c>
      <c r="H25" s="24">
        <f t="shared" si="1"/>
        <v>5490</v>
      </c>
      <c r="I25" s="34">
        <f t="shared" si="2"/>
        <v>96.075</v>
      </c>
      <c r="J25" s="24">
        <f t="shared" si="3"/>
        <v>5393.925</v>
      </c>
    </row>
    <row r="26">
      <c r="A26" s="18">
        <v>46228.0</v>
      </c>
      <c r="B26" s="20" t="s">
        <v>36</v>
      </c>
      <c r="C26" s="39">
        <v>4.5</v>
      </c>
      <c r="D26" s="24">
        <v>3440.0</v>
      </c>
      <c r="E26" s="24">
        <v>1200.0</v>
      </c>
      <c r="F26" s="24">
        <v>700.0</v>
      </c>
      <c r="G26" s="24">
        <v>0.0</v>
      </c>
      <c r="H26" s="24">
        <f t="shared" si="1"/>
        <v>5340</v>
      </c>
      <c r="I26" s="34">
        <f t="shared" si="2"/>
        <v>93.45</v>
      </c>
      <c r="J26" s="24">
        <f t="shared" si="3"/>
        <v>5246.55</v>
      </c>
    </row>
    <row r="27">
      <c r="A27" s="18">
        <v>46229.0</v>
      </c>
      <c r="B27" s="20" t="s">
        <v>37</v>
      </c>
      <c r="C27" s="39">
        <v>5.0</v>
      </c>
      <c r="D27" s="24">
        <v>4180.0</v>
      </c>
      <c r="E27" s="24">
        <v>0.0</v>
      </c>
      <c r="F27" s="24">
        <v>300.0</v>
      </c>
      <c r="G27" s="24">
        <v>0.0</v>
      </c>
      <c r="H27" s="24">
        <f t="shared" si="1"/>
        <v>4480</v>
      </c>
      <c r="I27" s="34">
        <f t="shared" si="2"/>
        <v>78.4</v>
      </c>
      <c r="J27" s="24">
        <f t="shared" si="3"/>
        <v>4401.6</v>
      </c>
    </row>
    <row r="28">
      <c r="A28" s="18">
        <v>46230.0</v>
      </c>
      <c r="B28" s="20" t="s">
        <v>39</v>
      </c>
      <c r="C28" s="39">
        <v>3.0</v>
      </c>
      <c r="D28" s="24">
        <v>2120.0</v>
      </c>
      <c r="E28" s="24">
        <v>1600.0</v>
      </c>
      <c r="F28" s="24">
        <v>250.0</v>
      </c>
      <c r="G28" s="24">
        <v>0.0</v>
      </c>
      <c r="H28" s="24">
        <f t="shared" si="1"/>
        <v>3970</v>
      </c>
      <c r="I28" s="34">
        <f t="shared" si="2"/>
        <v>69.475</v>
      </c>
      <c r="J28" s="24">
        <f t="shared" si="3"/>
        <v>3900.525</v>
      </c>
    </row>
    <row r="29">
      <c r="A29" s="18">
        <v>46231.0</v>
      </c>
      <c r="B29" s="20" t="s">
        <v>42</v>
      </c>
      <c r="C29" s="39">
        <v>4.5</v>
      </c>
      <c r="D29" s="24">
        <v>3520.0</v>
      </c>
      <c r="E29" s="24">
        <v>800.0</v>
      </c>
      <c r="F29" s="24">
        <v>450.0</v>
      </c>
      <c r="G29" s="24">
        <v>70.0</v>
      </c>
      <c r="H29" s="24">
        <f t="shared" si="1"/>
        <v>4840</v>
      </c>
      <c r="I29" s="34">
        <f t="shared" si="2"/>
        <v>84.7</v>
      </c>
      <c r="J29" s="24">
        <f t="shared" si="3"/>
        <v>4755.3</v>
      </c>
    </row>
    <row r="30">
      <c r="A30" s="18">
        <v>46232.0</v>
      </c>
      <c r="B30" s="20" t="s">
        <v>23</v>
      </c>
      <c r="C30" s="39">
        <v>1.0</v>
      </c>
      <c r="D30" s="24">
        <v>680.0</v>
      </c>
      <c r="E30" s="24">
        <v>3600.0</v>
      </c>
      <c r="F30" s="24">
        <v>550.0</v>
      </c>
      <c r="G30" s="24">
        <v>0.0</v>
      </c>
      <c r="H30" s="24">
        <f t="shared" si="1"/>
        <v>4830</v>
      </c>
      <c r="I30" s="34">
        <f t="shared" si="2"/>
        <v>84.525</v>
      </c>
      <c r="J30" s="24">
        <f t="shared" si="3"/>
        <v>4745.475</v>
      </c>
    </row>
    <row r="31">
      <c r="A31" s="18">
        <v>46233.0</v>
      </c>
      <c r="B31" s="20" t="s">
        <v>32</v>
      </c>
      <c r="C31" s="22">
        <v>2.5</v>
      </c>
      <c r="D31" s="38">
        <v>1880.0</v>
      </c>
      <c r="E31" s="38">
        <v>2800.0</v>
      </c>
      <c r="F31" s="38">
        <v>400.0</v>
      </c>
      <c r="G31" s="38">
        <v>0.0</v>
      </c>
      <c r="H31" s="24">
        <f t="shared" si="1"/>
        <v>5080</v>
      </c>
      <c r="I31" s="34">
        <f t="shared" si="2"/>
        <v>88.9</v>
      </c>
      <c r="J31" s="24">
        <f t="shared" si="3"/>
        <v>4991.1</v>
      </c>
      <c r="K31" s="57"/>
      <c r="L31" s="57"/>
      <c r="M31" s="57"/>
      <c r="N31" s="57"/>
      <c r="O31" s="57"/>
      <c r="P31" s="57"/>
      <c r="Q31" s="57"/>
    </row>
    <row r="32">
      <c r="A32" s="18">
        <v>46234.0</v>
      </c>
      <c r="B32" s="20" t="s">
        <v>34</v>
      </c>
      <c r="C32" s="22">
        <v>3.5</v>
      </c>
      <c r="D32" s="38">
        <v>2480.0</v>
      </c>
      <c r="E32" s="38">
        <v>2400.0</v>
      </c>
      <c r="F32" s="38">
        <v>300.0</v>
      </c>
      <c r="G32" s="38">
        <v>0.0</v>
      </c>
      <c r="H32" s="24">
        <f t="shared" si="1"/>
        <v>5180</v>
      </c>
      <c r="I32" s="34">
        <f t="shared" si="2"/>
        <v>90.65</v>
      </c>
      <c r="J32" s="24">
        <f t="shared" si="3"/>
        <v>5089.35</v>
      </c>
      <c r="K32" s="57"/>
      <c r="L32" s="57"/>
      <c r="M32" s="57"/>
      <c r="N32" s="57"/>
      <c r="O32" s="57"/>
      <c r="P32" s="57"/>
      <c r="Q32" s="57"/>
    </row>
    <row r="33">
      <c r="A33" s="47" t="s">
        <v>43</v>
      </c>
      <c r="B33" s="52"/>
      <c r="C33" s="58"/>
      <c r="D33" s="51">
        <f t="shared" ref="D33:J33" si="4">SUM(D1:D32)</f>
        <v>57344</v>
      </c>
      <c r="E33" s="51">
        <f t="shared" si="4"/>
        <v>45000</v>
      </c>
      <c r="F33" s="51">
        <f t="shared" si="4"/>
        <v>9775</v>
      </c>
      <c r="G33" s="51">
        <f t="shared" si="4"/>
        <v>420</v>
      </c>
      <c r="H33" s="51">
        <f t="shared" si="4"/>
        <v>112539</v>
      </c>
      <c r="I33" s="51">
        <f t="shared" si="4"/>
        <v>1969.4325</v>
      </c>
      <c r="J33" s="51">
        <f t="shared" si="4"/>
        <v>110569.5675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2" width="13.0"/>
    <col customWidth="1" min="3" max="3" width="14.75"/>
    <col customWidth="1" min="4" max="4" width="14.38"/>
    <col customWidth="1" min="5" max="5" width="16.0"/>
    <col customWidth="1" min="6" max="6" width="11.13"/>
    <col customWidth="1" min="7" max="8" width="6.88"/>
    <col customWidth="1" min="9" max="9" width="14.13"/>
  </cols>
  <sheetData>
    <row r="1">
      <c r="A1" s="21" t="s">
        <v>0</v>
      </c>
      <c r="B1" s="3" t="s">
        <v>1</v>
      </c>
      <c r="C1" s="3" t="s">
        <v>25</v>
      </c>
      <c r="D1" s="3" t="s">
        <v>26</v>
      </c>
      <c r="E1" s="26" t="s">
        <v>27</v>
      </c>
      <c r="F1" s="3" t="s">
        <v>10</v>
      </c>
      <c r="G1" s="27" t="s">
        <v>28</v>
      </c>
      <c r="H1" s="27" t="s">
        <v>29</v>
      </c>
      <c r="I1" s="3" t="s">
        <v>13</v>
      </c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29"/>
      <c r="B2" s="31" t="s">
        <v>3</v>
      </c>
      <c r="C2" s="33">
        <v>116089.0</v>
      </c>
      <c r="D2" s="33">
        <v>8126.0</v>
      </c>
      <c r="E2" s="33">
        <v>1462.0</v>
      </c>
      <c r="F2" s="24">
        <f>C2-D2-E2</f>
        <v>106501</v>
      </c>
      <c r="G2" s="33">
        <v>70.0</v>
      </c>
      <c r="H2" s="33">
        <v>116.0</v>
      </c>
      <c r="I2" s="33">
        <f>F2-G2-H2</f>
        <v>106315</v>
      </c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29"/>
      <c r="B3" s="40"/>
      <c r="C3" s="40"/>
      <c r="D3" s="40"/>
      <c r="E3" s="40"/>
      <c r="F3" s="24"/>
      <c r="G3" s="40"/>
      <c r="H3" s="40"/>
      <c r="I3" s="43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29"/>
      <c r="B4" s="47" t="s">
        <v>43</v>
      </c>
      <c r="C4" s="51">
        <f>SUM(C2:C3)</f>
        <v>116089</v>
      </c>
      <c r="D4" s="52"/>
      <c r="E4" s="52"/>
      <c r="F4" s="51">
        <f>SUM(F2:F3)</f>
        <v>106501</v>
      </c>
      <c r="G4" s="52"/>
      <c r="H4" s="52"/>
      <c r="I4" s="51">
        <f>SUM(I2:I3)</f>
        <v>106315</v>
      </c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</sheetData>
  <hyperlinks>
    <hyperlink r:id="rId1" ref="A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5" max="6" width="15.25"/>
    <col customWidth="1" min="9" max="9" width="14.13"/>
  </cols>
  <sheetData>
    <row r="1">
      <c r="A1" s="2" t="s">
        <v>1</v>
      </c>
      <c r="B1" s="4" t="s">
        <v>2</v>
      </c>
      <c r="C1" s="4" t="s">
        <v>4</v>
      </c>
      <c r="D1" s="4" t="s">
        <v>5</v>
      </c>
      <c r="E1" s="5" t="s">
        <v>7</v>
      </c>
      <c r="F1" s="3" t="s">
        <v>9</v>
      </c>
      <c r="G1" s="4" t="s">
        <v>10</v>
      </c>
      <c r="H1" s="5" t="s">
        <v>11</v>
      </c>
      <c r="I1" s="4" t="s">
        <v>13</v>
      </c>
      <c r="J1" s="9" t="s">
        <v>15</v>
      </c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</row>
    <row r="2">
      <c r="A2" s="13">
        <v>46215.0</v>
      </c>
      <c r="B2" s="14" t="s">
        <v>21</v>
      </c>
      <c r="C2" s="14" t="s">
        <v>22</v>
      </c>
      <c r="D2" s="17">
        <v>10800.0</v>
      </c>
      <c r="E2" s="25">
        <f>D2*5%</f>
        <v>540</v>
      </c>
      <c r="F2" s="24">
        <v>0.0</v>
      </c>
      <c r="G2" s="28">
        <f t="shared" ref="G2:G5" si="1">D2-E2-F2</f>
        <v>10260</v>
      </c>
      <c r="H2" s="25">
        <f>D2*2%</f>
        <v>216</v>
      </c>
      <c r="I2" s="28">
        <f t="shared" ref="I2:I5" si="2">G2-H2</f>
        <v>10044</v>
      </c>
      <c r="J2" s="32" t="s">
        <v>30</v>
      </c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</row>
    <row r="3">
      <c r="A3" s="13"/>
      <c r="B3" s="35" t="s">
        <v>21</v>
      </c>
      <c r="C3" s="35" t="s">
        <v>22</v>
      </c>
      <c r="D3" s="17">
        <v>1200.0</v>
      </c>
      <c r="E3" s="36">
        <f>D3*1.75%</f>
        <v>21</v>
      </c>
      <c r="F3" s="38">
        <f>D3*1.75%</f>
        <v>21</v>
      </c>
      <c r="G3" s="28">
        <f t="shared" si="1"/>
        <v>1158</v>
      </c>
      <c r="H3" s="36">
        <v>0.0</v>
      </c>
      <c r="I3" s="28">
        <f t="shared" si="2"/>
        <v>1158</v>
      </c>
      <c r="J3" s="32" t="s">
        <v>35</v>
      </c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</row>
    <row r="4">
      <c r="A4" s="13">
        <v>46222.0</v>
      </c>
      <c r="B4" s="35" t="s">
        <v>21</v>
      </c>
      <c r="C4" s="35" t="s">
        <v>22</v>
      </c>
      <c r="D4" s="17">
        <v>11992.0</v>
      </c>
      <c r="E4" s="25">
        <f>D4*5%</f>
        <v>599.6</v>
      </c>
      <c r="F4" s="38">
        <f>0</f>
        <v>0</v>
      </c>
      <c r="G4" s="28">
        <f t="shared" si="1"/>
        <v>11392.4</v>
      </c>
      <c r="H4" s="25">
        <f>D4*2%</f>
        <v>239.84</v>
      </c>
      <c r="I4" s="28">
        <f t="shared" si="2"/>
        <v>11152.56</v>
      </c>
      <c r="J4" s="32" t="s">
        <v>30</v>
      </c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</row>
    <row r="5">
      <c r="A5" s="44"/>
      <c r="B5" s="35" t="s">
        <v>21</v>
      </c>
      <c r="C5" s="35" t="s">
        <v>22</v>
      </c>
      <c r="D5" s="17">
        <v>750.0</v>
      </c>
      <c r="E5" s="36">
        <f>D5*1.75%</f>
        <v>13.125</v>
      </c>
      <c r="F5" s="38">
        <f>D5*1.75%</f>
        <v>13.125</v>
      </c>
      <c r="G5" s="28">
        <f t="shared" si="1"/>
        <v>723.75</v>
      </c>
      <c r="H5" s="36">
        <v>0.0</v>
      </c>
      <c r="I5" s="28">
        <f t="shared" si="2"/>
        <v>723.75</v>
      </c>
      <c r="J5" s="32" t="s">
        <v>35</v>
      </c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</row>
    <row r="6">
      <c r="A6" s="49" t="s">
        <v>43</v>
      </c>
      <c r="B6" s="50"/>
      <c r="C6" s="50"/>
      <c r="D6" s="53">
        <f t="shared" ref="D6:I6" si="3">SUM(D2:D5)</f>
        <v>24742</v>
      </c>
      <c r="E6" s="53">
        <f t="shared" si="3"/>
        <v>1173.725</v>
      </c>
      <c r="F6" s="53">
        <f t="shared" si="3"/>
        <v>34.125</v>
      </c>
      <c r="G6" s="53">
        <f t="shared" si="3"/>
        <v>23534.15</v>
      </c>
      <c r="H6" s="53">
        <f t="shared" si="3"/>
        <v>455.84</v>
      </c>
      <c r="I6" s="53">
        <f t="shared" si="3"/>
        <v>23078.31</v>
      </c>
      <c r="J6" s="37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</row>
    <row r="7">
      <c r="A7" s="54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</row>
    <row r="8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</row>
    <row r="10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</row>
    <row r="1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</row>
    <row r="1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</row>
    <row r="1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</row>
    <row r="14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</row>
    <row r="1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</row>
    <row r="16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</row>
    <row r="17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</row>
    <row r="18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</row>
    <row r="19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</row>
    <row r="20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</row>
    <row r="2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</row>
    <row r="2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</row>
    <row r="2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</row>
    <row r="24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</row>
    <row r="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</row>
    <row r="2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</row>
    <row r="27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</row>
    <row r="28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</row>
    <row r="29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</row>
    <row r="3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</row>
    <row r="3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</row>
    <row r="3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4" max="4" width="15.25"/>
  </cols>
  <sheetData>
    <row r="1">
      <c r="A1" s="62" t="s">
        <v>62</v>
      </c>
      <c r="B1" s="62" t="s">
        <v>63</v>
      </c>
      <c r="C1" s="62" t="s">
        <v>5</v>
      </c>
      <c r="D1" s="12" t="s">
        <v>9</v>
      </c>
      <c r="E1" s="15" t="s">
        <v>10</v>
      </c>
    </row>
    <row r="2">
      <c r="A2" s="63" t="s">
        <v>21</v>
      </c>
      <c r="B2" s="63" t="s">
        <v>64</v>
      </c>
      <c r="C2" s="64">
        <v>6500.0</v>
      </c>
      <c r="D2" s="24">
        <f>C2*1.75%</f>
        <v>113.75</v>
      </c>
      <c r="E2" s="24">
        <f>C2-D2</f>
        <v>6386.25</v>
      </c>
    </row>
  </sheetData>
  <drawing r:id="rId1"/>
</worksheet>
</file>