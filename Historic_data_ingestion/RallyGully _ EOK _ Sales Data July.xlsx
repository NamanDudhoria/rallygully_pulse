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</sheets>
  <definedNames/>
  <calcPr/>
</workbook>
</file>

<file path=xl/sharedStrings.xml><?xml version="1.0" encoding="utf-8"?>
<sst xmlns="http://schemas.openxmlformats.org/spreadsheetml/2006/main" count="116" uniqueCount="74">
  <si>
    <t>Date</t>
  </si>
  <si>
    <t>1 - 31 July</t>
  </si>
  <si>
    <t>Link</t>
  </si>
  <si>
    <t>Day</t>
  </si>
  <si>
    <t>Offline booking hours</t>
  </si>
  <si>
    <t>Particulars</t>
  </si>
  <si>
    <t>Amount</t>
  </si>
  <si>
    <t>Sport</t>
  </si>
  <si>
    <t>Booking Revenue</t>
  </si>
  <si>
    <t>Community Revenue</t>
  </si>
  <si>
    <t>Type</t>
  </si>
  <si>
    <t xml:space="preserve">Paddle Rental </t>
  </si>
  <si>
    <t>F&amp;B</t>
  </si>
  <si>
    <t>Pickleball</t>
  </si>
  <si>
    <t>Amt</t>
  </si>
  <si>
    <t>Total Revenue</t>
  </si>
  <si>
    <t>Post Comission</t>
  </si>
  <si>
    <t>Payment Gateway</t>
  </si>
  <si>
    <t>Pay &amp; Play</t>
  </si>
  <si>
    <t>Net Revenue</t>
  </si>
  <si>
    <t xml:space="preserve">TDS </t>
  </si>
  <si>
    <t>Final Amount (₹)</t>
  </si>
  <si>
    <t>Notes</t>
  </si>
  <si>
    <t>Wednesday</t>
  </si>
  <si>
    <t>DUPR</t>
  </si>
  <si>
    <t xml:space="preserve">Online </t>
  </si>
  <si>
    <t>District</t>
  </si>
  <si>
    <t>Paid to District</t>
  </si>
  <si>
    <t>Hudle</t>
  </si>
  <si>
    <t>Playo</t>
  </si>
  <si>
    <t>Khelomore</t>
  </si>
  <si>
    <t>Thursday</t>
  </si>
  <si>
    <t>Commissions (₹)</t>
  </si>
  <si>
    <t>Zplys</t>
  </si>
  <si>
    <t>GST on Commission</t>
  </si>
  <si>
    <t>Offline</t>
  </si>
  <si>
    <t>Courtly</t>
  </si>
  <si>
    <t>TCS</t>
  </si>
  <si>
    <t>Friday</t>
  </si>
  <si>
    <t>Bookings</t>
  </si>
  <si>
    <t>TDS</t>
  </si>
  <si>
    <t>Memberships</t>
  </si>
  <si>
    <t>Community</t>
  </si>
  <si>
    <t>Saturday</t>
  </si>
  <si>
    <t>Pickup games</t>
  </si>
  <si>
    <t>Sunday</t>
  </si>
  <si>
    <t>Social Events/Tournaments</t>
  </si>
  <si>
    <t>Monday</t>
  </si>
  <si>
    <t>Academy</t>
  </si>
  <si>
    <t>Total</t>
  </si>
  <si>
    <t>Events &amp; Partnership</t>
  </si>
  <si>
    <t>Tuesday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</si>
  <si>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</si>
  <si>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</si>
  <si>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</si>
  <si>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</si>
  <si>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</si>
  <si>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</si>
  <si>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</si>
  <si>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Total Net Revenue (Post Commissions)</t>
  </si>
  <si>
    <t>Total Net Revenue post GST</t>
  </si>
  <si>
    <t>Expenses</t>
  </si>
  <si>
    <t>Venue Manager + Cleaner</t>
  </si>
  <si>
    <t>Marketing, Branding &amp; Community</t>
  </si>
  <si>
    <t>Balls Expense</t>
  </si>
  <si>
    <t>Branding Revamp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</si>
  <si>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</si>
  <si>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</si>
  <si>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</si>
  <si>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</si>
  <si>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</si>
  <si>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Sports</t>
  </si>
  <si>
    <t>Month</t>
  </si>
  <si>
    <t>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</si>
</sst>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0"/>
    <numFmt numFmtId="166" formatCode="[&gt;9999999][$₹]##\,##\,##\,##0;[&gt;99999][$₹]##\,##\,##0;[$₹]##,##0"/>
    <numFmt numFmtId="167" formatCode="[$₹]#,##0.0"/>
    <numFmt numFmtId="168" formatCode="d 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3" fontId="4" numFmtId="168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3" xfId="0" applyAlignment="1" applyBorder="1" applyFill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2" fontId="5" numFmtId="165" xfId="0" applyAlignment="1" applyBorder="1" applyFill="1" applyFont="1" applyNumberForma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2" fontId="6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3" fontId="4" numFmtId="166" xfId="0" applyAlignment="1" applyBorder="1" applyFill="1" applyFont="1" applyNumberForma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4" numFmtId="165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2" fontId="2" numFmtId="164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4" numFmtId="167" xfId="0" applyAlignment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1</v>
      </c>
      <c r="C2" s="4"/>
    </row>
    <row r="3">
      <c r="B3" s="5" t="s">
        <v>5</v>
      </c>
      <c r="C3" s="5" t="s">
        <v>6</v>
      </c>
      <c r="E3" s="8"/>
    </row>
    <row r="4">
      <c r="B4" s="10"/>
      <c r="C4" s="12" t="s">
        <v>13</v>
      </c>
      <c r="E4" s="8"/>
    </row>
    <row r="5">
      <c r="B5" s="14" t="s">
        <v>18</v>
      </c>
      <c r="C5" s="24">
        <f>sum(C6,C12)</f>
        <v>117914</v>
      </c>
      <c r="E5" s="8"/>
    </row>
    <row r="6">
      <c r="B6" s="14" t="s">
        <v>25</v>
      </c>
      <c r="C6" s="24">
        <f>sum(C7:C11)</f>
        <v>96864</v>
      </c>
      <c r="E6" s="8"/>
    </row>
    <row r="7" outlineLevel="1">
      <c r="B7" s="27" t="s">
        <v>26</v>
      </c>
      <c r="C7" s="23">
        <f>District!C4</f>
        <v>96864</v>
      </c>
      <c r="E7" s="8"/>
    </row>
    <row r="8" outlineLevel="1">
      <c r="B8" s="27" t="s">
        <v>28</v>
      </c>
      <c r="C8" s="31">
        <v>0.0</v>
      </c>
      <c r="E8" s="8"/>
    </row>
    <row r="9" outlineLevel="1">
      <c r="B9" s="27" t="s">
        <v>29</v>
      </c>
      <c r="C9" s="31">
        <v>0.0</v>
      </c>
      <c r="E9" s="8"/>
    </row>
    <row r="10" outlineLevel="1">
      <c r="B10" s="33" t="s">
        <v>30</v>
      </c>
      <c r="C10" s="31">
        <v>0.0</v>
      </c>
      <c r="E10" s="34"/>
    </row>
    <row r="11" outlineLevel="1">
      <c r="B11" s="27" t="s">
        <v>33</v>
      </c>
      <c r="C11" s="31">
        <v>0.0</v>
      </c>
      <c r="E11" s="34"/>
    </row>
    <row r="12">
      <c r="B12" s="35" t="s">
        <v>35</v>
      </c>
      <c r="C12" s="24">
        <f>sum(C13:C14)</f>
        <v>21050</v>
      </c>
    </row>
    <row r="13" outlineLevel="1">
      <c r="B13" s="27" t="s">
        <v>39</v>
      </c>
      <c r="C13" s="23">
        <f>'Offline &amp; RG Community'!D33</f>
        <v>21050</v>
      </c>
    </row>
    <row r="14" outlineLevel="1">
      <c r="B14" s="41" t="s">
        <v>41</v>
      </c>
      <c r="C14" s="31">
        <v>0.0</v>
      </c>
      <c r="E14" s="8"/>
    </row>
    <row r="15">
      <c r="B15" s="35" t="s">
        <v>42</v>
      </c>
      <c r="C15" s="24">
        <f>sum(C16:C17)</f>
        <v>38148</v>
      </c>
      <c r="E15" s="8"/>
    </row>
    <row r="16" outlineLevel="1">
      <c r="B16" s="33" t="s">
        <v>44</v>
      </c>
      <c r="C16" s="23">
        <f>'Offline &amp; RG Community'!E33</f>
        <v>34200</v>
      </c>
      <c r="E16" s="8"/>
    </row>
    <row r="17" outlineLevel="1">
      <c r="B17" s="33" t="s">
        <v>46</v>
      </c>
      <c r="C17" s="31">
        <f>'Social EventsTournaments'!D4</f>
        <v>3948</v>
      </c>
    </row>
    <row r="18">
      <c r="B18" s="35" t="s">
        <v>48</v>
      </c>
      <c r="C18" s="24">
        <f>Academy!C2</f>
        <v>29500</v>
      </c>
      <c r="E18" s="8"/>
    </row>
    <row r="19">
      <c r="B19" s="14" t="s">
        <v>50</v>
      </c>
      <c r="C19" s="24">
        <f>sum(C20,C21)</f>
        <v>0</v>
      </c>
    </row>
    <row r="20" outlineLevel="1">
      <c r="B20" s="27" t="s">
        <v>52</v>
      </c>
      <c r="C20" s="30">
        <v>0.0</v>
      </c>
    </row>
    <row r="21" outlineLevel="1">
      <c r="B21" s="33" t="s">
        <v>53</v>
      </c>
      <c r="C21" s="25">
        <v>0.0</v>
      </c>
    </row>
    <row r="22">
      <c r="B22" s="14" t="s">
        <v>54</v>
      </c>
      <c r="C22" s="24">
        <f>sum(C23:C25)</f>
        <v>7500</v>
      </c>
    </row>
    <row r="23" outlineLevel="1">
      <c r="B23" s="27" t="s">
        <v>55</v>
      </c>
      <c r="C23" s="30">
        <f>'Offline &amp; RG Community'!F33</f>
        <v>3450</v>
      </c>
    </row>
    <row r="24" outlineLevel="1">
      <c r="B24" s="27" t="s">
        <v>56</v>
      </c>
      <c r="C24" s="31">
        <v>0.0</v>
      </c>
    </row>
    <row r="25" outlineLevel="1">
      <c r="B25" s="27" t="s">
        <v>12</v>
      </c>
      <c r="C25" s="30">
        <f>'Offline &amp; RG Community'!G33</f>
        <v>4050</v>
      </c>
    </row>
    <row r="26">
      <c r="B26" s="14" t="s">
        <v>57</v>
      </c>
      <c r="C26" s="24">
        <v>0.0</v>
      </c>
    </row>
    <row r="27">
      <c r="B27" s="16" t="s">
        <v>58</v>
      </c>
      <c r="C27" s="51">
        <f>sum(C26+C22+C19+C18+C15+C12+C6)</f>
        <v>193062</v>
      </c>
    </row>
    <row r="28">
      <c r="B28" s="54" t="s">
        <v>59</v>
      </c>
      <c r="C28" s="56">
        <f>'Offline &amp; RG Community'!J33+District!F4+'Social EventsTournaments'!G4+Academy!E2</f>
        <v>183255.85</v>
      </c>
    </row>
    <row r="29">
      <c r="B29" s="58" t="s">
        <v>60</v>
      </c>
      <c r="C29" s="24">
        <f>(C27/1.18)-(C27-C28)</f>
        <v>153805.7144</v>
      </c>
    </row>
    <row r="30">
      <c r="B30" s="14" t="s">
        <v>61</v>
      </c>
      <c r="C30" s="23"/>
    </row>
    <row r="31">
      <c r="B31" s="27" t="s">
        <v>62</v>
      </c>
      <c r="C31" s="25">
        <v>60164.0</v>
      </c>
    </row>
    <row r="32">
      <c r="B32" s="27" t="s">
        <v>63</v>
      </c>
      <c r="C32" s="30">
        <v>15000.0</v>
      </c>
    </row>
    <row r="33">
      <c r="B33" s="27" t="s">
        <v>64</v>
      </c>
      <c r="C33" s="30">
        <v>9500.0</v>
      </c>
    </row>
    <row r="34">
      <c r="B34" s="36" t="s">
        <v>65</v>
      </c>
      <c r="C34" s="25">
        <v>12595.0</v>
      </c>
    </row>
    <row r="35">
      <c r="B35" s="36" t="s">
        <v>66</v>
      </c>
      <c r="C35" s="25">
        <v>3024.0</v>
      </c>
    </row>
    <row r="36">
      <c r="B36" s="14" t="s">
        <v>67</v>
      </c>
      <c r="C36" s="24">
        <f>C31+C32+C33+C34+C35</f>
        <v>100283</v>
      </c>
    </row>
    <row r="37">
      <c r="B37" s="14" t="s">
        <v>68</v>
      </c>
      <c r="C37" s="24">
        <f>C29-C36</f>
        <v>53522.71441</v>
      </c>
    </row>
    <row r="38">
      <c r="B38" s="27"/>
      <c r="C38" s="23"/>
    </row>
    <row r="39">
      <c r="B39" s="14" t="s">
        <v>69</v>
      </c>
      <c r="C39" s="24">
        <f>C37*65%</f>
        <v>34789.76436</v>
      </c>
    </row>
    <row r="40">
      <c r="B40" s="14" t="s">
        <v>70</v>
      </c>
      <c r="C40" s="24">
        <f>C37*35%</f>
        <v>18732.95004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6" max="6" width="12.5"/>
    <col customWidth="1" min="7" max="7" width="6.13"/>
    <col customWidth="1" min="8" max="8" width="12.25"/>
    <col customWidth="1" min="9" max="9" width="15.25"/>
    <col customWidth="1" min="10" max="10" width="11.13"/>
  </cols>
  <sheetData>
    <row r="1">
      <c r="A1" s="3" t="s">
        <v>0</v>
      </c>
      <c r="B1" s="3" t="s">
        <v>3</v>
      </c>
      <c r="C1" s="7" t="s">
        <v>4</v>
      </c>
      <c r="D1" s="3" t="s">
        <v>8</v>
      </c>
      <c r="E1" s="3" t="s">
        <v>9</v>
      </c>
      <c r="F1" s="3" t="s">
        <v>11</v>
      </c>
      <c r="G1" s="3" t="s">
        <v>12</v>
      </c>
      <c r="H1" s="3" t="s">
        <v>15</v>
      </c>
      <c r="I1" s="15" t="s">
        <v>17</v>
      </c>
      <c r="J1" s="16" t="s">
        <v>19</v>
      </c>
    </row>
    <row r="2">
      <c r="A2" s="18">
        <v>46204.0</v>
      </c>
      <c r="B2" s="19" t="s">
        <v>23</v>
      </c>
      <c r="C2" s="20">
        <v>2.0</v>
      </c>
      <c r="D2" s="22">
        <v>1800.0</v>
      </c>
      <c r="E2" s="22">
        <v>900.0</v>
      </c>
      <c r="F2" s="22">
        <v>100.0</v>
      </c>
      <c r="G2" s="22">
        <v>140.0</v>
      </c>
      <c r="H2" s="22">
        <f t="shared" ref="H2:H32" si="1">sum(D2:G2)</f>
        <v>2940</v>
      </c>
      <c r="I2" s="29">
        <f t="shared" ref="I2:I32" si="2">H2*1.75%</f>
        <v>51.45</v>
      </c>
      <c r="J2" s="22">
        <f t="shared" ref="J2:J32" si="3">H2-I2</f>
        <v>2888.55</v>
      </c>
    </row>
    <row r="3">
      <c r="A3" s="18">
        <v>46205.0</v>
      </c>
      <c r="B3" s="19" t="s">
        <v>31</v>
      </c>
      <c r="C3" s="20">
        <v>0.0</v>
      </c>
      <c r="D3" s="22">
        <v>0.0</v>
      </c>
      <c r="E3" s="22">
        <v>1200.0</v>
      </c>
      <c r="F3" s="22">
        <v>100.0</v>
      </c>
      <c r="G3" s="22">
        <v>35.0</v>
      </c>
      <c r="H3" s="22">
        <f t="shared" si="1"/>
        <v>1335</v>
      </c>
      <c r="I3" s="29">
        <f t="shared" si="2"/>
        <v>23.3625</v>
      </c>
      <c r="J3" s="22">
        <f t="shared" si="3"/>
        <v>1311.6375</v>
      </c>
    </row>
    <row r="4">
      <c r="A4" s="18">
        <v>46206.0</v>
      </c>
      <c r="B4" s="19" t="s">
        <v>38</v>
      </c>
      <c r="C4" s="40">
        <v>1.0</v>
      </c>
      <c r="D4" s="22">
        <v>1040.0</v>
      </c>
      <c r="E4" s="22">
        <v>2700.0</v>
      </c>
      <c r="F4" s="22">
        <v>200.0</v>
      </c>
      <c r="G4" s="22">
        <v>490.0</v>
      </c>
      <c r="H4" s="22">
        <f t="shared" si="1"/>
        <v>4430</v>
      </c>
      <c r="I4" s="29">
        <f t="shared" si="2"/>
        <v>77.525</v>
      </c>
      <c r="J4" s="22">
        <f t="shared" si="3"/>
        <v>4352.475</v>
      </c>
    </row>
    <row r="5">
      <c r="A5" s="18">
        <v>46207.0</v>
      </c>
      <c r="B5" s="19" t="s">
        <v>43</v>
      </c>
      <c r="C5" s="42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f t="shared" si="1"/>
        <v>0</v>
      </c>
      <c r="I5" s="29">
        <f t="shared" si="2"/>
        <v>0</v>
      </c>
      <c r="J5" s="22">
        <f t="shared" si="3"/>
        <v>0</v>
      </c>
    </row>
    <row r="6">
      <c r="A6" s="18">
        <v>46208.0</v>
      </c>
      <c r="B6" s="19" t="s">
        <v>45</v>
      </c>
      <c r="C6" s="40">
        <v>0.0</v>
      </c>
      <c r="D6" s="22">
        <v>0.0</v>
      </c>
      <c r="E6" s="22">
        <v>0.0</v>
      </c>
      <c r="F6" s="22">
        <v>100.0</v>
      </c>
      <c r="G6" s="22">
        <v>0.0</v>
      </c>
      <c r="H6" s="22">
        <f t="shared" si="1"/>
        <v>100</v>
      </c>
      <c r="I6" s="29">
        <f t="shared" si="2"/>
        <v>1.75</v>
      </c>
      <c r="J6" s="22">
        <f t="shared" si="3"/>
        <v>98.25</v>
      </c>
    </row>
    <row r="7">
      <c r="A7" s="18">
        <v>46209.0</v>
      </c>
      <c r="B7" s="19" t="s">
        <v>47</v>
      </c>
      <c r="C7" s="40">
        <v>0.0</v>
      </c>
      <c r="D7" s="22">
        <v>0.0</v>
      </c>
      <c r="E7" s="22">
        <v>0.0</v>
      </c>
      <c r="F7" s="48">
        <v>0.0</v>
      </c>
      <c r="G7" s="22">
        <v>125.0</v>
      </c>
      <c r="H7" s="22">
        <f t="shared" si="1"/>
        <v>125</v>
      </c>
      <c r="I7" s="29">
        <f t="shared" si="2"/>
        <v>2.1875</v>
      </c>
      <c r="J7" s="22">
        <f t="shared" si="3"/>
        <v>122.8125</v>
      </c>
    </row>
    <row r="8">
      <c r="A8" s="18">
        <v>46210.0</v>
      </c>
      <c r="B8" s="19" t="s">
        <v>51</v>
      </c>
      <c r="C8" s="42">
        <v>0.0</v>
      </c>
      <c r="D8" s="22">
        <v>0.0</v>
      </c>
      <c r="E8" s="22">
        <v>900.0</v>
      </c>
      <c r="F8" s="22">
        <v>50.0</v>
      </c>
      <c r="G8" s="22">
        <v>35.0</v>
      </c>
      <c r="H8" s="22">
        <f t="shared" si="1"/>
        <v>985</v>
      </c>
      <c r="I8" s="29">
        <f t="shared" si="2"/>
        <v>17.2375</v>
      </c>
      <c r="J8" s="22">
        <f t="shared" si="3"/>
        <v>967.7625</v>
      </c>
    </row>
    <row r="9">
      <c r="A9" s="18">
        <v>46211.0</v>
      </c>
      <c r="B9" s="19" t="s">
        <v>23</v>
      </c>
      <c r="C9" s="40">
        <v>0.0</v>
      </c>
      <c r="D9" s="22">
        <v>0.0</v>
      </c>
      <c r="E9" s="22">
        <v>0.0</v>
      </c>
      <c r="F9" s="48">
        <v>0.0</v>
      </c>
      <c r="G9" s="22">
        <v>0.0</v>
      </c>
      <c r="H9" s="22">
        <f t="shared" si="1"/>
        <v>0</v>
      </c>
      <c r="I9" s="29">
        <f t="shared" si="2"/>
        <v>0</v>
      </c>
      <c r="J9" s="22">
        <f t="shared" si="3"/>
        <v>0</v>
      </c>
    </row>
    <row r="10">
      <c r="A10" s="18">
        <v>46212.0</v>
      </c>
      <c r="B10" s="19" t="s">
        <v>31</v>
      </c>
      <c r="C10" s="42">
        <v>1.0</v>
      </c>
      <c r="D10" s="22">
        <v>1200.0</v>
      </c>
      <c r="E10" s="22">
        <v>0.0</v>
      </c>
      <c r="F10" s="22">
        <v>300.0</v>
      </c>
      <c r="G10" s="22">
        <v>320.0</v>
      </c>
      <c r="H10" s="22">
        <f t="shared" si="1"/>
        <v>1820</v>
      </c>
      <c r="I10" s="29">
        <f t="shared" si="2"/>
        <v>31.85</v>
      </c>
      <c r="J10" s="22">
        <f t="shared" si="3"/>
        <v>1788.15</v>
      </c>
    </row>
    <row r="11">
      <c r="A11" s="18">
        <v>46213.0</v>
      </c>
      <c r="B11" s="19" t="s">
        <v>38</v>
      </c>
      <c r="C11" s="42">
        <v>2.5</v>
      </c>
      <c r="D11" s="22">
        <v>2250.0</v>
      </c>
      <c r="E11" s="22">
        <v>2400.0</v>
      </c>
      <c r="F11" s="22">
        <v>0.0</v>
      </c>
      <c r="G11" s="22">
        <v>105.0</v>
      </c>
      <c r="H11" s="22">
        <f t="shared" si="1"/>
        <v>4755</v>
      </c>
      <c r="I11" s="29">
        <f t="shared" si="2"/>
        <v>83.2125</v>
      </c>
      <c r="J11" s="22">
        <f t="shared" si="3"/>
        <v>4671.7875</v>
      </c>
    </row>
    <row r="12">
      <c r="A12" s="18">
        <v>46214.0</v>
      </c>
      <c r="B12" s="19" t="s">
        <v>43</v>
      </c>
      <c r="C12" s="42">
        <v>1.0</v>
      </c>
      <c r="D12" s="22">
        <v>900.0</v>
      </c>
      <c r="E12" s="22">
        <v>0.0</v>
      </c>
      <c r="F12" s="22">
        <v>200.0</v>
      </c>
      <c r="G12" s="22">
        <v>530.0</v>
      </c>
      <c r="H12" s="22">
        <f t="shared" si="1"/>
        <v>1630</v>
      </c>
      <c r="I12" s="29">
        <f t="shared" si="2"/>
        <v>28.525</v>
      </c>
      <c r="J12" s="22">
        <f t="shared" si="3"/>
        <v>1601.475</v>
      </c>
    </row>
    <row r="13">
      <c r="A13" s="18">
        <v>46215.0</v>
      </c>
      <c r="B13" s="19" t="s">
        <v>45</v>
      </c>
      <c r="C13" s="40">
        <v>1.0</v>
      </c>
      <c r="D13" s="22">
        <v>900.0</v>
      </c>
      <c r="E13" s="22">
        <v>0.0</v>
      </c>
      <c r="F13" s="22">
        <v>0.0</v>
      </c>
      <c r="G13" s="22">
        <v>455.0</v>
      </c>
      <c r="H13" s="22">
        <f t="shared" si="1"/>
        <v>1355</v>
      </c>
      <c r="I13" s="29">
        <f t="shared" si="2"/>
        <v>23.7125</v>
      </c>
      <c r="J13" s="22">
        <f t="shared" si="3"/>
        <v>1331.2875</v>
      </c>
    </row>
    <row r="14">
      <c r="A14" s="18">
        <v>46216.0</v>
      </c>
      <c r="B14" s="19" t="s">
        <v>47</v>
      </c>
      <c r="C14" s="42">
        <v>0.0</v>
      </c>
      <c r="D14" s="22">
        <v>0.0</v>
      </c>
      <c r="E14" s="22">
        <v>2400.0</v>
      </c>
      <c r="F14" s="22">
        <v>0.0</v>
      </c>
      <c r="G14" s="22">
        <v>0.0</v>
      </c>
      <c r="H14" s="22">
        <f t="shared" si="1"/>
        <v>2400</v>
      </c>
      <c r="I14" s="29">
        <f t="shared" si="2"/>
        <v>42</v>
      </c>
      <c r="J14" s="22">
        <f t="shared" si="3"/>
        <v>2358</v>
      </c>
    </row>
    <row r="15">
      <c r="A15" s="18">
        <v>46217.0</v>
      </c>
      <c r="B15" s="19" t="s">
        <v>51</v>
      </c>
      <c r="C15" s="42">
        <v>0.0</v>
      </c>
      <c r="D15" s="22">
        <v>0.0</v>
      </c>
      <c r="E15" s="22">
        <v>2400.0</v>
      </c>
      <c r="F15" s="22">
        <v>0.0</v>
      </c>
      <c r="G15" s="22">
        <v>70.0</v>
      </c>
      <c r="H15" s="22">
        <f t="shared" si="1"/>
        <v>2470</v>
      </c>
      <c r="I15" s="29">
        <f t="shared" si="2"/>
        <v>43.225</v>
      </c>
      <c r="J15" s="22">
        <f t="shared" si="3"/>
        <v>2426.775</v>
      </c>
    </row>
    <row r="16">
      <c r="A16" s="18">
        <v>46218.0</v>
      </c>
      <c r="B16" s="19" t="s">
        <v>23</v>
      </c>
      <c r="C16" s="40">
        <v>1.0</v>
      </c>
      <c r="D16" s="22">
        <v>900.0</v>
      </c>
      <c r="E16" s="22">
        <v>1500.0</v>
      </c>
      <c r="F16" s="22">
        <v>400.0</v>
      </c>
      <c r="G16" s="22">
        <v>35.0</v>
      </c>
      <c r="H16" s="22">
        <f t="shared" si="1"/>
        <v>2835</v>
      </c>
      <c r="I16" s="29">
        <f t="shared" si="2"/>
        <v>49.6125</v>
      </c>
      <c r="J16" s="22">
        <f t="shared" si="3"/>
        <v>2785.3875</v>
      </c>
    </row>
    <row r="17">
      <c r="A17" s="18">
        <v>46219.0</v>
      </c>
      <c r="B17" s="19" t="s">
        <v>31</v>
      </c>
      <c r="C17" s="40">
        <v>1.0</v>
      </c>
      <c r="D17" s="59">
        <v>900.0</v>
      </c>
      <c r="E17" s="22">
        <v>0.0</v>
      </c>
      <c r="F17" s="22">
        <v>0.0</v>
      </c>
      <c r="G17" s="22">
        <v>205.0</v>
      </c>
      <c r="H17" s="22">
        <f t="shared" si="1"/>
        <v>1105</v>
      </c>
      <c r="I17" s="29">
        <f t="shared" si="2"/>
        <v>19.3375</v>
      </c>
      <c r="J17" s="22">
        <f t="shared" si="3"/>
        <v>1085.6625</v>
      </c>
    </row>
    <row r="18">
      <c r="A18" s="18">
        <v>46220.0</v>
      </c>
      <c r="B18" s="19" t="s">
        <v>38</v>
      </c>
      <c r="C18" s="42">
        <v>0.0</v>
      </c>
      <c r="D18" s="22">
        <v>0.0</v>
      </c>
      <c r="E18" s="22">
        <v>1200.0</v>
      </c>
      <c r="F18" s="22">
        <v>0.0</v>
      </c>
      <c r="G18" s="22">
        <v>400.0</v>
      </c>
      <c r="H18" s="22">
        <f t="shared" si="1"/>
        <v>1600</v>
      </c>
      <c r="I18" s="29">
        <f t="shared" si="2"/>
        <v>28</v>
      </c>
      <c r="J18" s="22">
        <f t="shared" si="3"/>
        <v>1572</v>
      </c>
    </row>
    <row r="19">
      <c r="A19" s="18">
        <v>46221.0</v>
      </c>
      <c r="B19" s="19" t="s">
        <v>43</v>
      </c>
      <c r="C19" s="40">
        <v>0.0</v>
      </c>
      <c r="D19" s="22">
        <v>0.0</v>
      </c>
      <c r="E19" s="22">
        <v>0.0</v>
      </c>
      <c r="F19" s="22">
        <v>300.0</v>
      </c>
      <c r="G19" s="22">
        <v>0.0</v>
      </c>
      <c r="H19" s="22">
        <f t="shared" si="1"/>
        <v>300</v>
      </c>
      <c r="I19" s="29">
        <f t="shared" si="2"/>
        <v>5.25</v>
      </c>
      <c r="J19" s="22">
        <f t="shared" si="3"/>
        <v>294.75</v>
      </c>
    </row>
    <row r="20">
      <c r="A20" s="18">
        <v>46222.0</v>
      </c>
      <c r="B20" s="19" t="s">
        <v>45</v>
      </c>
      <c r="C20" s="42">
        <v>0.0</v>
      </c>
      <c r="D20" s="22">
        <v>0.0</v>
      </c>
      <c r="E20" s="22">
        <v>4500.0</v>
      </c>
      <c r="F20" s="22">
        <v>300.0</v>
      </c>
      <c r="G20" s="22">
        <v>285.0</v>
      </c>
      <c r="H20" s="22">
        <f t="shared" si="1"/>
        <v>5085</v>
      </c>
      <c r="I20" s="29">
        <f t="shared" si="2"/>
        <v>88.9875</v>
      </c>
      <c r="J20" s="22">
        <f t="shared" si="3"/>
        <v>4996.0125</v>
      </c>
    </row>
    <row r="21">
      <c r="A21" s="18">
        <v>46223.0</v>
      </c>
      <c r="B21" s="19" t="s">
        <v>47</v>
      </c>
      <c r="C21" s="40">
        <v>0.0</v>
      </c>
      <c r="D21" s="22">
        <v>0.0</v>
      </c>
      <c r="E21" s="22">
        <v>1200.0</v>
      </c>
      <c r="F21" s="22">
        <v>0.0</v>
      </c>
      <c r="G21" s="22">
        <v>35.0</v>
      </c>
      <c r="H21" s="22">
        <f t="shared" si="1"/>
        <v>1235</v>
      </c>
      <c r="I21" s="29">
        <f t="shared" si="2"/>
        <v>21.6125</v>
      </c>
      <c r="J21" s="22">
        <f t="shared" si="3"/>
        <v>1213.3875</v>
      </c>
    </row>
    <row r="22">
      <c r="A22" s="18">
        <v>46224.0</v>
      </c>
      <c r="B22" s="19" t="s">
        <v>51</v>
      </c>
      <c r="C22" s="42">
        <v>1.0</v>
      </c>
      <c r="D22" s="22">
        <v>900.0</v>
      </c>
      <c r="E22" s="22">
        <v>600.0</v>
      </c>
      <c r="F22" s="22">
        <v>100.0</v>
      </c>
      <c r="G22" s="22">
        <v>20.0</v>
      </c>
      <c r="H22" s="22">
        <f t="shared" si="1"/>
        <v>1620</v>
      </c>
      <c r="I22" s="29">
        <f t="shared" si="2"/>
        <v>28.35</v>
      </c>
      <c r="J22" s="22">
        <f t="shared" si="3"/>
        <v>1591.65</v>
      </c>
    </row>
    <row r="23">
      <c r="A23" s="18">
        <v>46225.0</v>
      </c>
      <c r="B23" s="19" t="s">
        <v>23</v>
      </c>
      <c r="C23" s="42">
        <v>0.0</v>
      </c>
      <c r="D23" s="22">
        <v>0.0</v>
      </c>
      <c r="E23" s="22">
        <v>900.0</v>
      </c>
      <c r="F23" s="22">
        <v>0.0</v>
      </c>
      <c r="G23" s="22">
        <v>40.0</v>
      </c>
      <c r="H23" s="22">
        <f t="shared" si="1"/>
        <v>940</v>
      </c>
      <c r="I23" s="29">
        <f t="shared" si="2"/>
        <v>16.45</v>
      </c>
      <c r="J23" s="22">
        <f t="shared" si="3"/>
        <v>923.55</v>
      </c>
    </row>
    <row r="24">
      <c r="A24" s="18">
        <v>46226.0</v>
      </c>
      <c r="B24" s="19" t="s">
        <v>31</v>
      </c>
      <c r="C24" s="42">
        <v>2.5</v>
      </c>
      <c r="D24" s="22">
        <v>2700.0</v>
      </c>
      <c r="E24" s="22">
        <v>1200.0</v>
      </c>
      <c r="F24" s="22">
        <v>0.0</v>
      </c>
      <c r="G24" s="22">
        <v>60.0</v>
      </c>
      <c r="H24" s="22">
        <f t="shared" si="1"/>
        <v>3960</v>
      </c>
      <c r="I24" s="29">
        <f t="shared" si="2"/>
        <v>69.3</v>
      </c>
      <c r="J24" s="22">
        <f t="shared" si="3"/>
        <v>3890.7</v>
      </c>
    </row>
    <row r="25">
      <c r="A25" s="18">
        <v>46227.0</v>
      </c>
      <c r="B25" s="19" t="s">
        <v>38</v>
      </c>
      <c r="C25" s="42">
        <v>0.0</v>
      </c>
      <c r="D25" s="22">
        <v>0.0</v>
      </c>
      <c r="E25" s="22">
        <v>1800.0</v>
      </c>
      <c r="F25" s="22">
        <v>0.0</v>
      </c>
      <c r="G25" s="22">
        <v>175.0</v>
      </c>
      <c r="H25" s="22">
        <f t="shared" si="1"/>
        <v>1975</v>
      </c>
      <c r="I25" s="29">
        <f t="shared" si="2"/>
        <v>34.5625</v>
      </c>
      <c r="J25" s="22">
        <f t="shared" si="3"/>
        <v>1940.4375</v>
      </c>
    </row>
    <row r="26">
      <c r="A26" s="18">
        <v>46228.0</v>
      </c>
      <c r="B26" s="19" t="s">
        <v>43</v>
      </c>
      <c r="C26" s="42">
        <v>0.0</v>
      </c>
      <c r="D26" s="22">
        <v>0.0</v>
      </c>
      <c r="E26" s="22">
        <v>1800.0</v>
      </c>
      <c r="F26" s="22">
        <v>0.0</v>
      </c>
      <c r="G26" s="22">
        <v>235.0</v>
      </c>
      <c r="H26" s="22">
        <f t="shared" si="1"/>
        <v>2035</v>
      </c>
      <c r="I26" s="29">
        <f t="shared" si="2"/>
        <v>35.6125</v>
      </c>
      <c r="J26" s="22">
        <f t="shared" si="3"/>
        <v>1999.3875</v>
      </c>
    </row>
    <row r="27">
      <c r="A27" s="18">
        <v>46229.0</v>
      </c>
      <c r="B27" s="19" t="s">
        <v>45</v>
      </c>
      <c r="C27" s="42">
        <v>0.0</v>
      </c>
      <c r="D27" s="22">
        <v>0.0</v>
      </c>
      <c r="E27" s="22">
        <v>1200.0</v>
      </c>
      <c r="F27" s="22">
        <v>300.0</v>
      </c>
      <c r="G27" s="22">
        <v>0.0</v>
      </c>
      <c r="H27" s="22">
        <f t="shared" si="1"/>
        <v>1500</v>
      </c>
      <c r="I27" s="29">
        <f t="shared" si="2"/>
        <v>26.25</v>
      </c>
      <c r="J27" s="22">
        <f t="shared" si="3"/>
        <v>1473.75</v>
      </c>
    </row>
    <row r="28">
      <c r="A28" s="18">
        <v>46230.0</v>
      </c>
      <c r="B28" s="19" t="s">
        <v>47</v>
      </c>
      <c r="C28" s="42">
        <v>2.0</v>
      </c>
      <c r="D28" s="22">
        <v>1980.0</v>
      </c>
      <c r="E28" s="22">
        <v>1800.0</v>
      </c>
      <c r="F28" s="22">
        <v>0.0</v>
      </c>
      <c r="G28" s="22">
        <v>85.0</v>
      </c>
      <c r="H28" s="22">
        <f t="shared" si="1"/>
        <v>3865</v>
      </c>
      <c r="I28" s="29">
        <f t="shared" si="2"/>
        <v>67.6375</v>
      </c>
      <c r="J28" s="22">
        <f t="shared" si="3"/>
        <v>3797.3625</v>
      </c>
    </row>
    <row r="29">
      <c r="A29" s="18">
        <v>46231.0</v>
      </c>
      <c r="B29" s="19" t="s">
        <v>51</v>
      </c>
      <c r="C29" s="42">
        <v>1.5</v>
      </c>
      <c r="D29" s="22">
        <v>1620.0</v>
      </c>
      <c r="E29" s="22">
        <v>900.0</v>
      </c>
      <c r="F29" s="22">
        <v>400.0</v>
      </c>
      <c r="G29" s="22">
        <v>60.0</v>
      </c>
      <c r="H29" s="22">
        <f t="shared" si="1"/>
        <v>2980</v>
      </c>
      <c r="I29" s="29">
        <f t="shared" si="2"/>
        <v>52.15</v>
      </c>
      <c r="J29" s="22">
        <f t="shared" si="3"/>
        <v>2927.85</v>
      </c>
    </row>
    <row r="30">
      <c r="A30" s="18">
        <v>46232.0</v>
      </c>
      <c r="B30" s="19" t="s">
        <v>23</v>
      </c>
      <c r="C30" s="40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f t="shared" si="1"/>
        <v>0</v>
      </c>
      <c r="I30" s="29">
        <f t="shared" si="2"/>
        <v>0</v>
      </c>
      <c r="J30" s="22">
        <f t="shared" si="3"/>
        <v>0</v>
      </c>
    </row>
    <row r="31">
      <c r="A31" s="18">
        <v>46233.0</v>
      </c>
      <c r="B31" s="19" t="s">
        <v>31</v>
      </c>
      <c r="C31" s="20">
        <v>2.0</v>
      </c>
      <c r="D31" s="46">
        <v>1800.0</v>
      </c>
      <c r="E31" s="46">
        <v>600.0</v>
      </c>
      <c r="F31" s="46">
        <v>300.0</v>
      </c>
      <c r="G31" s="46">
        <v>70.0</v>
      </c>
      <c r="H31" s="22">
        <f t="shared" si="1"/>
        <v>2770</v>
      </c>
      <c r="I31" s="29">
        <f t="shared" si="2"/>
        <v>48.475</v>
      </c>
      <c r="J31" s="22">
        <f t="shared" si="3"/>
        <v>2721.525</v>
      </c>
    </row>
    <row r="32">
      <c r="A32" s="18">
        <v>46234.0</v>
      </c>
      <c r="B32" s="19" t="s">
        <v>38</v>
      </c>
      <c r="C32" s="20">
        <v>2.0</v>
      </c>
      <c r="D32" s="46">
        <v>2160.0</v>
      </c>
      <c r="E32" s="46">
        <v>2100.0</v>
      </c>
      <c r="F32" s="46">
        <v>300.0</v>
      </c>
      <c r="G32" s="46">
        <v>40.0</v>
      </c>
      <c r="H32" s="22">
        <f t="shared" si="1"/>
        <v>4600</v>
      </c>
      <c r="I32" s="29">
        <f t="shared" si="2"/>
        <v>80.5</v>
      </c>
      <c r="J32" s="22">
        <f t="shared" si="3"/>
        <v>4519.5</v>
      </c>
    </row>
    <row r="33">
      <c r="A33" s="53" t="s">
        <v>49</v>
      </c>
      <c r="B33" s="57"/>
      <c r="C33" s="60"/>
      <c r="D33" s="55">
        <f t="shared" ref="D33:J33" si="4">SUM(D1:D32)</f>
        <v>21050</v>
      </c>
      <c r="E33" s="55">
        <f t="shared" si="4"/>
        <v>34200</v>
      </c>
      <c r="F33" s="55">
        <f t="shared" si="4"/>
        <v>3450</v>
      </c>
      <c r="G33" s="55">
        <f t="shared" si="4"/>
        <v>4050</v>
      </c>
      <c r="H33" s="55">
        <f t="shared" si="4"/>
        <v>62750</v>
      </c>
      <c r="I33" s="55">
        <f t="shared" si="4"/>
        <v>1098.125</v>
      </c>
      <c r="J33" s="55">
        <f t="shared" si="4"/>
        <v>61651.875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6" t="s">
        <v>2</v>
      </c>
      <c r="B1" s="3" t="s">
        <v>0</v>
      </c>
      <c r="C1" s="3" t="s">
        <v>27</v>
      </c>
      <c r="D1" s="3" t="s">
        <v>32</v>
      </c>
      <c r="E1" s="37" t="s">
        <v>34</v>
      </c>
      <c r="F1" s="3" t="s">
        <v>19</v>
      </c>
      <c r="G1" s="38" t="s">
        <v>37</v>
      </c>
      <c r="H1" s="38" t="s">
        <v>40</v>
      </c>
      <c r="I1" s="3" t="s">
        <v>21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44"/>
      <c r="B2" s="45" t="s">
        <v>1</v>
      </c>
      <c r="C2" s="47">
        <v>96864.0</v>
      </c>
      <c r="D2" s="47">
        <v>6780.0</v>
      </c>
      <c r="E2" s="47">
        <v>1220.0</v>
      </c>
      <c r="F2" s="22">
        <f>C2-D2-E2</f>
        <v>88864</v>
      </c>
      <c r="G2" s="47">
        <v>484.0</v>
      </c>
      <c r="H2" s="47">
        <v>97.0</v>
      </c>
      <c r="I2" s="47">
        <f>F2-G2-H2</f>
        <v>88283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44"/>
      <c r="B3" s="52"/>
      <c r="C3" s="52"/>
      <c r="D3" s="52"/>
      <c r="E3" s="52"/>
      <c r="F3" s="52"/>
      <c r="G3" s="52"/>
      <c r="H3" s="52"/>
      <c r="I3" s="5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4"/>
      <c r="B4" s="53" t="s">
        <v>49</v>
      </c>
      <c r="C4" s="55">
        <f>SUM(C2:C3)</f>
        <v>96864</v>
      </c>
      <c r="D4" s="57"/>
      <c r="E4" s="57"/>
      <c r="F4" s="55">
        <f>SUM(F2:F3)</f>
        <v>88864</v>
      </c>
      <c r="G4" s="57"/>
      <c r="H4" s="57"/>
      <c r="I4" s="55">
        <f>SUM(I2:I3)</f>
        <v>88283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38"/>
    <col customWidth="1" min="5" max="5" width="17.75"/>
    <col customWidth="1" min="6" max="6" width="15.25"/>
    <col customWidth="1" min="9" max="9" width="14.13"/>
    <col customWidth="1" min="10" max="10" width="26.25"/>
  </cols>
  <sheetData>
    <row r="1">
      <c r="A1" s="6" t="s">
        <v>0</v>
      </c>
      <c r="B1" s="9" t="s">
        <v>7</v>
      </c>
      <c r="C1" s="11" t="s">
        <v>10</v>
      </c>
      <c r="D1" s="6" t="s">
        <v>14</v>
      </c>
      <c r="E1" s="13" t="s">
        <v>16</v>
      </c>
      <c r="F1" s="3" t="s">
        <v>17</v>
      </c>
      <c r="G1" s="17" t="s">
        <v>19</v>
      </c>
      <c r="H1" s="17" t="s">
        <v>20</v>
      </c>
      <c r="I1" s="17" t="s">
        <v>21</v>
      </c>
      <c r="J1" s="6" t="s">
        <v>22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21">
        <v>46204.0</v>
      </c>
      <c r="B2" s="23" t="s">
        <v>13</v>
      </c>
      <c r="C2" s="23" t="s">
        <v>24</v>
      </c>
      <c r="D2" s="25">
        <v>1698.0</v>
      </c>
      <c r="E2" s="28">
        <f>D2*5%</f>
        <v>84.9</v>
      </c>
      <c r="F2" s="22">
        <v>0.0</v>
      </c>
      <c r="G2" s="30">
        <f t="shared" ref="G2:G3" si="1">D2-E2-F2</f>
        <v>1613.1</v>
      </c>
      <c r="H2" s="32">
        <f>D2*2%</f>
        <v>33.96</v>
      </c>
      <c r="I2" s="30">
        <f t="shared" ref="I2:I3" si="2">G2-H2</f>
        <v>1579.14</v>
      </c>
      <c r="J2" s="36" t="s">
        <v>36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21">
        <v>46204.0</v>
      </c>
      <c r="B3" s="39" t="s">
        <v>13</v>
      </c>
      <c r="C3" s="39" t="s">
        <v>24</v>
      </c>
      <c r="D3" s="31">
        <v>2250.0</v>
      </c>
      <c r="E3" s="43">
        <f>D3*3%</f>
        <v>67.5</v>
      </c>
      <c r="F3" s="46">
        <f>D3*1.75%</f>
        <v>39.375</v>
      </c>
      <c r="G3" s="30">
        <f t="shared" si="1"/>
        <v>2143.125</v>
      </c>
      <c r="H3" s="36">
        <v>0.0</v>
      </c>
      <c r="I3" s="30">
        <f t="shared" si="2"/>
        <v>2143.125</v>
      </c>
      <c r="J3" s="36" t="s">
        <v>35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49" t="s">
        <v>49</v>
      </c>
      <c r="B4" s="50"/>
      <c r="C4" s="50"/>
      <c r="D4" s="51">
        <f>SUM(D2:D3)</f>
        <v>3948</v>
      </c>
      <c r="E4" s="50"/>
      <c r="F4" s="50"/>
      <c r="G4" s="51">
        <f>SUM(G2:G3)</f>
        <v>3756.225</v>
      </c>
      <c r="H4" s="10"/>
      <c r="I4" s="51">
        <f>SUM(I2:I3)</f>
        <v>3722.265</v>
      </c>
      <c r="J4" s="2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16" t="s">
        <v>71</v>
      </c>
      <c r="B1" s="16" t="s">
        <v>72</v>
      </c>
      <c r="C1" s="16" t="s">
        <v>14</v>
      </c>
      <c r="D1" s="15" t="s">
        <v>17</v>
      </c>
      <c r="E1" s="16" t="s">
        <v>19</v>
      </c>
    </row>
    <row r="2">
      <c r="A2" s="33" t="s">
        <v>13</v>
      </c>
      <c r="B2" s="36" t="s">
        <v>73</v>
      </c>
      <c r="C2" s="43">
        <v>29500.0</v>
      </c>
      <c r="D2" s="22">
        <f>C2*1.75%</f>
        <v>516.25</v>
      </c>
      <c r="E2" s="22">
        <f>C2-D2</f>
        <v>28983.75</v>
      </c>
    </row>
  </sheetData>
  <drawing r:id="rId1"/>
</worksheet>
</file>