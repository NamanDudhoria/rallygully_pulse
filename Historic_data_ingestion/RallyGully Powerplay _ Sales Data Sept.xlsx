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B2B" sheetId="7" r:id="rId11"/>
    <sheet state="visible" name="Other Income" sheetId="8" r:id="rId12"/>
  </sheets>
  <definedNames/>
  <calcPr/>
</workbook>
</file>

<file path=xl/sharedStrings.xml><?xml version="1.0" encoding="utf-8"?>
<sst xmlns="http://schemas.openxmlformats.org/spreadsheetml/2006/main" count="138" uniqueCount="79">
  <si>
    <t>Date</t>
  </si>
  <si>
    <t>1 - 30 Sept</t>
  </si>
  <si>
    <t>Day</t>
  </si>
  <si>
    <t>Offline booking hours</t>
  </si>
  <si>
    <t>Booking Revenue</t>
  </si>
  <si>
    <t>Booking Revenue (Turf)</t>
  </si>
  <si>
    <t>Link</t>
  </si>
  <si>
    <t>Community Revenue</t>
  </si>
  <si>
    <t xml:space="preserve">Paddle Rental </t>
  </si>
  <si>
    <t>Total Revenue</t>
  </si>
  <si>
    <t>Particulars</t>
  </si>
  <si>
    <t>Payment Gateway</t>
  </si>
  <si>
    <t>Amount</t>
  </si>
  <si>
    <t>Net Revenue</t>
  </si>
  <si>
    <t>Tuesday</t>
  </si>
  <si>
    <t>Total</t>
  </si>
  <si>
    <t>Pickleball</t>
  </si>
  <si>
    <t>Turf</t>
  </si>
  <si>
    <t>Padel</t>
  </si>
  <si>
    <t>Pay &amp; Play</t>
  </si>
  <si>
    <t>Paid to Hudle</t>
  </si>
  <si>
    <t>Paid to District</t>
  </si>
  <si>
    <t>Commisions (Including GST)</t>
  </si>
  <si>
    <t>Commissions (₹)</t>
  </si>
  <si>
    <t>TDS</t>
  </si>
  <si>
    <t>GST on Commission</t>
  </si>
  <si>
    <t>TCS</t>
  </si>
  <si>
    <t>Final Amount (₹)</t>
  </si>
  <si>
    <t xml:space="preserve">Online </t>
  </si>
  <si>
    <t>Wednesday</t>
  </si>
  <si>
    <t>Thursday</t>
  </si>
  <si>
    <t>Friday</t>
  </si>
  <si>
    <t>District</t>
  </si>
  <si>
    <t>Saturday</t>
  </si>
  <si>
    <t>Sunday</t>
  </si>
  <si>
    <t>Monday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</si>
  <si>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</si>
  <si>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</si>
  <si>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</si>
  <si>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</si>
  <si>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</si>
  <si>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</si>
  <si>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</si>
  <si>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</si>
  <si>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</si>
  <si>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</si>
  <si>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Community Partnerships</t>
  </si>
  <si>
    <t>Academy</t>
  </si>
  <si>
    <t>B2B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</si>
  <si>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</si>
  <si>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</si>
  <si>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</si>
  <si>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</si>
  <si>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</si>
  <si>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</si>
  <si>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</si>
  <si>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</si>
  <si>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 xml:space="preserve">GST </t>
  </si>
  <si>
    <t>Net Revenue Post GST</t>
  </si>
  <si>
    <t>Commissions, Payment gateway &amp; Event Expense</t>
  </si>
  <si>
    <t>Paid to Khelomore (₹)</t>
  </si>
  <si>
    <t>Paid to Playo (₹)</t>
  </si>
  <si>
    <t>GST (₹)</t>
  </si>
  <si>
    <t>TDS (₹)</t>
  </si>
  <si>
    <t>TCS (₹)</t>
  </si>
  <si>
    <t>Start Month</t>
  </si>
  <si>
    <t>Partnership Type</t>
  </si>
  <si>
    <t>Name of Brand/Person</t>
  </si>
  <si>
    <t>Deliverables</t>
  </si>
  <si>
    <t>Amount (₹)</t>
  </si>
  <si>
    <t>Sept</t>
  </si>
  <si>
    <t>Event Booking</t>
  </si>
  <si>
    <t>HOF Pune Event</t>
  </si>
  <si>
    <t>2 Hours of turf</t>
  </si>
  <si>
    <t xml:space="preserve">Net Revenue </t>
  </si>
  <si>
    <t>Month</t>
  </si>
  <si>
    <t>Sports Type</t>
  </si>
  <si>
    <t>Amount Collected</t>
  </si>
  <si>
    <t>Padel Operations &amp; Management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</si>
</sst>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d mmmm"/>
    <numFmt numFmtId="167" formatCode="[&gt;9999999][$₹]##\,##\,##\,##0;[&gt;99999][$₹]##\,##\,##0;[$₹]##,##0"/>
    <numFmt numFmtId="168" formatCode="[$₹]#,##0.00"/>
    <numFmt numFmtId="169" formatCode="d mmm"/>
    <numFmt numFmtId="170" formatCode="[&gt;9999999][$₹]##\,##\,##\,##0.00;[&gt;99999][$₹]##\,##\,##0.00;[$₹]#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3" xfId="0" applyAlignment="1" applyBorder="1" applyFill="1" applyFont="1" applyNumberFormat="1">
      <alignment horizontal="center" vertical="bottom"/>
    </xf>
    <xf borderId="4" fillId="0" fontId="3" numFmtId="0" xfId="0" applyBorder="1" applyFont="1"/>
    <xf borderId="1" fillId="2" fontId="4" numFmtId="164" xfId="0" applyAlignment="1" applyBorder="1" applyFill="1" applyFont="1" applyNumberFormat="1">
      <alignment vertical="bottom"/>
    </xf>
    <xf borderId="1" fillId="2" fontId="2" numFmtId="165" xfId="0" applyAlignment="1" applyBorder="1" applyFill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3" fontId="4" numFmtId="166" xfId="0" applyAlignment="1" applyBorder="1" applyFill="1" applyFont="1" applyNumberFormat="1">
      <alignment horizontal="right" vertical="bottom"/>
    </xf>
    <xf borderId="1" fillId="2" fontId="4" numFmtId="0" xfId="0" applyAlignment="1" applyBorder="1" applyFill="1" applyFont="1">
      <alignment vertical="bottom"/>
    </xf>
    <xf borderId="1" fillId="3" fontId="4" numFmtId="164" xfId="0" applyAlignment="1" applyBorder="1" applyFill="1" applyFont="1" applyNumberFormat="1">
      <alignment vertical="bottom"/>
    </xf>
    <xf borderId="1" fillId="3" fontId="4" numFmtId="3" xfId="0" applyAlignment="1" applyBorder="1" applyFill="1" applyFont="1" applyNumberFormat="1">
      <alignment horizontal="right" vertical="bottom"/>
    </xf>
    <xf borderId="1" fillId="2" fontId="2" numFmtId="167" xfId="0" applyAlignment="1" applyBorder="1" applyFill="1" applyFont="1" applyNumberFormat="1">
      <alignment horizontal="center" vertical="bottom"/>
    </xf>
    <xf borderId="1" fillId="0" fontId="4" numFmtId="164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2" fontId="6" numFmtId="0" xfId="0" applyAlignment="1" applyBorder="1" applyFill="1" applyFont="1">
      <alignment horizontal="center" readingOrder="0" vertical="bottom"/>
    </xf>
    <xf borderId="1" fillId="2" fontId="5" numFmtId="168" xfId="0" applyAlignment="1" applyBorder="1" applyFill="1" applyFont="1" applyNumberForma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0" fontId="4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0" fillId="2" fontId="7" numFmtId="168" xfId="0" applyAlignment="1" applyFill="1" applyFont="1" applyNumberFormat="1">
      <alignment vertical="bottom"/>
    </xf>
    <xf borderId="0" fillId="2" fontId="2" numFmtId="168" xfId="0" applyAlignment="1" applyFill="1" applyFont="1" applyNumberFormat="1">
      <alignment horizontal="center" vertical="bottom"/>
    </xf>
    <xf borderId="1" fillId="0" fontId="4" numFmtId="167" xfId="0" applyAlignment="1" applyBorder="1" applyFont="1" applyNumberFormat="1">
      <alignment vertical="bottom"/>
    </xf>
    <xf borderId="0" fillId="0" fontId="4" numFmtId="169" xfId="0" applyAlignment="1" applyFont="1" applyNumberFormat="1">
      <alignment vertical="bottom"/>
    </xf>
    <xf borderId="1" fillId="0" fontId="2" numFmtId="167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0" fontId="4" numFmtId="170" xfId="0" applyAlignment="1" applyBorder="1" applyFont="1" applyNumberFormat="1">
      <alignment horizontal="right" readingOrder="0"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167" xfId="0" applyAlignment="1" applyBorder="1" applyFont="1" applyNumberFormat="1">
      <alignment horizontal="right"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170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horizontal="right" vertical="bottom"/>
    </xf>
    <xf borderId="1" fillId="2" fontId="2" numFmtId="0" xfId="0" applyAlignment="1" applyBorder="1" applyFill="1" applyFont="1">
      <alignment vertical="bottom"/>
    </xf>
    <xf borderId="0" fillId="0" fontId="4" numFmtId="168" xfId="0" applyAlignment="1" applyFont="1" applyNumberFormat="1">
      <alignment vertical="bottom"/>
    </xf>
    <xf borderId="1" fillId="0" fontId="4" numFmtId="168" xfId="0" applyAlignment="1" applyBorder="1" applyFont="1" applyNumberFormat="1">
      <alignment vertical="bottom"/>
    </xf>
    <xf borderId="1" fillId="0" fontId="4" numFmtId="170" xfId="0" applyAlignment="1" applyBorder="1" applyFont="1" applyNumberFormat="1">
      <alignment vertical="bottom"/>
    </xf>
    <xf borderId="1" fillId="0" fontId="4" numFmtId="167" xfId="0" applyAlignment="1" applyBorder="1" applyFont="1" applyNumberFormat="1">
      <alignment readingOrder="0" vertical="bottom"/>
    </xf>
    <xf borderId="1" fillId="2" fontId="2" numFmtId="170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readingOrder="0" vertical="bottom"/>
    </xf>
    <xf borderId="1" fillId="2" fontId="2" numFmtId="168" xfId="0" applyAlignment="1" applyBorder="1" applyFill="1" applyFont="1" applyNumberFormat="1">
      <alignment vertical="bottom"/>
    </xf>
    <xf borderId="1" fillId="2" fontId="2" numFmtId="168" xfId="0" applyAlignment="1" applyBorder="1" applyFill="1" applyFont="1" applyNumberFormat="1">
      <alignment horizontal="right" vertical="bottom"/>
    </xf>
    <xf borderId="1" fillId="2" fontId="4" numFmtId="168" xfId="0" applyAlignment="1" applyBorder="1" applyFill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168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2" numFmtId="3" xfId="0" applyAlignment="1" applyBorder="1" applyFill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shrinkToFit="0" vertical="bottom" wrapText="1"/>
    </xf>
    <xf borderId="1" fillId="3" fontId="4" numFmtId="168" xfId="0" applyAlignment="1" applyBorder="1" applyFill="1" applyFont="1" applyNumberFormat="1">
      <alignment horizontal="right" vertical="bottom"/>
    </xf>
    <xf borderId="1" fillId="2" fontId="2" numFmtId="169" xfId="0" applyAlignment="1" applyBorder="1" applyFill="1" applyFont="1" applyNumberFormat="1">
      <alignment vertical="bottom"/>
    </xf>
    <xf borderId="1" fillId="2" fontId="7" numFmtId="168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0" fillId="0" fontId="9" numFmtId="0" xfId="0" applyAlignment="1" applyFont="1">
      <alignment horizontal="right" vertical="bottom"/>
    </xf>
    <xf borderId="1" fillId="3" fontId="4" numFmtId="4" xfId="0" applyAlignment="1" applyBorder="1" applyFill="1" applyFont="1" applyNumberFormat="1">
      <alignment readingOrder="0" vertical="bottom"/>
    </xf>
    <xf borderId="1" fillId="3" fontId="4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horizontal="right" readingOrder="0" vertical="bottom"/>
    </xf>
    <xf borderId="1" fillId="2" fontId="2" numFmtId="4" xfId="0" applyAlignment="1" applyBorder="1" applyFill="1" applyFont="1" applyNumberFormat="1">
      <alignment horizontal="right" vertical="bottom"/>
    </xf>
    <xf borderId="1" fillId="0" fontId="2" numFmtId="170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AkWfGFVft5z53JR4CuqujjPET3jRi7NJFdordeWDA0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9e7xpeY6jWgYkJJWXHOXv9H7BByycFqRyCT0aMH_pM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0.13"/>
  </cols>
  <sheetData>
    <row r="1">
      <c r="A1" s="1"/>
    </row>
    <row r="2">
      <c r="B2" s="3" t="s">
        <v>1</v>
      </c>
      <c r="C2" s="4"/>
      <c r="D2" s="6"/>
      <c r="E2" s="7"/>
      <c r="F2" s="7"/>
    </row>
    <row r="3">
      <c r="B3" s="9" t="s">
        <v>10</v>
      </c>
      <c r="C3" s="9" t="s">
        <v>12</v>
      </c>
      <c r="D3" s="9"/>
      <c r="E3" s="11"/>
      <c r="F3" s="9"/>
    </row>
    <row r="4">
      <c r="B4" s="13"/>
      <c r="C4" s="2" t="s">
        <v>15</v>
      </c>
      <c r="D4" s="16" t="s">
        <v>16</v>
      </c>
      <c r="E4" s="2" t="s">
        <v>17</v>
      </c>
      <c r="F4" s="18" t="s">
        <v>18</v>
      </c>
    </row>
    <row r="5" outlineLevel="1">
      <c r="B5" s="19" t="s">
        <v>19</v>
      </c>
      <c r="C5" s="25">
        <f t="shared" ref="C5:E5" si="1">sum(C6,C12)</f>
        <v>39849</v>
      </c>
      <c r="D5" s="30">
        <f t="shared" si="1"/>
        <v>12270</v>
      </c>
      <c r="E5" s="25">
        <f t="shared" si="1"/>
        <v>27579</v>
      </c>
      <c r="F5" s="32">
        <v>0.0</v>
      </c>
    </row>
    <row r="6" outlineLevel="1">
      <c r="B6" s="19" t="s">
        <v>28</v>
      </c>
      <c r="C6" s="25">
        <f t="shared" ref="C6:E6" si="2">sum(C7:C11)</f>
        <v>37149</v>
      </c>
      <c r="D6" s="30">
        <f t="shared" si="2"/>
        <v>10970</v>
      </c>
      <c r="E6" s="25">
        <f t="shared" si="2"/>
        <v>26179</v>
      </c>
      <c r="F6" s="32">
        <v>0.0</v>
      </c>
    </row>
    <row r="7" outlineLevel="1">
      <c r="B7" s="39" t="s">
        <v>32</v>
      </c>
      <c r="C7" s="42">
        <f>District!C4</f>
        <v>2990</v>
      </c>
      <c r="D7" s="48">
        <f>District!B6</f>
        <v>2990</v>
      </c>
      <c r="E7" s="50">
        <f>District!B7</f>
        <v>0</v>
      </c>
      <c r="F7" s="42">
        <v>0.0</v>
      </c>
    </row>
    <row r="8" outlineLevel="1">
      <c r="B8" s="39" t="s">
        <v>36</v>
      </c>
      <c r="C8" s="17">
        <f>Hudle!C2</f>
        <v>700</v>
      </c>
      <c r="D8" s="28">
        <f>Hudle!B5</f>
        <v>700</v>
      </c>
      <c r="E8" s="54">
        <f>Hudle!B6</f>
        <v>0</v>
      </c>
      <c r="F8" s="42">
        <v>0.0</v>
      </c>
    </row>
    <row r="9">
      <c r="B9" s="39" t="s">
        <v>37</v>
      </c>
      <c r="C9" s="17">
        <f>Playo!C2</f>
        <v>28705</v>
      </c>
      <c r="D9" s="28">
        <f>Playo!B5</f>
        <v>7280</v>
      </c>
      <c r="E9" s="54">
        <f>Playo!B6</f>
        <v>21425</v>
      </c>
      <c r="F9" s="42">
        <v>0.0</v>
      </c>
    </row>
    <row r="10" outlineLevel="1">
      <c r="B10" s="59" t="s">
        <v>38</v>
      </c>
      <c r="C10" s="28">
        <f>Khelomore!B2</f>
        <v>4754</v>
      </c>
      <c r="D10" s="28">
        <f>Khelomore!B6</f>
        <v>0</v>
      </c>
      <c r="E10" s="50">
        <f>Khelomore!B7</f>
        <v>4754</v>
      </c>
      <c r="F10" s="42">
        <v>0.0</v>
      </c>
    </row>
    <row r="11" outlineLevel="1">
      <c r="B11" s="39" t="s">
        <v>39</v>
      </c>
      <c r="C11" s="48">
        <v>0.0</v>
      </c>
      <c r="D11" s="48">
        <v>0.0</v>
      </c>
      <c r="E11" s="50">
        <v>0.0</v>
      </c>
      <c r="F11" s="42">
        <v>0.0</v>
      </c>
    </row>
    <row r="12" outlineLevel="1">
      <c r="B12" s="60" t="s">
        <v>40</v>
      </c>
      <c r="C12" s="30">
        <f t="shared" ref="C12:F12" si="3">sum(C13:C14)</f>
        <v>2700</v>
      </c>
      <c r="D12" s="30">
        <f t="shared" si="3"/>
        <v>1300</v>
      </c>
      <c r="E12" s="25">
        <f t="shared" si="3"/>
        <v>1400</v>
      </c>
      <c r="F12" s="30">
        <f t="shared" si="3"/>
        <v>0</v>
      </c>
    </row>
    <row r="13" outlineLevel="1">
      <c r="B13" s="39" t="s">
        <v>41</v>
      </c>
      <c r="C13" s="48">
        <f>'Offline &amp; RG Community'!D32+'Offline &amp; RG Community'!E32</f>
        <v>2700</v>
      </c>
      <c r="D13" s="48">
        <f>'Offline &amp; RG Community'!D32</f>
        <v>1300</v>
      </c>
      <c r="E13" s="54">
        <f>'Offline &amp; RG Community'!E32</f>
        <v>1400</v>
      </c>
      <c r="F13" s="42">
        <v>0.0</v>
      </c>
    </row>
    <row r="14">
      <c r="B14" s="46" t="s">
        <v>42</v>
      </c>
      <c r="C14" s="48">
        <v>0.0</v>
      </c>
      <c r="D14" s="48">
        <v>0.0</v>
      </c>
      <c r="E14" s="50">
        <v>0.0</v>
      </c>
      <c r="F14" s="42">
        <v>0.0</v>
      </c>
    </row>
    <row r="15">
      <c r="B15" s="60" t="s">
        <v>43</v>
      </c>
      <c r="C15" s="30">
        <f t="shared" ref="C15:F15" si="4">sum(C16:C18)</f>
        <v>0</v>
      </c>
      <c r="D15" s="30">
        <f t="shared" si="4"/>
        <v>0</v>
      </c>
      <c r="E15" s="30">
        <f t="shared" si="4"/>
        <v>0</v>
      </c>
      <c r="F15" s="30">
        <f t="shared" si="4"/>
        <v>0</v>
      </c>
    </row>
    <row r="16" outlineLevel="1">
      <c r="B16" s="59" t="s">
        <v>44</v>
      </c>
      <c r="C16" s="48">
        <v>0.0</v>
      </c>
      <c r="D16" s="48">
        <v>0.0</v>
      </c>
      <c r="E16" s="50">
        <v>0.0</v>
      </c>
      <c r="F16" s="42">
        <v>0.0</v>
      </c>
    </row>
    <row r="17" outlineLevel="1">
      <c r="B17" s="59" t="s">
        <v>45</v>
      </c>
      <c r="C17" s="48">
        <v>0.0</v>
      </c>
      <c r="D17" s="48">
        <v>0.0</v>
      </c>
      <c r="E17" s="50">
        <v>0.0</v>
      </c>
      <c r="F17" s="42">
        <v>0.0</v>
      </c>
    </row>
    <row r="18" outlineLevel="1">
      <c r="B18" s="63" t="s">
        <v>46</v>
      </c>
      <c r="C18" s="48">
        <v>0.0</v>
      </c>
      <c r="D18" s="48">
        <v>0.0</v>
      </c>
      <c r="E18" s="48">
        <v>0.0</v>
      </c>
      <c r="F18" s="48">
        <v>0.0</v>
      </c>
    </row>
    <row r="19" outlineLevel="1">
      <c r="B19" s="60" t="s">
        <v>47</v>
      </c>
      <c r="C19" s="30">
        <v>0.0</v>
      </c>
      <c r="D19" s="30">
        <v>0.0</v>
      </c>
      <c r="E19" s="25">
        <v>0.0</v>
      </c>
      <c r="F19" s="32">
        <v>0.0</v>
      </c>
    </row>
    <row r="20" outlineLevel="1">
      <c r="B20" s="64" t="s">
        <v>48</v>
      </c>
      <c r="C20" s="30">
        <f t="shared" ref="C20:E20" si="5">sum(C21)</f>
        <v>2720</v>
      </c>
      <c r="D20" s="30">
        <f t="shared" si="5"/>
        <v>0</v>
      </c>
      <c r="E20" s="25">
        <f t="shared" si="5"/>
        <v>2720</v>
      </c>
      <c r="F20" s="32">
        <v>0.0</v>
      </c>
    </row>
    <row r="21">
      <c r="B21" s="39" t="s">
        <v>49</v>
      </c>
      <c r="C21" s="33">
        <f>B2B!E2</f>
        <v>2720</v>
      </c>
      <c r="D21" s="37">
        <v>0.0</v>
      </c>
      <c r="E21" s="50">
        <f>B2B!E2</f>
        <v>2720</v>
      </c>
      <c r="F21" s="42">
        <v>0.0</v>
      </c>
    </row>
    <row r="22">
      <c r="B22" s="59" t="s">
        <v>50</v>
      </c>
      <c r="C22" s="33">
        <v>0.0</v>
      </c>
      <c r="D22" s="37">
        <f>SUM(D23:D26)</f>
        <v>0</v>
      </c>
      <c r="E22" s="50">
        <v>0.0</v>
      </c>
      <c r="F22" s="42">
        <v>0.0</v>
      </c>
    </row>
    <row r="23">
      <c r="B23" s="19" t="s">
        <v>51</v>
      </c>
      <c r="C23" s="30">
        <f t="shared" ref="C23:E23" si="6">sum(C24:C26)</f>
        <v>0</v>
      </c>
      <c r="D23" s="30">
        <f t="shared" si="6"/>
        <v>0</v>
      </c>
      <c r="E23" s="25">
        <f t="shared" si="6"/>
        <v>0</v>
      </c>
      <c r="F23" s="32">
        <v>0.0</v>
      </c>
    </row>
    <row r="24">
      <c r="B24" s="39" t="s">
        <v>52</v>
      </c>
      <c r="C24" s="33">
        <v>0.0</v>
      </c>
      <c r="D24" s="37">
        <v>0.0</v>
      </c>
      <c r="E24" s="50">
        <v>0.0</v>
      </c>
      <c r="F24" s="42">
        <v>0.0</v>
      </c>
    </row>
    <row r="25">
      <c r="B25" s="39" t="s">
        <v>53</v>
      </c>
      <c r="C25" s="48">
        <v>0.0</v>
      </c>
      <c r="D25" s="48">
        <v>0.0</v>
      </c>
      <c r="E25" s="50">
        <v>0.0</v>
      </c>
      <c r="F25" s="42">
        <v>0.0</v>
      </c>
    </row>
    <row r="26">
      <c r="B26" s="39" t="s">
        <v>54</v>
      </c>
      <c r="C26" s="33">
        <v>0.0</v>
      </c>
      <c r="D26" s="37">
        <v>0.0</v>
      </c>
      <c r="E26" s="50">
        <v>0.0</v>
      </c>
      <c r="F26" s="42">
        <v>0.0</v>
      </c>
    </row>
    <row r="27">
      <c r="B27" s="19" t="s">
        <v>55</v>
      </c>
      <c r="C27" s="32">
        <v>118000.0</v>
      </c>
      <c r="D27" s="30">
        <v>0.0</v>
      </c>
      <c r="E27" s="25">
        <v>0.0</v>
      </c>
      <c r="F27" s="32">
        <v>118000.0</v>
      </c>
    </row>
    <row r="28">
      <c r="B28" s="51" t="s">
        <v>56</v>
      </c>
      <c r="C28" s="65">
        <f t="shared" ref="C28:F28" si="7">C5+C15+C19+C20+C23+C27</f>
        <v>160569</v>
      </c>
      <c r="D28" s="65">
        <f t="shared" si="7"/>
        <v>12270</v>
      </c>
      <c r="E28" s="65">
        <f t="shared" si="7"/>
        <v>30299</v>
      </c>
      <c r="F28" s="65">
        <f t="shared" si="7"/>
        <v>118000</v>
      </c>
    </row>
    <row r="29">
      <c r="B29" s="66" t="s">
        <v>57</v>
      </c>
      <c r="C29" s="25">
        <f>C28-(C28/1.18)</f>
        <v>24493.57627</v>
      </c>
      <c r="D29" s="46"/>
      <c r="E29" s="54"/>
      <c r="F29" s="67"/>
    </row>
    <row r="30">
      <c r="B30" s="68" t="s">
        <v>58</v>
      </c>
      <c r="C30" s="25">
        <f>C28-C29</f>
        <v>136075.4237</v>
      </c>
      <c r="D30" s="30"/>
      <c r="E30" s="25"/>
      <c r="F30" s="25"/>
    </row>
    <row r="31">
      <c r="B31" s="66" t="s">
        <v>59</v>
      </c>
      <c r="C31" s="25">
        <f>'Offline &amp; RG Community'!I32+District!E4+District!D4+Hudle!D3+Playo!E3+Playo!D3+Khelomore!C4+B2B!F2</f>
        <v>3495.55</v>
      </c>
    </row>
    <row r="32">
      <c r="B32" s="67" t="s">
        <v>74</v>
      </c>
      <c r="C32" s="25">
        <f>C28-C29-C31</f>
        <v>132579.8737</v>
      </c>
    </row>
  </sheetData>
  <mergeCells count="1">
    <mergeCell ref="B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24.38"/>
    <col customWidth="1" min="5" max="5" width="19.75"/>
    <col customWidth="1" min="6" max="6" width="17.63"/>
    <col customWidth="1" min="7" max="7" width="12.25"/>
    <col customWidth="1" min="8" max="9" width="15.25"/>
    <col customWidth="1" min="10" max="10" width="11.13"/>
  </cols>
  <sheetData>
    <row r="1">
      <c r="A1" s="2" t="s">
        <v>0</v>
      </c>
      <c r="B1" s="2" t="s">
        <v>2</v>
      </c>
      <c r="C1" s="5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8" t="s">
        <v>9</v>
      </c>
      <c r="I1" s="10" t="s">
        <v>11</v>
      </c>
      <c r="J1" s="10" t="s">
        <v>13</v>
      </c>
    </row>
    <row r="2">
      <c r="A2" s="12">
        <v>46266.0</v>
      </c>
      <c r="B2" s="14" t="s">
        <v>14</v>
      </c>
      <c r="C2" s="15">
        <v>0.0</v>
      </c>
      <c r="D2" s="17">
        <v>0.0</v>
      </c>
      <c r="E2" s="17">
        <v>0.0</v>
      </c>
      <c r="F2" s="17">
        <v>0.0</v>
      </c>
      <c r="G2" s="17">
        <v>0.0</v>
      </c>
      <c r="H2" s="24">
        <f t="shared" ref="H2:H31" si="1">SUM(D2:G2)</f>
        <v>0</v>
      </c>
      <c r="I2" s="24">
        <f t="shared" ref="I2:I31" si="2">H2*1.75%</f>
        <v>0</v>
      </c>
      <c r="J2" s="17">
        <f t="shared" ref="J2:J31" si="3">H2-I2</f>
        <v>0</v>
      </c>
    </row>
    <row r="3">
      <c r="A3" s="12">
        <v>46267.0</v>
      </c>
      <c r="B3" s="14" t="s">
        <v>29</v>
      </c>
      <c r="C3" s="15">
        <v>0.0</v>
      </c>
      <c r="D3" s="17">
        <v>0.0</v>
      </c>
      <c r="E3" s="17">
        <v>0.0</v>
      </c>
      <c r="F3" s="17">
        <v>0.0</v>
      </c>
      <c r="G3" s="17">
        <v>0.0</v>
      </c>
      <c r="H3" s="24">
        <f t="shared" si="1"/>
        <v>0</v>
      </c>
      <c r="I3" s="24">
        <f t="shared" si="2"/>
        <v>0</v>
      </c>
      <c r="J3" s="17">
        <f t="shared" si="3"/>
        <v>0</v>
      </c>
    </row>
    <row r="4">
      <c r="A4" s="12">
        <v>46268.0</v>
      </c>
      <c r="B4" s="14" t="s">
        <v>30</v>
      </c>
      <c r="C4" s="36">
        <v>0.0</v>
      </c>
      <c r="D4" s="17">
        <v>0.0</v>
      </c>
      <c r="E4" s="17">
        <v>0.0</v>
      </c>
      <c r="F4" s="17">
        <v>0.0</v>
      </c>
      <c r="G4" s="17">
        <v>0.0</v>
      </c>
      <c r="H4" s="24">
        <f t="shared" si="1"/>
        <v>0</v>
      </c>
      <c r="I4" s="24">
        <f t="shared" si="2"/>
        <v>0</v>
      </c>
      <c r="J4" s="17">
        <f t="shared" si="3"/>
        <v>0</v>
      </c>
    </row>
    <row r="5">
      <c r="A5" s="12">
        <v>46269.0</v>
      </c>
      <c r="B5" s="14" t="s">
        <v>31</v>
      </c>
      <c r="C5" s="38">
        <v>0.0</v>
      </c>
      <c r="D5" s="17">
        <v>0.0</v>
      </c>
      <c r="E5" s="17">
        <v>0.0</v>
      </c>
      <c r="F5" s="17">
        <v>0.0</v>
      </c>
      <c r="G5" s="17">
        <v>0.0</v>
      </c>
      <c r="H5" s="24">
        <f t="shared" si="1"/>
        <v>0</v>
      </c>
      <c r="I5" s="24">
        <f t="shared" si="2"/>
        <v>0</v>
      </c>
      <c r="J5" s="17">
        <f t="shared" si="3"/>
        <v>0</v>
      </c>
    </row>
    <row r="6">
      <c r="A6" s="12">
        <v>46270.0</v>
      </c>
      <c r="B6" s="14" t="s">
        <v>33</v>
      </c>
      <c r="C6" s="36">
        <v>0.0</v>
      </c>
      <c r="D6" s="17">
        <v>0.0</v>
      </c>
      <c r="E6" s="17">
        <v>0.0</v>
      </c>
      <c r="F6" s="17">
        <v>0.0</v>
      </c>
      <c r="G6" s="17">
        <v>0.0</v>
      </c>
      <c r="H6" s="24">
        <f t="shared" si="1"/>
        <v>0</v>
      </c>
      <c r="I6" s="24">
        <f t="shared" si="2"/>
        <v>0</v>
      </c>
      <c r="J6" s="17">
        <f t="shared" si="3"/>
        <v>0</v>
      </c>
    </row>
    <row r="7">
      <c r="A7" s="12">
        <v>46271.0</v>
      </c>
      <c r="B7" s="14" t="s">
        <v>34</v>
      </c>
      <c r="C7" s="36">
        <v>0.0</v>
      </c>
      <c r="D7" s="17">
        <v>0.0</v>
      </c>
      <c r="E7" s="17">
        <v>0.0</v>
      </c>
      <c r="F7" s="17">
        <v>0.0</v>
      </c>
      <c r="G7" s="41">
        <v>0.0</v>
      </c>
      <c r="H7" s="24">
        <f t="shared" si="1"/>
        <v>0</v>
      </c>
      <c r="I7" s="24">
        <f t="shared" si="2"/>
        <v>0</v>
      </c>
      <c r="J7" s="17">
        <f t="shared" si="3"/>
        <v>0</v>
      </c>
    </row>
    <row r="8">
      <c r="A8" s="12">
        <v>46272.0</v>
      </c>
      <c r="B8" s="14" t="s">
        <v>35</v>
      </c>
      <c r="C8" s="38">
        <v>0.0</v>
      </c>
      <c r="D8" s="17">
        <v>0.0</v>
      </c>
      <c r="E8" s="17">
        <v>0.0</v>
      </c>
      <c r="F8" s="17">
        <v>0.0</v>
      </c>
      <c r="G8" s="17">
        <v>0.0</v>
      </c>
      <c r="H8" s="24">
        <f t="shared" si="1"/>
        <v>0</v>
      </c>
      <c r="I8" s="24">
        <f t="shared" si="2"/>
        <v>0</v>
      </c>
      <c r="J8" s="17">
        <f t="shared" si="3"/>
        <v>0</v>
      </c>
    </row>
    <row r="9">
      <c r="A9" s="12">
        <v>46273.0</v>
      </c>
      <c r="B9" s="14" t="s">
        <v>14</v>
      </c>
      <c r="C9" s="36">
        <v>0.0</v>
      </c>
      <c r="D9" s="17">
        <v>0.0</v>
      </c>
      <c r="E9" s="17">
        <v>0.0</v>
      </c>
      <c r="F9" s="17">
        <v>0.0</v>
      </c>
      <c r="G9" s="41">
        <v>0.0</v>
      </c>
      <c r="H9" s="24">
        <f t="shared" si="1"/>
        <v>0</v>
      </c>
      <c r="I9" s="24">
        <f t="shared" si="2"/>
        <v>0</v>
      </c>
      <c r="J9" s="17">
        <f t="shared" si="3"/>
        <v>0</v>
      </c>
    </row>
    <row r="10">
      <c r="A10" s="12">
        <v>46274.0</v>
      </c>
      <c r="B10" s="14" t="s">
        <v>29</v>
      </c>
      <c r="C10" s="38">
        <v>0.0</v>
      </c>
      <c r="D10" s="17">
        <v>0.0</v>
      </c>
      <c r="E10" s="17">
        <v>0.0</v>
      </c>
      <c r="F10" s="17">
        <v>0.0</v>
      </c>
      <c r="G10" s="17">
        <v>0.0</v>
      </c>
      <c r="H10" s="24">
        <f t="shared" si="1"/>
        <v>0</v>
      </c>
      <c r="I10" s="24">
        <f t="shared" si="2"/>
        <v>0</v>
      </c>
      <c r="J10" s="17">
        <f t="shared" si="3"/>
        <v>0</v>
      </c>
    </row>
    <row r="11">
      <c r="A11" s="12">
        <v>46275.0</v>
      </c>
      <c r="B11" s="14" t="s">
        <v>30</v>
      </c>
      <c r="C11" s="38">
        <v>1.0</v>
      </c>
      <c r="D11" s="17">
        <v>600.0</v>
      </c>
      <c r="E11" s="17">
        <v>0.0</v>
      </c>
      <c r="F11" s="17">
        <v>0.0</v>
      </c>
      <c r="G11" s="17">
        <v>0.0</v>
      </c>
      <c r="H11" s="24">
        <f t="shared" si="1"/>
        <v>600</v>
      </c>
      <c r="I11" s="24">
        <f t="shared" si="2"/>
        <v>10.5</v>
      </c>
      <c r="J11" s="17">
        <f t="shared" si="3"/>
        <v>589.5</v>
      </c>
    </row>
    <row r="12">
      <c r="A12" s="12">
        <v>46276.0</v>
      </c>
      <c r="B12" s="14" t="s">
        <v>31</v>
      </c>
      <c r="C12" s="38">
        <v>0.0</v>
      </c>
      <c r="D12" s="17">
        <v>0.0</v>
      </c>
      <c r="E12" s="17">
        <v>0.0</v>
      </c>
      <c r="F12" s="17">
        <v>0.0</v>
      </c>
      <c r="G12" s="17">
        <v>0.0</v>
      </c>
      <c r="H12" s="24">
        <f t="shared" si="1"/>
        <v>0</v>
      </c>
      <c r="I12" s="24">
        <f t="shared" si="2"/>
        <v>0</v>
      </c>
      <c r="J12" s="17">
        <f t="shared" si="3"/>
        <v>0</v>
      </c>
    </row>
    <row r="13">
      <c r="A13" s="12">
        <v>46277.0</v>
      </c>
      <c r="B13" s="14" t="s">
        <v>33</v>
      </c>
      <c r="C13" s="36">
        <v>0.0</v>
      </c>
      <c r="D13" s="17">
        <v>0.0</v>
      </c>
      <c r="E13" s="17">
        <v>0.0</v>
      </c>
      <c r="F13" s="17">
        <v>0.0</v>
      </c>
      <c r="G13" s="17">
        <v>0.0</v>
      </c>
      <c r="H13" s="24">
        <f t="shared" si="1"/>
        <v>0</v>
      </c>
      <c r="I13" s="24">
        <f t="shared" si="2"/>
        <v>0</v>
      </c>
      <c r="J13" s="17">
        <f t="shared" si="3"/>
        <v>0</v>
      </c>
    </row>
    <row r="14">
      <c r="A14" s="12">
        <v>46278.0</v>
      </c>
      <c r="B14" s="14" t="s">
        <v>34</v>
      </c>
      <c r="C14" s="38">
        <v>0.0</v>
      </c>
      <c r="D14" s="17">
        <v>0.0</v>
      </c>
      <c r="E14" s="17">
        <v>0.0</v>
      </c>
      <c r="F14" s="17">
        <v>0.0</v>
      </c>
      <c r="G14" s="17">
        <v>0.0</v>
      </c>
      <c r="H14" s="24">
        <f t="shared" si="1"/>
        <v>0</v>
      </c>
      <c r="I14" s="24">
        <f t="shared" si="2"/>
        <v>0</v>
      </c>
      <c r="J14" s="17">
        <f t="shared" si="3"/>
        <v>0</v>
      </c>
    </row>
    <row r="15">
      <c r="A15" s="12">
        <v>46279.0</v>
      </c>
      <c r="B15" s="14" t="s">
        <v>35</v>
      </c>
      <c r="C15" s="38">
        <v>0.0</v>
      </c>
      <c r="D15" s="17">
        <v>0.0</v>
      </c>
      <c r="E15" s="17">
        <v>0.0</v>
      </c>
      <c r="F15" s="17">
        <v>0.0</v>
      </c>
      <c r="G15" s="17">
        <v>0.0</v>
      </c>
      <c r="H15" s="24">
        <f t="shared" si="1"/>
        <v>0</v>
      </c>
      <c r="I15" s="24">
        <f t="shared" si="2"/>
        <v>0</v>
      </c>
      <c r="J15" s="17">
        <f t="shared" si="3"/>
        <v>0</v>
      </c>
    </row>
    <row r="16">
      <c r="A16" s="12">
        <v>46280.0</v>
      </c>
      <c r="B16" s="14" t="s">
        <v>14</v>
      </c>
      <c r="C16" s="36">
        <v>0.0</v>
      </c>
      <c r="D16" s="17">
        <v>0.0</v>
      </c>
      <c r="E16" s="17">
        <v>0.0</v>
      </c>
      <c r="F16" s="17">
        <v>0.0</v>
      </c>
      <c r="G16" s="17">
        <v>0.0</v>
      </c>
      <c r="H16" s="24">
        <f t="shared" si="1"/>
        <v>0</v>
      </c>
      <c r="I16" s="24">
        <f t="shared" si="2"/>
        <v>0</v>
      </c>
      <c r="J16" s="17">
        <f t="shared" si="3"/>
        <v>0</v>
      </c>
    </row>
    <row r="17">
      <c r="A17" s="12">
        <v>46281.0</v>
      </c>
      <c r="B17" s="14" t="s">
        <v>29</v>
      </c>
      <c r="C17" s="36">
        <v>0.0</v>
      </c>
      <c r="D17" s="17">
        <v>0.0</v>
      </c>
      <c r="E17" s="17">
        <v>0.0</v>
      </c>
      <c r="F17" s="17">
        <v>0.0</v>
      </c>
      <c r="G17" s="17">
        <v>0.0</v>
      </c>
      <c r="H17" s="24">
        <f t="shared" si="1"/>
        <v>0</v>
      </c>
      <c r="I17" s="24">
        <f t="shared" si="2"/>
        <v>0</v>
      </c>
      <c r="J17" s="17">
        <f t="shared" si="3"/>
        <v>0</v>
      </c>
    </row>
    <row r="18">
      <c r="A18" s="12">
        <v>46282.0</v>
      </c>
      <c r="B18" s="14" t="s">
        <v>30</v>
      </c>
      <c r="C18" s="36">
        <v>0.0</v>
      </c>
      <c r="D18" s="17">
        <v>0.0</v>
      </c>
      <c r="E18" s="17">
        <v>0.0</v>
      </c>
      <c r="F18" s="17">
        <v>0.0</v>
      </c>
      <c r="G18" s="17">
        <v>0.0</v>
      </c>
      <c r="H18" s="24">
        <f t="shared" si="1"/>
        <v>0</v>
      </c>
      <c r="I18" s="24">
        <f t="shared" si="2"/>
        <v>0</v>
      </c>
      <c r="J18" s="17">
        <f t="shared" si="3"/>
        <v>0</v>
      </c>
    </row>
    <row r="19">
      <c r="A19" s="12">
        <v>46283.0</v>
      </c>
      <c r="B19" s="14" t="s">
        <v>31</v>
      </c>
      <c r="C19" s="36">
        <v>0.0</v>
      </c>
      <c r="D19" s="17">
        <v>0.0</v>
      </c>
      <c r="E19" s="17">
        <v>0.0</v>
      </c>
      <c r="F19" s="17">
        <v>0.0</v>
      </c>
      <c r="G19" s="17">
        <v>0.0</v>
      </c>
      <c r="H19" s="24">
        <f t="shared" si="1"/>
        <v>0</v>
      </c>
      <c r="I19" s="24">
        <f t="shared" si="2"/>
        <v>0</v>
      </c>
      <c r="J19" s="17">
        <f t="shared" si="3"/>
        <v>0</v>
      </c>
    </row>
    <row r="20">
      <c r="A20" s="12">
        <v>46284.0</v>
      </c>
      <c r="B20" s="14" t="s">
        <v>33</v>
      </c>
      <c r="C20" s="36">
        <v>0.0</v>
      </c>
      <c r="D20" s="17">
        <v>0.0</v>
      </c>
      <c r="E20" s="17">
        <v>0.0</v>
      </c>
      <c r="F20" s="17">
        <v>0.0</v>
      </c>
      <c r="G20" s="17">
        <v>0.0</v>
      </c>
      <c r="H20" s="24">
        <f t="shared" si="1"/>
        <v>0</v>
      </c>
      <c r="I20" s="24">
        <f t="shared" si="2"/>
        <v>0</v>
      </c>
      <c r="J20" s="17">
        <f t="shared" si="3"/>
        <v>0</v>
      </c>
    </row>
    <row r="21">
      <c r="A21" s="12">
        <v>46285.0</v>
      </c>
      <c r="B21" s="14" t="s">
        <v>34</v>
      </c>
      <c r="C21" s="36">
        <v>0.0</v>
      </c>
      <c r="D21" s="17">
        <v>0.0</v>
      </c>
      <c r="E21" s="17">
        <v>0.0</v>
      </c>
      <c r="F21" s="17">
        <v>0.0</v>
      </c>
      <c r="G21" s="17">
        <v>0.0</v>
      </c>
      <c r="H21" s="24">
        <f t="shared" si="1"/>
        <v>0</v>
      </c>
      <c r="I21" s="24">
        <f t="shared" si="2"/>
        <v>0</v>
      </c>
      <c r="J21" s="17">
        <f t="shared" si="3"/>
        <v>0</v>
      </c>
    </row>
    <row r="22">
      <c r="A22" s="12">
        <v>46286.0</v>
      </c>
      <c r="B22" s="14" t="s">
        <v>35</v>
      </c>
      <c r="C22" s="38">
        <v>0.0</v>
      </c>
      <c r="D22" s="17">
        <v>0.0</v>
      </c>
      <c r="E22" s="17">
        <v>0.0</v>
      </c>
      <c r="F22" s="17">
        <v>0.0</v>
      </c>
      <c r="G22" s="17">
        <v>0.0</v>
      </c>
      <c r="H22" s="24">
        <f t="shared" si="1"/>
        <v>0</v>
      </c>
      <c r="I22" s="24">
        <f t="shared" si="2"/>
        <v>0</v>
      </c>
      <c r="J22" s="17">
        <f t="shared" si="3"/>
        <v>0</v>
      </c>
    </row>
    <row r="23">
      <c r="A23" s="12">
        <v>46287.0</v>
      </c>
      <c r="B23" s="14" t="s">
        <v>14</v>
      </c>
      <c r="C23" s="38">
        <v>0.0</v>
      </c>
      <c r="D23" s="17">
        <v>0.0</v>
      </c>
      <c r="E23" s="17">
        <v>0.0</v>
      </c>
      <c r="F23" s="17">
        <v>0.0</v>
      </c>
      <c r="G23" s="17">
        <v>0.0</v>
      </c>
      <c r="H23" s="24">
        <f t="shared" si="1"/>
        <v>0</v>
      </c>
      <c r="I23" s="24">
        <f t="shared" si="2"/>
        <v>0</v>
      </c>
      <c r="J23" s="17">
        <f t="shared" si="3"/>
        <v>0</v>
      </c>
    </row>
    <row r="24">
      <c r="A24" s="12">
        <v>46288.0</v>
      </c>
      <c r="B24" s="14" t="s">
        <v>29</v>
      </c>
      <c r="C24" s="38">
        <v>0.0</v>
      </c>
      <c r="D24" s="17">
        <v>0.0</v>
      </c>
      <c r="E24" s="17">
        <v>0.0</v>
      </c>
      <c r="F24" s="17">
        <v>0.0</v>
      </c>
      <c r="G24" s="17">
        <v>0.0</v>
      </c>
      <c r="H24" s="24">
        <f t="shared" si="1"/>
        <v>0</v>
      </c>
      <c r="I24" s="24">
        <f t="shared" si="2"/>
        <v>0</v>
      </c>
      <c r="J24" s="17">
        <f t="shared" si="3"/>
        <v>0</v>
      </c>
    </row>
    <row r="25">
      <c r="A25" s="12">
        <v>46289.0</v>
      </c>
      <c r="B25" s="14" t="s">
        <v>30</v>
      </c>
      <c r="C25" s="38">
        <v>1.0</v>
      </c>
      <c r="D25" s="17">
        <v>700.0</v>
      </c>
      <c r="E25" s="17">
        <v>0.0</v>
      </c>
      <c r="F25" s="17">
        <v>0.0</v>
      </c>
      <c r="G25" s="17">
        <v>0.0</v>
      </c>
      <c r="H25" s="24">
        <f t="shared" si="1"/>
        <v>700</v>
      </c>
      <c r="I25" s="24">
        <f t="shared" si="2"/>
        <v>12.25</v>
      </c>
      <c r="J25" s="17">
        <f t="shared" si="3"/>
        <v>687.75</v>
      </c>
    </row>
    <row r="26">
      <c r="A26" s="12">
        <v>46290.0</v>
      </c>
      <c r="B26" s="14" t="s">
        <v>31</v>
      </c>
      <c r="C26" s="38">
        <v>0.0</v>
      </c>
      <c r="D26" s="17">
        <v>0.0</v>
      </c>
      <c r="E26" s="17">
        <v>0.0</v>
      </c>
      <c r="F26" s="17">
        <v>0.0</v>
      </c>
      <c r="G26" s="17">
        <v>0.0</v>
      </c>
      <c r="H26" s="24">
        <f t="shared" si="1"/>
        <v>0</v>
      </c>
      <c r="I26" s="24">
        <f t="shared" si="2"/>
        <v>0</v>
      </c>
      <c r="J26" s="17">
        <f t="shared" si="3"/>
        <v>0</v>
      </c>
    </row>
    <row r="27">
      <c r="A27" s="12">
        <v>46291.0</v>
      </c>
      <c r="B27" s="14" t="s">
        <v>33</v>
      </c>
      <c r="C27" s="38">
        <v>0.0</v>
      </c>
      <c r="D27" s="17">
        <v>0.0</v>
      </c>
      <c r="E27" s="17">
        <v>0.0</v>
      </c>
      <c r="F27" s="17">
        <v>0.0</v>
      </c>
      <c r="G27" s="17">
        <v>0.0</v>
      </c>
      <c r="H27" s="24">
        <f t="shared" si="1"/>
        <v>0</v>
      </c>
      <c r="I27" s="24">
        <f t="shared" si="2"/>
        <v>0</v>
      </c>
      <c r="J27" s="17">
        <f t="shared" si="3"/>
        <v>0</v>
      </c>
    </row>
    <row r="28">
      <c r="A28" s="12">
        <v>46292.0</v>
      </c>
      <c r="B28" s="14" t="s">
        <v>34</v>
      </c>
      <c r="C28" s="38">
        <v>0.0</v>
      </c>
      <c r="D28" s="17">
        <v>0.0</v>
      </c>
      <c r="E28" s="17">
        <v>0.0</v>
      </c>
      <c r="F28" s="17">
        <v>0.0</v>
      </c>
      <c r="G28" s="17">
        <v>0.0</v>
      </c>
      <c r="H28" s="24">
        <f t="shared" si="1"/>
        <v>0</v>
      </c>
      <c r="I28" s="24">
        <f t="shared" si="2"/>
        <v>0</v>
      </c>
      <c r="J28" s="17">
        <f t="shared" si="3"/>
        <v>0</v>
      </c>
    </row>
    <row r="29">
      <c r="A29" s="12">
        <v>46293.0</v>
      </c>
      <c r="B29" s="14" t="s">
        <v>35</v>
      </c>
      <c r="C29" s="38">
        <v>0.0</v>
      </c>
      <c r="D29" s="17">
        <v>0.0</v>
      </c>
      <c r="E29" s="17">
        <v>0.0</v>
      </c>
      <c r="F29" s="17">
        <v>0.0</v>
      </c>
      <c r="G29" s="17">
        <v>0.0</v>
      </c>
      <c r="H29" s="24">
        <f t="shared" si="1"/>
        <v>0</v>
      </c>
      <c r="I29" s="24">
        <f t="shared" si="2"/>
        <v>0</v>
      </c>
      <c r="J29" s="17">
        <f t="shared" si="3"/>
        <v>0</v>
      </c>
    </row>
    <row r="30">
      <c r="A30" s="12">
        <v>46294.0</v>
      </c>
      <c r="B30" s="14" t="s">
        <v>14</v>
      </c>
      <c r="C30" s="38">
        <v>1.0</v>
      </c>
      <c r="D30" s="17">
        <v>0.0</v>
      </c>
      <c r="E30" s="17">
        <v>1400.0</v>
      </c>
      <c r="F30" s="17">
        <v>0.0</v>
      </c>
      <c r="G30" s="17">
        <v>0.0</v>
      </c>
      <c r="H30" s="24">
        <f t="shared" si="1"/>
        <v>1400</v>
      </c>
      <c r="I30" s="24">
        <f t="shared" si="2"/>
        <v>24.5</v>
      </c>
      <c r="J30" s="17">
        <f t="shared" si="3"/>
        <v>1375.5</v>
      </c>
    </row>
    <row r="31">
      <c r="A31" s="12">
        <v>46295.0</v>
      </c>
      <c r="B31" s="14" t="s">
        <v>29</v>
      </c>
      <c r="C31" s="38">
        <v>0.0</v>
      </c>
      <c r="D31" s="17">
        <v>0.0</v>
      </c>
      <c r="E31" s="17">
        <v>0.0</v>
      </c>
      <c r="F31" s="17">
        <v>0.0</v>
      </c>
      <c r="G31" s="17">
        <v>0.0</v>
      </c>
      <c r="H31" s="24">
        <f t="shared" si="1"/>
        <v>0</v>
      </c>
      <c r="I31" s="24">
        <f t="shared" si="2"/>
        <v>0</v>
      </c>
      <c r="J31" s="17">
        <f t="shared" si="3"/>
        <v>0</v>
      </c>
    </row>
    <row r="32">
      <c r="A32" s="61" t="s">
        <v>15</v>
      </c>
      <c r="B32" s="61"/>
      <c r="C32" s="62"/>
      <c r="D32" s="61">
        <f t="shared" ref="D32:J32" si="4">SUM(D2:D31)</f>
        <v>1300</v>
      </c>
      <c r="E32" s="61">
        <f t="shared" si="4"/>
        <v>1400</v>
      </c>
      <c r="F32" s="61">
        <f t="shared" si="4"/>
        <v>0</v>
      </c>
      <c r="G32" s="61">
        <f t="shared" si="4"/>
        <v>0</v>
      </c>
      <c r="H32" s="61">
        <f t="shared" si="4"/>
        <v>2700</v>
      </c>
      <c r="I32" s="61">
        <f t="shared" si="4"/>
        <v>47.25</v>
      </c>
      <c r="J32" s="61">
        <f t="shared" si="4"/>
        <v>2652.75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4.38"/>
    <col customWidth="1" min="9" max="9" width="14.13"/>
  </cols>
  <sheetData>
    <row r="1">
      <c r="A1" s="21" t="s">
        <v>6</v>
      </c>
      <c r="B1" s="23" t="s">
        <v>0</v>
      </c>
      <c r="C1" s="23" t="s">
        <v>21</v>
      </c>
      <c r="D1" s="23" t="s">
        <v>23</v>
      </c>
      <c r="E1" s="26" t="s">
        <v>25</v>
      </c>
      <c r="F1" s="23" t="s">
        <v>13</v>
      </c>
      <c r="G1" s="27" t="s">
        <v>26</v>
      </c>
      <c r="H1" s="27" t="s">
        <v>24</v>
      </c>
      <c r="I1" s="23" t="s">
        <v>27</v>
      </c>
    </row>
    <row r="2">
      <c r="A2" s="29"/>
      <c r="B2" s="31" t="s">
        <v>1</v>
      </c>
      <c r="C2" s="34">
        <v>2990.0</v>
      </c>
      <c r="D2" s="34">
        <v>179.0</v>
      </c>
      <c r="E2" s="35">
        <v>32.0</v>
      </c>
      <c r="F2" s="40">
        <f>C2-D2-E2</f>
        <v>2779</v>
      </c>
      <c r="G2" s="34">
        <v>14.0</v>
      </c>
      <c r="H2" s="34">
        <v>3.0</v>
      </c>
      <c r="I2" s="43">
        <f>F2-G2-H2</f>
        <v>2762</v>
      </c>
    </row>
    <row r="3">
      <c r="A3" s="45"/>
      <c r="B3" s="46"/>
      <c r="C3" s="46"/>
      <c r="D3" s="46"/>
      <c r="E3" s="47"/>
      <c r="F3" s="47"/>
      <c r="G3" s="46"/>
      <c r="H3" s="46"/>
      <c r="I3" s="46"/>
    </row>
    <row r="4">
      <c r="A4" s="45"/>
      <c r="B4" s="51" t="s">
        <v>15</v>
      </c>
      <c r="C4" s="52">
        <f t="shared" ref="C4:F4" si="1">SUM(C2:C3)</f>
        <v>2990</v>
      </c>
      <c r="D4" s="52">
        <f t="shared" si="1"/>
        <v>179</v>
      </c>
      <c r="E4" s="52">
        <f t="shared" si="1"/>
        <v>32</v>
      </c>
      <c r="F4" s="49">
        <f t="shared" si="1"/>
        <v>2779</v>
      </c>
      <c r="G4" s="53"/>
      <c r="H4" s="53"/>
      <c r="I4" s="52">
        <f>SUM(I2:I3)</f>
        <v>2762</v>
      </c>
    </row>
    <row r="6">
      <c r="A6" s="55" t="s">
        <v>16</v>
      </c>
      <c r="B6" s="56">
        <f>C2</f>
        <v>2990</v>
      </c>
    </row>
    <row r="7">
      <c r="A7" s="55" t="s">
        <v>17</v>
      </c>
      <c r="B7" s="57">
        <v>0.0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23.88"/>
  </cols>
  <sheetData>
    <row r="1">
      <c r="A1" s="20" t="s">
        <v>6</v>
      </c>
      <c r="B1" s="22" t="s">
        <v>0</v>
      </c>
      <c r="C1" s="22" t="s">
        <v>20</v>
      </c>
      <c r="D1" s="22" t="s">
        <v>22</v>
      </c>
      <c r="E1" s="22" t="s">
        <v>13</v>
      </c>
      <c r="F1" s="22" t="s">
        <v>24</v>
      </c>
      <c r="G1" s="22" t="s">
        <v>26</v>
      </c>
      <c r="H1" s="23" t="s">
        <v>12</v>
      </c>
    </row>
    <row r="2">
      <c r="A2" s="28"/>
      <c r="B2" s="31" t="s">
        <v>1</v>
      </c>
      <c r="C2" s="33">
        <v>700.0</v>
      </c>
      <c r="D2" s="33">
        <v>91.0</v>
      </c>
      <c r="E2" s="37">
        <f>C2-D2</f>
        <v>609</v>
      </c>
      <c r="F2" s="33">
        <v>0.5</v>
      </c>
      <c r="G2" s="33">
        <v>3.0</v>
      </c>
      <c r="H2" s="33">
        <f>E2-F2-G2</f>
        <v>605.5</v>
      </c>
    </row>
    <row r="3">
      <c r="A3" s="39"/>
      <c r="B3" s="44" t="s">
        <v>15</v>
      </c>
      <c r="C3" s="49">
        <f t="shared" ref="C3:E3" si="1">SUM(C2)</f>
        <v>700</v>
      </c>
      <c r="D3" s="49">
        <f t="shared" si="1"/>
        <v>91</v>
      </c>
      <c r="E3" s="49">
        <f t="shared" si="1"/>
        <v>609</v>
      </c>
      <c r="F3" s="13"/>
      <c r="G3" s="13"/>
      <c r="H3" s="49">
        <f>SUM(H2)</f>
        <v>605.5</v>
      </c>
    </row>
    <row r="5">
      <c r="A5" s="55" t="s">
        <v>16</v>
      </c>
      <c r="B5" s="56">
        <f>C3-B6-B7</f>
        <v>700</v>
      </c>
    </row>
    <row r="6">
      <c r="A6" s="55" t="s">
        <v>17</v>
      </c>
      <c r="B6" s="58">
        <v>0.0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0"/>
    <col customWidth="1" min="4" max="4" width="14.38"/>
    <col customWidth="1" min="9" max="9" width="14.13"/>
  </cols>
  <sheetData>
    <row r="1">
      <c r="A1" s="20" t="s">
        <v>6</v>
      </c>
      <c r="B1" s="22" t="s">
        <v>0</v>
      </c>
      <c r="C1" s="22" t="s">
        <v>61</v>
      </c>
      <c r="D1" s="22" t="s">
        <v>23</v>
      </c>
      <c r="E1" s="22" t="s">
        <v>62</v>
      </c>
      <c r="F1" s="22" t="s">
        <v>13</v>
      </c>
      <c r="G1" s="22" t="s">
        <v>63</v>
      </c>
      <c r="H1" s="22" t="s">
        <v>64</v>
      </c>
      <c r="I1" s="22" t="s">
        <v>27</v>
      </c>
    </row>
    <row r="2">
      <c r="A2" s="77"/>
      <c r="B2" s="31" t="s">
        <v>1</v>
      </c>
      <c r="C2" s="79">
        <v>28705.0</v>
      </c>
      <c r="D2" s="79">
        <v>2450.0</v>
      </c>
      <c r="E2" s="80">
        <v>411.0</v>
      </c>
      <c r="F2" s="40">
        <f>C2-D2-E2</f>
        <v>25844</v>
      </c>
      <c r="G2" s="80">
        <v>19.0</v>
      </c>
      <c r="H2" s="80">
        <v>0.0</v>
      </c>
      <c r="I2" s="79">
        <f>F2-G2</f>
        <v>25825</v>
      </c>
    </row>
    <row r="3">
      <c r="A3" s="77"/>
      <c r="B3" s="81" t="s">
        <v>15</v>
      </c>
      <c r="C3" s="82">
        <f t="shared" ref="C3:F3" si="1">sum(C2)</f>
        <v>28705</v>
      </c>
      <c r="D3" s="82">
        <f t="shared" si="1"/>
        <v>2450</v>
      </c>
      <c r="E3" s="82">
        <f t="shared" si="1"/>
        <v>411</v>
      </c>
      <c r="F3" s="82">
        <f t="shared" si="1"/>
        <v>25844</v>
      </c>
      <c r="G3" s="13"/>
      <c r="H3" s="13"/>
      <c r="I3" s="82">
        <f>sum(I2)</f>
        <v>25825</v>
      </c>
    </row>
    <row r="5">
      <c r="A5" s="55" t="s">
        <v>16</v>
      </c>
      <c r="B5" s="58">
        <v>7280.0</v>
      </c>
    </row>
    <row r="6">
      <c r="A6" s="55" t="s">
        <v>17</v>
      </c>
      <c r="B6" s="58">
        <f>C3-B5</f>
        <v>21425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25"/>
    <col customWidth="1" min="2" max="2" width="18.25"/>
    <col customWidth="1" min="3" max="3" width="14.38"/>
    <col customWidth="1" min="4" max="4" width="14.13"/>
  </cols>
  <sheetData>
    <row r="1">
      <c r="A1" s="23" t="s">
        <v>0</v>
      </c>
      <c r="B1" s="23" t="s">
        <v>60</v>
      </c>
      <c r="C1" s="23" t="s">
        <v>23</v>
      </c>
      <c r="D1" s="23" t="s">
        <v>27</v>
      </c>
    </row>
    <row r="2">
      <c r="A2" s="31" t="s">
        <v>1</v>
      </c>
      <c r="B2" s="34">
        <v>4754.0</v>
      </c>
      <c r="C2" s="69">
        <f>B2*5%</f>
        <v>237.7</v>
      </c>
      <c r="D2" s="69">
        <f>B2-C2</f>
        <v>4516.3</v>
      </c>
    </row>
    <row r="3">
      <c r="A3" s="31"/>
      <c r="B3" s="34"/>
      <c r="C3" s="69"/>
      <c r="D3" s="69"/>
    </row>
    <row r="4">
      <c r="A4" s="70" t="s">
        <v>15</v>
      </c>
      <c r="B4" s="71">
        <f t="shared" ref="B4:D4" si="1">SUM(B2)</f>
        <v>4754</v>
      </c>
      <c r="C4" s="71">
        <f t="shared" si="1"/>
        <v>237.7</v>
      </c>
      <c r="D4" s="71">
        <f t="shared" si="1"/>
        <v>4516.3</v>
      </c>
      <c r="E4" s="72"/>
      <c r="F4" s="72"/>
      <c r="G4" s="72"/>
      <c r="H4" s="72"/>
      <c r="I4" s="72"/>
      <c r="J4" s="73"/>
      <c r="K4" s="72"/>
      <c r="L4" s="73"/>
      <c r="M4" s="73"/>
    </row>
    <row r="5">
      <c r="A5" s="74"/>
      <c r="B5" s="75"/>
      <c r="C5" s="76"/>
      <c r="D5" s="78"/>
    </row>
    <row r="6">
      <c r="A6" s="55" t="s">
        <v>16</v>
      </c>
      <c r="B6" s="58">
        <v>0.0</v>
      </c>
      <c r="C6" s="76"/>
      <c r="D6" s="78"/>
    </row>
    <row r="7">
      <c r="A7" s="55" t="s">
        <v>17</v>
      </c>
      <c r="B7" s="57">
        <v>4754.0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22" t="s">
        <v>65</v>
      </c>
      <c r="B1" s="22" t="s">
        <v>66</v>
      </c>
      <c r="C1" s="22" t="s">
        <v>67</v>
      </c>
      <c r="D1" s="22" t="s">
        <v>68</v>
      </c>
      <c r="E1" s="52" t="s">
        <v>69</v>
      </c>
      <c r="F1" s="10" t="s">
        <v>11</v>
      </c>
      <c r="G1" s="10" t="s">
        <v>13</v>
      </c>
    </row>
    <row r="2">
      <c r="A2" s="39" t="s">
        <v>70</v>
      </c>
      <c r="B2" s="39" t="s">
        <v>71</v>
      </c>
      <c r="C2" s="39" t="s">
        <v>72</v>
      </c>
      <c r="D2" s="39" t="s">
        <v>73</v>
      </c>
      <c r="E2" s="43">
        <v>2720.0</v>
      </c>
      <c r="F2" s="24">
        <f>E2*1.75%</f>
        <v>47.6</v>
      </c>
      <c r="G2" s="17">
        <f>E2-F2</f>
        <v>2672.4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75"/>
    <col customWidth="1" min="3" max="3" width="15.25"/>
  </cols>
  <sheetData>
    <row r="1">
      <c r="A1" s="22" t="s">
        <v>75</v>
      </c>
      <c r="B1" s="22" t="s">
        <v>76</v>
      </c>
      <c r="C1" s="22" t="s">
        <v>77</v>
      </c>
    </row>
    <row r="2">
      <c r="A2" s="63" t="s">
        <v>70</v>
      </c>
      <c r="B2" s="63" t="s">
        <v>78</v>
      </c>
      <c r="C2" s="83">
        <v>118000.0</v>
      </c>
    </row>
  </sheetData>
  <drawing r:id="rId1"/>
</worksheet>
</file>