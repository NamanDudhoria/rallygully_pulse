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Memberships" sheetId="4" r:id="rId8"/>
  </sheets>
  <definedNames/>
  <calcPr/>
</workbook>
</file>

<file path=xl/sharedStrings.xml><?xml version="1.0" encoding="utf-8"?>
<sst xmlns="http://schemas.openxmlformats.org/spreadsheetml/2006/main" count="88" uniqueCount="65">
  <si>
    <t>Date</t>
  </si>
  <si>
    <t>Month</t>
  </si>
  <si>
    <t>Link</t>
  </si>
  <si>
    <t>1 - 30 Sept</t>
  </si>
  <si>
    <t>Day</t>
  </si>
  <si>
    <t>Member Name</t>
  </si>
  <si>
    <t>Sports Type</t>
  </si>
  <si>
    <t>Offline booking hours</t>
  </si>
  <si>
    <t>Credits Issued</t>
  </si>
  <si>
    <t>Discount Given</t>
  </si>
  <si>
    <t>Booking Revenue</t>
  </si>
  <si>
    <t>Community Revenue</t>
  </si>
  <si>
    <t xml:space="preserve">Paddle Rental </t>
  </si>
  <si>
    <t>Particulars</t>
  </si>
  <si>
    <t>Total Revenue</t>
  </si>
  <si>
    <t>Amount Collected</t>
  </si>
  <si>
    <t>Payment Gateway</t>
  </si>
  <si>
    <t>Amount</t>
  </si>
  <si>
    <t>Net Revenue</t>
  </si>
  <si>
    <t>September</t>
  </si>
  <si>
    <t>Tanu</t>
  </si>
  <si>
    <t>Pickleball</t>
  </si>
  <si>
    <t>Tuesday</t>
  </si>
  <si>
    <t>Pay &amp; Play</t>
  </si>
  <si>
    <t>Paid to District</t>
  </si>
  <si>
    <t>Commissions (₹)</t>
  </si>
  <si>
    <t>GST on Commission</t>
  </si>
  <si>
    <t>10 Hours</t>
  </si>
  <si>
    <t>TCS</t>
  </si>
  <si>
    <t>TDS</t>
  </si>
  <si>
    <t>Final Amount (₹)</t>
  </si>
  <si>
    <t xml:space="preserve">Online </t>
  </si>
  <si>
    <t>Wednesday</t>
  </si>
  <si>
    <t>District</t>
  </si>
  <si>
    <t>Thursday</t>
  </si>
  <si>
    <t>Friday</t>
  </si>
  <si>
    <t>Hudle</t>
  </si>
  <si>
    <t>Saturday</t>
  </si>
  <si>
    <t>Playo</t>
  </si>
  <si>
    <t>Khelomore</t>
  </si>
  <si>
    <t>Sunday</t>
  </si>
  <si>
    <t>Total</t>
  </si>
  <si>
    <t>Zplys</t>
  </si>
  <si>
    <t>Offline</t>
  </si>
  <si>
    <t>Monday</t>
  </si>
  <si>
    <t>Bookings</t>
  </si>
  <si>
    <t>Memberships</t>
  </si>
  <si>
    <t>Community</t>
  </si>
  <si>
    <t>Pickup games</t>
  </si>
  <si>
    <t>Social Events/Tournaments</t>
  </si>
  <si>
    <t>Community Partnership</t>
  </si>
  <si>
    <t>Academy</t>
  </si>
  <si>
    <t>B2B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</si>
  <si>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</si>
  <si>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</si>
  <si>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</si>
  <si>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</si>
  <si>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</si>
  <si>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</si>
  <si>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</si>
  <si>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</si>
  <si>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 xml:space="preserve">GST </t>
  </si>
  <si>
    <t>Net Revenue Post GST</t>
  </si>
  <si>
    <t>Commissions, Payment gateway &amp; Event Expense</t>
  </si>
  <si>
    <t xml:space="preserve">Net Revenue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</si>
</sst>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₹]#,##0"/>
    <numFmt numFmtId="165" formatCode="[&gt;9999999][$₹]##\,##\,##\,##0;[&gt;99999][$₹]##\,##\,##0;[$₹]##,##0"/>
    <numFmt numFmtId="166" formatCode="[$₹]#,##0.00"/>
    <numFmt numFmtId="167" formatCode="d mmmm"/>
  </numFmts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u/>
      <color rgb="FF0000FF"/>
      <name val="Arial"/>
    </font>
    <font>
      <b/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2" numFmtId="164" xfId="0" applyAlignment="1" applyBorder="1" applyFill="1" applyFont="1" applyNumberForma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1" fillId="2" fontId="2" numFmtId="3" xfId="0" applyAlignment="1" applyBorder="1" applyFill="1" applyFont="1" applyNumberFormat="1">
      <alignment horizontal="center" vertical="bottom"/>
    </xf>
    <xf borderId="1" fillId="2" fontId="2" numFmtId="0" xfId="0" applyAlignment="1" applyBorder="1" applyFill="1" applyFont="1">
      <alignment horizontal="right" vertical="bottom"/>
    </xf>
    <xf borderId="1" fillId="0" fontId="2" numFmtId="165" xfId="0" applyAlignment="1" applyBorder="1" applyFont="1" applyNumberFormat="1">
      <alignment horizontal="center" vertical="bottom"/>
    </xf>
    <xf borderId="1" fillId="2" fontId="2" numFmtId="166" xfId="0" applyAlignment="1" applyBorder="1" applyFill="1" applyFont="1" applyNumberFormat="1">
      <alignment horizontal="center" vertical="bottom"/>
    </xf>
    <xf borderId="1" fillId="2" fontId="2" numFmtId="3" xfId="0" applyAlignment="1" applyBorder="1" applyFill="1" applyFont="1" applyNumberFormat="1">
      <alignment vertical="bottom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2" fontId="1" numFmtId="165" xfId="0" applyAlignment="1" applyBorder="1" applyFill="1" applyFont="1" applyNumberFormat="1">
      <alignment vertical="bottom"/>
    </xf>
    <xf borderId="1" fillId="3" fontId="1" numFmtId="167" xfId="0" applyAlignment="1" applyBorder="1" applyFill="1" applyFont="1" applyNumberFormat="1">
      <alignment horizontal="right" vertical="bottom"/>
    </xf>
    <xf borderId="1" fillId="0" fontId="1" numFmtId="0" xfId="0" applyAlignment="1" applyBorder="1" applyFont="1">
      <alignment readingOrder="0" vertical="bottom"/>
    </xf>
    <xf borderId="1" fillId="2" fontId="2" numFmtId="165" xfId="0" applyAlignment="1" applyBorder="1" applyFill="1" applyFont="1" applyNumberFormat="1">
      <alignment horizontal="center" vertical="bottom"/>
    </xf>
    <xf borderId="1" fillId="3" fontId="1" numFmtId="164" xfId="0" applyAlignment="1" applyBorder="1" applyFill="1" applyFont="1" applyNumberFormat="1">
      <alignment vertical="bottom"/>
    </xf>
    <xf borderId="1" fillId="0" fontId="1" numFmtId="4" xfId="0" applyAlignment="1" applyBorder="1" applyFont="1" applyNumberFormat="1">
      <alignment horizontal="right" vertical="bottom"/>
    </xf>
    <xf borderId="1" fillId="2" fontId="4" numFmtId="166" xfId="0" applyAlignment="1" applyBorder="1" applyFill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2" fontId="5" numFmtId="164" xfId="0" applyAlignment="1" applyFill="1" applyFont="1" applyNumberFormat="1">
      <alignment vertical="bottom"/>
    </xf>
    <xf borderId="1" fillId="0" fontId="1" numFmtId="0" xfId="0" applyAlignment="1" applyBorder="1" applyFont="1">
      <alignment horizontal="right" vertical="bottom"/>
    </xf>
    <xf borderId="0" fillId="2" fontId="2" numFmtId="164" xfId="0" applyAlignment="1" applyFill="1" applyFont="1" applyNumberFormat="1">
      <alignment horizontal="center" vertical="bottom"/>
    </xf>
    <xf borderId="1" fillId="0" fontId="1" numFmtId="166" xfId="0" applyAlignment="1" applyBorder="1" applyFont="1" applyNumberFormat="1">
      <alignment horizontal="right" vertical="bottom"/>
    </xf>
    <xf borderId="1" fillId="0" fontId="2" numFmtId="165" xfId="0" applyAlignment="1" applyBorder="1" applyFont="1" applyNumberFormat="1">
      <alignment horizontal="right" vertical="bottom"/>
    </xf>
    <xf borderId="1" fillId="0" fontId="1" numFmtId="3" xfId="0" applyAlignment="1" applyBorder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1" fillId="0" fontId="1" numFmtId="166" xfId="0" applyAlignment="1" applyBorder="1" applyFont="1" applyNumberFormat="1">
      <alignment readingOrder="0" vertical="bottom"/>
    </xf>
    <xf borderId="1" fillId="0" fontId="1" numFmtId="164" xfId="0" applyAlignment="1" applyBorder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vertical="bottom"/>
    </xf>
    <xf borderId="1" fillId="0" fontId="1" numFmtId="165" xfId="0" applyAlignment="1" applyBorder="1" applyFont="1" applyNumberFormat="1">
      <alignment horizontal="right" vertical="bottom"/>
    </xf>
    <xf borderId="1" fillId="0" fontId="1" numFmtId="164" xfId="0" applyAlignment="1" applyBorder="1" applyFont="1" applyNumberFormat="1">
      <alignment vertical="bottom"/>
    </xf>
    <xf borderId="1" fillId="0" fontId="6" numFmtId="166" xfId="0" applyBorder="1" applyFont="1" applyNumberFormat="1"/>
    <xf borderId="1" fillId="2" fontId="2" numFmtId="164" xfId="0" applyAlignment="1" applyBorder="1" applyFill="1" applyFont="1" applyNumberFormat="1">
      <alignment vertical="bottom"/>
    </xf>
    <xf borderId="1" fillId="2" fontId="2" numFmtId="164" xfId="0" applyAlignment="1" applyBorder="1" applyFill="1" applyFont="1" applyNumberFormat="1">
      <alignment horizontal="right" vertical="bottom"/>
    </xf>
    <xf borderId="1" fillId="2" fontId="1" numFmtId="164" xfId="0" applyAlignment="1" applyBorder="1" applyFill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1" fillId="0" fontId="1" numFmtId="166" xfId="0" applyAlignment="1" applyBorder="1" applyFont="1" applyNumberFormat="1">
      <alignment vertical="bottom"/>
    </xf>
    <xf borderId="1" fillId="3" fontId="1" numFmtId="4" xfId="0" applyAlignment="1" applyBorder="1" applyFill="1" applyFont="1" applyNumberFormat="1">
      <alignment horizontal="right" vertical="bottom"/>
    </xf>
    <xf borderId="1" fillId="3" fontId="1" numFmtId="164" xfId="0" applyAlignment="1" applyBorder="1" applyFill="1" applyFont="1" applyNumberFormat="1">
      <alignment horizontal="right" vertical="bottom"/>
    </xf>
    <xf borderId="1" fillId="0" fontId="2" numFmtId="165" xfId="0" applyAlignment="1" applyBorder="1" applyFont="1" applyNumberFormat="1">
      <alignment readingOrder="0" vertical="bottom"/>
    </xf>
    <xf borderId="1" fillId="3" fontId="1" numFmtId="3" xfId="0" applyAlignment="1" applyBorder="1" applyFill="1" applyFont="1" applyNumberFormat="1">
      <alignment horizontal="right" vertical="bottom"/>
    </xf>
    <xf borderId="1" fillId="0" fontId="1" numFmtId="165" xfId="0" applyAlignment="1" applyBorder="1" applyFont="1" applyNumberFormat="1">
      <alignment horizontal="right" readingOrder="0" vertical="bottom"/>
    </xf>
    <xf borderId="1" fillId="0" fontId="2" numFmtId="164" xfId="0" applyAlignment="1" applyBorder="1" applyFont="1" applyNumberFormat="1">
      <alignment vertical="bottom"/>
    </xf>
    <xf borderId="1" fillId="2" fontId="2" numFmtId="166" xfId="0" applyAlignment="1" applyBorder="1" applyFill="1" applyFont="1" applyNumberFormat="1">
      <alignment vertical="bottom"/>
    </xf>
    <xf borderId="1" fillId="2" fontId="1" numFmtId="3" xfId="0" applyAlignment="1" applyBorder="1" applyFill="1" applyFont="1" applyNumberFormat="1">
      <alignment vertical="bottom"/>
    </xf>
    <xf borderId="1" fillId="2" fontId="2" numFmtId="3" xfId="0" applyAlignment="1" applyBorder="1" applyFill="1" applyFont="1" applyNumberFormat="1">
      <alignment horizontal="right" vertical="bottom"/>
    </xf>
    <xf borderId="1" fillId="0" fontId="1" numFmtId="164" xfId="0" applyAlignment="1" applyBorder="1" applyFont="1" applyNumberFormat="1">
      <alignment shrinkToFit="0" vertical="bottom" wrapText="1"/>
    </xf>
    <xf borderId="1" fillId="0" fontId="2" numFmtId="164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zdo4aURo-h4Px7kdswxxMul6V88HoiWj0wFxGiAwo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5" t="s">
        <v>3</v>
      </c>
      <c r="C2" s="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9" t="s">
        <v>13</v>
      </c>
      <c r="C3" s="12" t="s">
        <v>17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14"/>
      <c r="C4" s="17" t="s">
        <v>21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1" t="s">
        <v>23</v>
      </c>
      <c r="C5" s="28">
        <f>sum(C6,C12)</f>
        <v>19999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1" t="s">
        <v>31</v>
      </c>
      <c r="C6" s="28">
        <f>sum(C7:C11)</f>
        <v>14100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outlineLevel="1">
      <c r="A7" s="2"/>
      <c r="B7" s="33" t="s">
        <v>33</v>
      </c>
      <c r="C7" s="34">
        <f>District!C4</f>
        <v>14100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outlineLevel="1">
      <c r="A8" s="2"/>
      <c r="B8" s="33" t="s">
        <v>36</v>
      </c>
      <c r="C8" s="34">
        <v>0.0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outlineLevel="1">
      <c r="A9" s="2"/>
      <c r="B9" s="33" t="s">
        <v>38</v>
      </c>
      <c r="C9" s="34">
        <v>0.0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outlineLevel="1">
      <c r="A10" s="2"/>
      <c r="B10" s="33" t="s">
        <v>39</v>
      </c>
      <c r="C10" s="34">
        <v>0.0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outlineLevel="1">
      <c r="A11" s="2"/>
      <c r="B11" s="33" t="s">
        <v>42</v>
      </c>
      <c r="C11" s="34">
        <v>0.0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1" t="s">
        <v>43</v>
      </c>
      <c r="C12" s="28">
        <f>sum(C13:C14)</f>
        <v>5899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outlineLevel="1">
      <c r="A13" s="40"/>
      <c r="B13" s="33" t="s">
        <v>45</v>
      </c>
      <c r="C13" s="34">
        <f>'Offline &amp; RG Community'!D25</f>
        <v>399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outlineLevel="1">
      <c r="A14" s="2"/>
      <c r="B14" s="42" t="s">
        <v>46</v>
      </c>
      <c r="C14" s="34">
        <f>Memberships!E2</f>
        <v>5500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1" t="s">
        <v>47</v>
      </c>
      <c r="C15" s="28">
        <f>sum(C16:C18)</f>
        <v>399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outlineLevel="1">
      <c r="A16" s="2"/>
      <c r="B16" s="33" t="s">
        <v>48</v>
      </c>
      <c r="C16" s="34">
        <f>'Offline &amp; RG Community'!E25</f>
        <v>399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outlineLevel="1">
      <c r="A17" s="2"/>
      <c r="B17" s="33" t="s">
        <v>49</v>
      </c>
      <c r="C17" s="34">
        <v>0.0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33" t="s">
        <v>50</v>
      </c>
      <c r="C18" s="34">
        <v>0.0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1" t="s">
        <v>51</v>
      </c>
      <c r="C19" s="28">
        <v>0.0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45" t="s">
        <v>52</v>
      </c>
      <c r="C20" s="28">
        <f>sum(C21,C22)</f>
        <v>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outlineLevel="1">
      <c r="A21" s="2"/>
      <c r="B21" s="33" t="s">
        <v>53</v>
      </c>
      <c r="C21" s="47">
        <v>0.0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outlineLevel="1">
      <c r="A22" s="2"/>
      <c r="B22" s="33" t="s">
        <v>54</v>
      </c>
      <c r="C22" s="34">
        <v>0.0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1" t="s">
        <v>55</v>
      </c>
      <c r="C23" s="28">
        <f>sum(C24:C26)</f>
        <v>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outlineLevel="1">
      <c r="A24" s="2"/>
      <c r="B24" s="33" t="s">
        <v>56</v>
      </c>
      <c r="C24" s="34">
        <f>'Offline &amp; RG Community'!F25</f>
        <v>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outlineLevel="1">
      <c r="A25" s="2"/>
      <c r="B25" s="33" t="s">
        <v>57</v>
      </c>
      <c r="C25" s="34">
        <v>0.0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outlineLevel="1">
      <c r="A26" s="2"/>
      <c r="B26" s="33" t="s">
        <v>58</v>
      </c>
      <c r="C26" s="34">
        <v>0.0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40"/>
      <c r="B27" s="48" t="s">
        <v>59</v>
      </c>
      <c r="C27" s="28">
        <v>0.0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30"/>
      <c r="B28" s="49" t="s">
        <v>60</v>
      </c>
      <c r="C28" s="38">
        <f>C5+C15+C19+C20+C23+C27</f>
        <v>20398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30"/>
      <c r="B29" s="52" t="s">
        <v>61</v>
      </c>
      <c r="C29" s="53">
        <f>C28-(C28/1.18)</f>
        <v>3111.559322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30"/>
      <c r="B30" s="54" t="s">
        <v>62</v>
      </c>
      <c r="C30" s="53">
        <f>C28-C29</f>
        <v>17286.44068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52" t="s">
        <v>63</v>
      </c>
      <c r="C31" s="53">
        <f>'Offline &amp; RG Community'!I25+District!D4+District!E4+Memberships!F2</f>
        <v>1094.25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48" t="s">
        <v>64</v>
      </c>
      <c r="C32" s="53">
        <f>C28-C29-C31</f>
        <v>16192.19068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1.5"/>
    <col customWidth="1" min="2" max="2" width="9.75"/>
    <col customWidth="1" min="3" max="3" width="18.25"/>
    <col customWidth="1" min="4" max="4" width="15.13"/>
    <col customWidth="1" min="5" max="6" width="17.63"/>
    <col customWidth="1" min="7" max="9" width="15.25"/>
  </cols>
  <sheetData>
    <row r="1">
      <c r="A1" s="3" t="s">
        <v>0</v>
      </c>
      <c r="B1" s="3" t="s">
        <v>4</v>
      </c>
      <c r="C1" s="7" t="s">
        <v>7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14</v>
      </c>
      <c r="I1" s="11" t="s">
        <v>16</v>
      </c>
      <c r="J1" s="11" t="s">
        <v>18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5">
        <v>46273.0</v>
      </c>
      <c r="B2" s="18" t="s">
        <v>22</v>
      </c>
      <c r="C2" s="19">
        <v>0.0</v>
      </c>
      <c r="D2" s="22">
        <v>0.0</v>
      </c>
      <c r="E2" s="22">
        <v>0.0</v>
      </c>
      <c r="F2" s="22">
        <v>0.0</v>
      </c>
      <c r="G2" s="23">
        <v>0.0</v>
      </c>
      <c r="H2" s="22">
        <v>0.0</v>
      </c>
      <c r="I2" s="29">
        <f t="shared" ref="I2:I24" si="1">G2*1.75%</f>
        <v>0</v>
      </c>
      <c r="J2" s="29">
        <f t="shared" ref="J2:J24" si="2">G2-I2</f>
        <v>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5">
        <v>46274.0</v>
      </c>
      <c r="B3" s="18" t="s">
        <v>32</v>
      </c>
      <c r="C3" s="19">
        <v>0.0</v>
      </c>
      <c r="D3" s="22">
        <v>0.0</v>
      </c>
      <c r="E3" s="22">
        <v>0.0</v>
      </c>
      <c r="F3" s="22">
        <v>0.0</v>
      </c>
      <c r="G3" s="22">
        <v>0.0</v>
      </c>
      <c r="H3" s="22">
        <v>0.0</v>
      </c>
      <c r="I3" s="29">
        <f t="shared" si="1"/>
        <v>0</v>
      </c>
      <c r="J3" s="29">
        <f t="shared" si="2"/>
        <v>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5">
        <v>46275.0</v>
      </c>
      <c r="B4" s="18" t="s">
        <v>34</v>
      </c>
      <c r="C4" s="19">
        <v>0.0</v>
      </c>
      <c r="D4" s="22">
        <v>0.0</v>
      </c>
      <c r="E4" s="22">
        <v>0.0</v>
      </c>
      <c r="F4" s="22">
        <v>0.0</v>
      </c>
      <c r="G4" s="22">
        <v>0.0</v>
      </c>
      <c r="H4" s="22">
        <v>0.0</v>
      </c>
      <c r="I4" s="29">
        <f t="shared" si="1"/>
        <v>0</v>
      </c>
      <c r="J4" s="29">
        <f t="shared" si="2"/>
        <v>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5">
        <v>46276.0</v>
      </c>
      <c r="B5" s="18" t="s">
        <v>35</v>
      </c>
      <c r="C5" s="19">
        <v>0.0</v>
      </c>
      <c r="D5" s="22">
        <v>0.0</v>
      </c>
      <c r="E5" s="22">
        <v>0.0</v>
      </c>
      <c r="F5" s="22">
        <v>0.0</v>
      </c>
      <c r="G5" s="22">
        <v>0.0</v>
      </c>
      <c r="H5" s="22">
        <v>0.0</v>
      </c>
      <c r="I5" s="29">
        <f t="shared" si="1"/>
        <v>0</v>
      </c>
      <c r="J5" s="29">
        <f t="shared" si="2"/>
        <v>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5">
        <v>46277.0</v>
      </c>
      <c r="B6" s="18" t="s">
        <v>37</v>
      </c>
      <c r="C6" s="19">
        <v>0.0</v>
      </c>
      <c r="D6" s="22">
        <v>0.0</v>
      </c>
      <c r="E6" s="22">
        <v>0.0</v>
      </c>
      <c r="F6" s="22">
        <v>0.0</v>
      </c>
      <c r="G6" s="22">
        <v>0.0</v>
      </c>
      <c r="H6" s="22">
        <v>0.0</v>
      </c>
      <c r="I6" s="29">
        <f t="shared" si="1"/>
        <v>0</v>
      </c>
      <c r="J6" s="29">
        <f t="shared" si="2"/>
        <v>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5">
        <v>46278.0</v>
      </c>
      <c r="B7" s="18" t="s">
        <v>40</v>
      </c>
      <c r="C7" s="19">
        <v>0.0</v>
      </c>
      <c r="D7" s="22">
        <v>0.0</v>
      </c>
      <c r="E7" s="22">
        <v>0.0</v>
      </c>
      <c r="F7" s="22">
        <v>0.0</v>
      </c>
      <c r="G7" s="22">
        <v>0.0</v>
      </c>
      <c r="H7" s="22">
        <v>0.0</v>
      </c>
      <c r="I7" s="29">
        <f t="shared" si="1"/>
        <v>0</v>
      </c>
      <c r="J7" s="29">
        <f t="shared" si="2"/>
        <v>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5">
        <v>46279.0</v>
      </c>
      <c r="B8" s="18" t="s">
        <v>44</v>
      </c>
      <c r="C8" s="19">
        <v>0.0</v>
      </c>
      <c r="D8" s="22">
        <v>0.0</v>
      </c>
      <c r="E8" s="22">
        <v>0.0</v>
      </c>
      <c r="F8" s="22">
        <v>0.0</v>
      </c>
      <c r="G8" s="22">
        <v>0.0</v>
      </c>
      <c r="H8" s="22">
        <v>0.0</v>
      </c>
      <c r="I8" s="29">
        <f t="shared" si="1"/>
        <v>0</v>
      </c>
      <c r="J8" s="29">
        <f t="shared" si="2"/>
        <v>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5">
        <v>46280.0</v>
      </c>
      <c r="B9" s="18" t="s">
        <v>22</v>
      </c>
      <c r="C9" s="19">
        <v>0.0</v>
      </c>
      <c r="D9" s="22">
        <v>0.0</v>
      </c>
      <c r="E9" s="22">
        <v>0.0</v>
      </c>
      <c r="F9" s="22">
        <v>0.0</v>
      </c>
      <c r="G9" s="22">
        <v>0.0</v>
      </c>
      <c r="H9" s="22">
        <v>0.0</v>
      </c>
      <c r="I9" s="29">
        <f t="shared" si="1"/>
        <v>0</v>
      </c>
      <c r="J9" s="29">
        <f t="shared" si="2"/>
        <v>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5">
        <v>46281.0</v>
      </c>
      <c r="B10" s="18" t="s">
        <v>32</v>
      </c>
      <c r="C10" s="19">
        <v>0.0</v>
      </c>
      <c r="D10" s="22">
        <v>0.0</v>
      </c>
      <c r="E10" s="22">
        <v>0.0</v>
      </c>
      <c r="F10" s="22">
        <v>0.0</v>
      </c>
      <c r="G10" s="22">
        <v>0.0</v>
      </c>
      <c r="H10" s="22">
        <v>0.0</v>
      </c>
      <c r="I10" s="29">
        <f t="shared" si="1"/>
        <v>0</v>
      </c>
      <c r="J10" s="29">
        <f t="shared" si="2"/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5">
        <v>46282.0</v>
      </c>
      <c r="B11" s="18" t="s">
        <v>34</v>
      </c>
      <c r="C11" s="19">
        <v>0.0</v>
      </c>
      <c r="D11" s="22">
        <v>0.0</v>
      </c>
      <c r="E11" s="22">
        <v>0.0</v>
      </c>
      <c r="F11" s="22">
        <v>0.0</v>
      </c>
      <c r="G11" s="22">
        <v>0.0</v>
      </c>
      <c r="H11" s="22">
        <v>0.0</v>
      </c>
      <c r="I11" s="29">
        <f t="shared" si="1"/>
        <v>0</v>
      </c>
      <c r="J11" s="29">
        <f t="shared" si="2"/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5">
        <v>46283.0</v>
      </c>
      <c r="B12" s="18" t="s">
        <v>35</v>
      </c>
      <c r="C12" s="19">
        <v>0.0</v>
      </c>
      <c r="D12" s="22">
        <v>0.0</v>
      </c>
      <c r="E12" s="22">
        <v>0.0</v>
      </c>
      <c r="F12" s="22">
        <v>0.0</v>
      </c>
      <c r="G12" s="22">
        <v>0.0</v>
      </c>
      <c r="H12" s="22">
        <v>0.0</v>
      </c>
      <c r="I12" s="29">
        <f t="shared" si="1"/>
        <v>0</v>
      </c>
      <c r="J12" s="29">
        <f t="shared" si="2"/>
        <v>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5">
        <v>46284.0</v>
      </c>
      <c r="B13" s="18" t="s">
        <v>37</v>
      </c>
      <c r="C13" s="19">
        <v>0.0</v>
      </c>
      <c r="D13" s="22">
        <v>0.0</v>
      </c>
      <c r="E13" s="22">
        <v>0.0</v>
      </c>
      <c r="F13" s="22">
        <v>0.0</v>
      </c>
      <c r="G13" s="22">
        <v>0.0</v>
      </c>
      <c r="H13" s="22">
        <v>0.0</v>
      </c>
      <c r="I13" s="29">
        <f t="shared" si="1"/>
        <v>0</v>
      </c>
      <c r="J13" s="29">
        <f t="shared" si="2"/>
        <v>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5">
        <v>46285.0</v>
      </c>
      <c r="B14" s="18" t="s">
        <v>40</v>
      </c>
      <c r="C14" s="19">
        <v>0.0</v>
      </c>
      <c r="D14" s="22">
        <v>0.0</v>
      </c>
      <c r="E14" s="22">
        <v>0.0</v>
      </c>
      <c r="F14" s="22">
        <v>0.0</v>
      </c>
      <c r="G14" s="22">
        <v>0.0</v>
      </c>
      <c r="H14" s="22">
        <v>0.0</v>
      </c>
      <c r="I14" s="29">
        <f t="shared" si="1"/>
        <v>0</v>
      </c>
      <c r="J14" s="29">
        <f t="shared" si="2"/>
        <v>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5">
        <v>46286.0</v>
      </c>
      <c r="B15" s="18" t="s">
        <v>44</v>
      </c>
      <c r="C15" s="19">
        <v>0.0</v>
      </c>
      <c r="D15" s="22">
        <v>0.0</v>
      </c>
      <c r="E15" s="22">
        <v>0.0</v>
      </c>
      <c r="F15" s="22">
        <v>0.0</v>
      </c>
      <c r="G15" s="22">
        <v>0.0</v>
      </c>
      <c r="H15" s="22">
        <v>0.0</v>
      </c>
      <c r="I15" s="29">
        <f t="shared" si="1"/>
        <v>0</v>
      </c>
      <c r="J15" s="29">
        <f t="shared" si="2"/>
        <v>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5">
        <v>46287.0</v>
      </c>
      <c r="B16" s="18" t="s">
        <v>22</v>
      </c>
      <c r="C16" s="43">
        <v>1.0</v>
      </c>
      <c r="D16" s="44">
        <v>399.0</v>
      </c>
      <c r="E16" s="44">
        <v>399.0</v>
      </c>
      <c r="F16" s="44">
        <v>0.0</v>
      </c>
      <c r="G16" s="44">
        <v>0.0</v>
      </c>
      <c r="H16" s="44">
        <v>399.0</v>
      </c>
      <c r="I16" s="46">
        <f t="shared" si="1"/>
        <v>0</v>
      </c>
      <c r="J16" s="46">
        <f t="shared" si="2"/>
        <v>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5">
        <v>46288.0</v>
      </c>
      <c r="B17" s="18" t="s">
        <v>32</v>
      </c>
      <c r="C17" s="19">
        <v>0.0</v>
      </c>
      <c r="D17" s="22">
        <v>0.0</v>
      </c>
      <c r="E17" s="22">
        <v>0.0</v>
      </c>
      <c r="F17" s="22">
        <v>0.0</v>
      </c>
      <c r="G17" s="22">
        <v>0.0</v>
      </c>
      <c r="H17" s="22">
        <v>0.0</v>
      </c>
      <c r="I17" s="29">
        <f t="shared" si="1"/>
        <v>0</v>
      </c>
      <c r="J17" s="29">
        <f t="shared" si="2"/>
        <v>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5">
        <v>46289.0</v>
      </c>
      <c r="B18" s="18" t="s">
        <v>34</v>
      </c>
      <c r="C18" s="19">
        <v>0.0</v>
      </c>
      <c r="D18" s="22">
        <v>0.0</v>
      </c>
      <c r="E18" s="22">
        <v>0.0</v>
      </c>
      <c r="F18" s="22">
        <v>0.0</v>
      </c>
      <c r="G18" s="22">
        <v>0.0</v>
      </c>
      <c r="H18" s="22">
        <v>0.0</v>
      </c>
      <c r="I18" s="29">
        <f t="shared" si="1"/>
        <v>0</v>
      </c>
      <c r="J18" s="29">
        <f t="shared" si="2"/>
        <v>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5">
        <v>46290.0</v>
      </c>
      <c r="B19" s="18" t="s">
        <v>35</v>
      </c>
      <c r="C19" s="19">
        <v>0.0</v>
      </c>
      <c r="D19" s="22">
        <v>0.0</v>
      </c>
      <c r="E19" s="22">
        <v>0.0</v>
      </c>
      <c r="F19" s="22">
        <v>0.0</v>
      </c>
      <c r="G19" s="22">
        <v>0.0</v>
      </c>
      <c r="H19" s="22">
        <v>0.0</v>
      </c>
      <c r="I19" s="29">
        <f t="shared" si="1"/>
        <v>0</v>
      </c>
      <c r="J19" s="29">
        <f t="shared" si="2"/>
        <v>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5">
        <v>46291.0</v>
      </c>
      <c r="B20" s="18" t="s">
        <v>37</v>
      </c>
      <c r="C20" s="19">
        <v>0.0</v>
      </c>
      <c r="D20" s="22">
        <v>0.0</v>
      </c>
      <c r="E20" s="22">
        <v>0.0</v>
      </c>
      <c r="F20" s="22">
        <v>0.0</v>
      </c>
      <c r="G20" s="22">
        <v>0.0</v>
      </c>
      <c r="H20" s="22">
        <v>0.0</v>
      </c>
      <c r="I20" s="29">
        <f t="shared" si="1"/>
        <v>0</v>
      </c>
      <c r="J20" s="29">
        <f t="shared" si="2"/>
        <v>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5">
        <v>46292.0</v>
      </c>
      <c r="B21" s="18" t="s">
        <v>40</v>
      </c>
      <c r="C21" s="19">
        <v>0.0</v>
      </c>
      <c r="D21" s="22">
        <v>0.0</v>
      </c>
      <c r="E21" s="22">
        <v>0.0</v>
      </c>
      <c r="F21" s="22">
        <v>0.0</v>
      </c>
      <c r="G21" s="22">
        <v>0.0</v>
      </c>
      <c r="H21" s="22">
        <v>0.0</v>
      </c>
      <c r="I21" s="29">
        <f t="shared" si="1"/>
        <v>0</v>
      </c>
      <c r="J21" s="29">
        <f t="shared" si="2"/>
        <v>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5">
        <v>46293.0</v>
      </c>
      <c r="B22" s="18" t="s">
        <v>44</v>
      </c>
      <c r="C22" s="19">
        <v>0.0</v>
      </c>
      <c r="D22" s="22">
        <v>0.0</v>
      </c>
      <c r="E22" s="22">
        <v>0.0</v>
      </c>
      <c r="F22" s="22">
        <v>0.0</v>
      </c>
      <c r="G22" s="22">
        <v>0.0</v>
      </c>
      <c r="H22" s="22">
        <v>0.0</v>
      </c>
      <c r="I22" s="29">
        <f t="shared" si="1"/>
        <v>0</v>
      </c>
      <c r="J22" s="29">
        <f t="shared" si="2"/>
        <v>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5">
        <v>46294.0</v>
      </c>
      <c r="B23" s="18" t="s">
        <v>22</v>
      </c>
      <c r="C23" s="19">
        <v>0.0</v>
      </c>
      <c r="D23" s="22">
        <v>0.0</v>
      </c>
      <c r="E23" s="22">
        <v>0.0</v>
      </c>
      <c r="F23" s="22">
        <v>0.0</v>
      </c>
      <c r="G23" s="22">
        <v>0.0</v>
      </c>
      <c r="H23" s="22">
        <v>0.0</v>
      </c>
      <c r="I23" s="29">
        <f t="shared" si="1"/>
        <v>0</v>
      </c>
      <c r="J23" s="29">
        <f t="shared" si="2"/>
        <v>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5">
        <v>46295.0</v>
      </c>
      <c r="B24" s="18" t="s">
        <v>32</v>
      </c>
      <c r="C24" s="19">
        <v>0.0</v>
      </c>
      <c r="D24" s="22">
        <v>0.0</v>
      </c>
      <c r="E24" s="22">
        <v>0.0</v>
      </c>
      <c r="F24" s="22">
        <v>0.0</v>
      </c>
      <c r="G24" s="22">
        <v>0.0</v>
      </c>
      <c r="H24" s="22">
        <v>0.0</v>
      </c>
      <c r="I24" s="29">
        <f t="shared" si="1"/>
        <v>0</v>
      </c>
      <c r="J24" s="29">
        <f t="shared" si="2"/>
        <v>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37" t="s">
        <v>41</v>
      </c>
      <c r="B25" s="50"/>
      <c r="C25" s="50"/>
      <c r="D25" s="51">
        <f t="shared" ref="D25:J25" si="3">SUM(D2:D24)</f>
        <v>399</v>
      </c>
      <c r="E25" s="51">
        <f t="shared" si="3"/>
        <v>399</v>
      </c>
      <c r="F25" s="51">
        <f t="shared" si="3"/>
        <v>0</v>
      </c>
      <c r="G25" s="51">
        <f t="shared" si="3"/>
        <v>0</v>
      </c>
      <c r="H25" s="38">
        <f t="shared" si="3"/>
        <v>399</v>
      </c>
      <c r="I25" s="51">
        <f t="shared" si="3"/>
        <v>0</v>
      </c>
      <c r="J25" s="51">
        <f t="shared" si="3"/>
        <v>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"/>
      <c r="B26" s="40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6.0"/>
    <col customWidth="1" min="6" max="6" width="11.13"/>
    <col customWidth="1" min="7" max="7" width="7.0"/>
    <col customWidth="1" min="9" max="9" width="14.13"/>
  </cols>
  <sheetData>
    <row r="1">
      <c r="A1" s="20" t="s">
        <v>2</v>
      </c>
      <c r="B1" s="3" t="s">
        <v>0</v>
      </c>
      <c r="C1" s="3" t="s">
        <v>24</v>
      </c>
      <c r="D1" s="3" t="s">
        <v>25</v>
      </c>
      <c r="E1" s="24" t="s">
        <v>26</v>
      </c>
      <c r="F1" s="3" t="s">
        <v>18</v>
      </c>
      <c r="G1" s="26" t="s">
        <v>28</v>
      </c>
      <c r="H1" s="26" t="s">
        <v>29</v>
      </c>
      <c r="I1" s="3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0"/>
      <c r="B2" s="31" t="s">
        <v>3</v>
      </c>
      <c r="C2" s="32">
        <v>14100.0</v>
      </c>
      <c r="D2" s="32">
        <v>846.0</v>
      </c>
      <c r="E2" s="32">
        <v>152.0</v>
      </c>
      <c r="F2" s="22">
        <f>C2-D2-E2</f>
        <v>13102</v>
      </c>
      <c r="G2" s="32">
        <v>68.0</v>
      </c>
      <c r="H2" s="32">
        <v>13.0</v>
      </c>
      <c r="I2" s="22">
        <f>F2-G2-H2</f>
        <v>13021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0"/>
      <c r="B3" s="35"/>
      <c r="C3" s="35"/>
      <c r="D3" s="35"/>
      <c r="E3" s="35"/>
      <c r="F3" s="35"/>
      <c r="G3" s="35"/>
      <c r="H3" s="35"/>
      <c r="I3" s="3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0"/>
      <c r="B4" s="37" t="s">
        <v>41</v>
      </c>
      <c r="C4" s="38">
        <f t="shared" ref="C4:F4" si="1">SUM(C2:C3)</f>
        <v>14100</v>
      </c>
      <c r="D4" s="38">
        <f t="shared" si="1"/>
        <v>846</v>
      </c>
      <c r="E4" s="38">
        <f t="shared" si="1"/>
        <v>152</v>
      </c>
      <c r="F4" s="38">
        <f t="shared" si="1"/>
        <v>13102</v>
      </c>
      <c r="G4" s="39"/>
      <c r="H4" s="39"/>
      <c r="I4" s="38">
        <f>SUM(I2:I3)</f>
        <v>13021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41"/>
      <c r="B5" s="41"/>
      <c r="C5" s="41"/>
      <c r="D5" s="41"/>
      <c r="E5" s="41"/>
      <c r="F5" s="41"/>
      <c r="G5" s="41"/>
      <c r="H5" s="4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41"/>
      <c r="B6" s="41"/>
      <c r="C6" s="41"/>
      <c r="D6" s="41"/>
      <c r="E6" s="41"/>
      <c r="F6" s="41"/>
      <c r="G6" s="41"/>
      <c r="H6" s="4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41"/>
      <c r="B7" s="41"/>
      <c r="C7" s="41"/>
      <c r="D7" s="41"/>
      <c r="E7" s="41"/>
      <c r="F7" s="41"/>
      <c r="G7" s="41"/>
      <c r="H7" s="4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2.88"/>
    <col customWidth="1" min="6" max="6" width="15.25"/>
  </cols>
  <sheetData>
    <row r="1">
      <c r="A1" s="4" t="s">
        <v>1</v>
      </c>
      <c r="B1" s="4" t="s">
        <v>5</v>
      </c>
      <c r="C1" s="4" t="s">
        <v>6</v>
      </c>
      <c r="D1" s="8" t="s">
        <v>8</v>
      </c>
      <c r="E1" s="10" t="s">
        <v>15</v>
      </c>
      <c r="F1" s="11" t="s">
        <v>16</v>
      </c>
      <c r="G1" s="11" t="s">
        <v>18</v>
      </c>
    </row>
    <row r="2">
      <c r="A2" s="13" t="s">
        <v>19</v>
      </c>
      <c r="B2" s="16" t="s">
        <v>20</v>
      </c>
      <c r="C2" s="13" t="s">
        <v>21</v>
      </c>
      <c r="D2" s="25" t="s">
        <v>27</v>
      </c>
      <c r="E2" s="27">
        <v>5500.0</v>
      </c>
      <c r="F2" s="29">
        <f>E2*1.75%</f>
        <v>96.25</v>
      </c>
      <c r="G2" s="36">
        <f>E2-F2</f>
        <v>5403.75</v>
      </c>
    </row>
  </sheetData>
  <dataValidations>
    <dataValidation type="list" allowBlank="1" showErrorMessage="1" sqref="C2">
      <formula1>"Pickleball,Padel,Box Cricket,Pickle &amp; Box,Football"</formula1>
    </dataValidation>
  </dataValidations>
  <drawing r:id="rId1"/>
</worksheet>
</file>