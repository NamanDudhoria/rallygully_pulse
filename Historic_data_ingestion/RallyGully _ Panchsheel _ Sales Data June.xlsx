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</sheets>
  <definedNames/>
  <calcPr/>
</workbook>
</file>

<file path=xl/sharedStrings.xml><?xml version="1.0" encoding="utf-8"?>
<sst xmlns="http://schemas.openxmlformats.org/spreadsheetml/2006/main" count="118" uniqueCount="62">
  <si>
    <t>Link</t>
  </si>
  <si>
    <t>Date</t>
  </si>
  <si>
    <t>1 - 30 June</t>
  </si>
  <si>
    <t>Day</t>
  </si>
  <si>
    <t>Offline booking hours</t>
  </si>
  <si>
    <t>Discount Given</t>
  </si>
  <si>
    <t>Particulars</t>
  </si>
  <si>
    <t>Booking Revenue</t>
  </si>
  <si>
    <t>Community Revenue</t>
  </si>
  <si>
    <t xml:space="preserve">Paddle Rental </t>
  </si>
  <si>
    <t>Amount</t>
  </si>
  <si>
    <t>F&amp;B</t>
  </si>
  <si>
    <t>Total Revenue</t>
  </si>
  <si>
    <t>Payment Gateway</t>
  </si>
  <si>
    <t>Pickleball</t>
  </si>
  <si>
    <t>Net Revenue</t>
  </si>
  <si>
    <t>Pay &amp; Play</t>
  </si>
  <si>
    <t>Paid to District</t>
  </si>
  <si>
    <t>Commissions (₹)</t>
  </si>
  <si>
    <t>GST on Commission</t>
  </si>
  <si>
    <t>Monday</t>
  </si>
  <si>
    <t>TCS</t>
  </si>
  <si>
    <t>TDS</t>
  </si>
  <si>
    <t>Final Amount (₹)</t>
  </si>
  <si>
    <t>0 and 10%</t>
  </si>
  <si>
    <t xml:space="preserve">Online </t>
  </si>
  <si>
    <t>1 - 30 May</t>
  </si>
  <si>
    <t>District</t>
  </si>
  <si>
    <t>Hudle</t>
  </si>
  <si>
    <t>Playo</t>
  </si>
  <si>
    <t>Khelomore</t>
  </si>
  <si>
    <t>Zplys</t>
  </si>
  <si>
    <t>Offline</t>
  </si>
  <si>
    <t>Tuesday</t>
  </si>
  <si>
    <t>Bookings</t>
  </si>
  <si>
    <t>Total</t>
  </si>
  <si>
    <t>Wednesday</t>
  </si>
  <si>
    <t>Memberships</t>
  </si>
  <si>
    <t>Community</t>
  </si>
  <si>
    <t>Pickup games</t>
  </si>
  <si>
    <t>Thursday</t>
  </si>
  <si>
    <t>Social Events/Tournaments</t>
  </si>
  <si>
    <t>Academy</t>
  </si>
  <si>
    <t>Events &amp; Partnership</t>
  </si>
  <si>
    <t>Friday</t>
  </si>
  <si>
    <t>Corporate events</t>
  </si>
  <si>
    <t>All B2B partnerships</t>
  </si>
  <si>
    <t>Commerce</t>
  </si>
  <si>
    <t>Saturday</t>
  </si>
  <si>
    <t>Product rental</t>
  </si>
  <si>
    <t>Sunday</t>
  </si>
  <si>
    <t>Product sales</t>
  </si>
  <si>
    <t>Other Income</t>
  </si>
  <si>
    <t>Total Gross Revenue</t>
  </si>
  <si>
    <t>Total Net Revenue (Post Commissions)</t>
  </si>
  <si>
    <t>Total Revenue post GST</t>
  </si>
  <si>
    <t>Expenses</t>
  </si>
  <si>
    <t>VM Salary</t>
  </si>
  <si>
    <t>Support Staff</t>
  </si>
  <si>
    <t>Marketing, Branding &amp; Community</t>
  </si>
  <si>
    <t>Balls</t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</si>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</sst>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"/>
    <numFmt numFmtId="165" formatCode="[$₹]#,##0.0"/>
    <numFmt numFmtId="166" formatCode="[&gt;9999999][$₹]##\,##\,##\,##0;[&gt;99999][$₹]##\,##\,##0;[$₹]##,##0"/>
    <numFmt numFmtId="167" formatCode="[$₹]#,##0.00"/>
    <numFmt numFmtId="168" formatCode="d mm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3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1" fillId="2" fontId="2" numFmtId="165" xfId="0" applyAlignment="1" applyBorder="1" applyFill="1" applyFont="1" applyNumberFormat="1">
      <alignment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2" fontId="5" numFmtId="167" xfId="0" applyAlignment="1" applyBorder="1" applyFill="1" applyFont="1" applyNumberFormat="1">
      <alignment horizontal="center" readingOrder="0" vertical="bottom"/>
    </xf>
    <xf borderId="1" fillId="3" fontId="4" numFmtId="168" xfId="0" applyAlignment="1" applyBorder="1" applyFill="1" applyFont="1" applyNumberFormat="1">
      <alignment horizontal="right" vertical="bottom"/>
    </xf>
    <xf borderId="0" fillId="2" fontId="6" numFmtId="164" xfId="0" applyAlignment="1" applyFill="1" applyFont="1" applyNumberFormat="1">
      <alignment vertical="bottom"/>
    </xf>
    <xf borderId="1" fillId="3" fontId="4" numFmtId="164" xfId="0" applyAlignment="1" applyBorder="1" applyFill="1" applyFont="1" applyNumberFormat="1">
      <alignment vertical="bottom"/>
    </xf>
    <xf borderId="0" fillId="2" fontId="2" numFmtId="164" xfId="0" applyAlignment="1" applyFill="1" applyFont="1" applyNumberFormat="1">
      <alignment horizontal="center" vertical="bottom"/>
    </xf>
    <xf borderId="1" fillId="3" fontId="4" numFmtId="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1" fillId="0" fontId="4" numFmtId="167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1" fillId="0" fontId="4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0" fontId="4" numFmtId="167" xfId="0" applyAlignment="1" applyBorder="1" applyFont="1" applyNumberFormat="1">
      <alignment vertical="bottom"/>
    </xf>
    <xf borderId="1" fillId="0" fontId="4" numFmtId="4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4" numFmtId="164" xfId="0" applyAlignment="1" applyBorder="1" applyFill="1" applyFont="1" applyNumberFormat="1">
      <alignment vertical="bottom"/>
    </xf>
    <xf borderId="1" fillId="0" fontId="2" numFmtId="166" xfId="0" applyAlignment="1" applyBorder="1" applyFont="1" applyNumberFormat="1">
      <alignment horizontal="right" readingOrder="0" vertical="bottom"/>
    </xf>
    <xf borderId="0" fillId="0" fontId="4" numFmtId="166" xfId="0" applyAlignment="1" applyFont="1" applyNumberFormat="1">
      <alignment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1" fillId="0" fontId="4" numFmtId="0" xfId="0" applyAlignment="1" applyBorder="1" applyFont="1">
      <alignment shrinkToFit="0" vertical="bottom" wrapText="1"/>
    </xf>
    <xf borderId="1" fillId="0" fontId="2" numFmtId="167" xfId="0" applyAlignment="1" applyBorder="1" applyFont="1" applyNumberFormat="1">
      <alignment vertical="bottom"/>
    </xf>
    <xf borderId="0" fillId="0" fontId="4" numFmtId="165" xfId="0" applyAlignment="1" applyFont="1" applyNumberFormat="1">
      <alignment horizontal="right" vertical="bottom"/>
    </xf>
    <xf borderId="1" fillId="2" fontId="4" numFmtId="4" xfId="0" applyAlignment="1" applyBorder="1" applyFill="1" applyFont="1" applyNumberFormat="1">
      <alignment vertical="bottom"/>
    </xf>
    <xf borderId="0" fillId="0" fontId="4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Gkk9R_-n86yEtOKMIHPfVB4rh5fkdiW9mdI9HfhTdY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2</v>
      </c>
      <c r="C2" s="4"/>
    </row>
    <row r="3">
      <c r="B3" s="6" t="s">
        <v>6</v>
      </c>
      <c r="C3" s="6" t="s">
        <v>10</v>
      </c>
      <c r="E3" s="7"/>
    </row>
    <row r="4">
      <c r="B4" s="8"/>
      <c r="C4" s="10" t="s">
        <v>14</v>
      </c>
      <c r="E4" s="7"/>
    </row>
    <row r="5">
      <c r="B5" s="12" t="s">
        <v>16</v>
      </c>
      <c r="C5" s="20">
        <f>sum(C6,C12)</f>
        <v>72234</v>
      </c>
      <c r="E5" s="7"/>
    </row>
    <row r="6">
      <c r="B6" s="12" t="s">
        <v>25</v>
      </c>
      <c r="C6" s="20">
        <f>sum(C7:C11)</f>
        <v>62834</v>
      </c>
      <c r="E6" s="7"/>
    </row>
    <row r="7" outlineLevel="1">
      <c r="B7" s="24" t="s">
        <v>27</v>
      </c>
      <c r="C7" s="25">
        <f>District!C4</f>
        <v>62834</v>
      </c>
      <c r="E7" s="7"/>
    </row>
    <row r="8" outlineLevel="1">
      <c r="B8" s="24" t="s">
        <v>28</v>
      </c>
      <c r="C8" s="26">
        <v>0.0</v>
      </c>
      <c r="E8" s="7"/>
    </row>
    <row r="9" outlineLevel="1">
      <c r="B9" s="24" t="s">
        <v>29</v>
      </c>
      <c r="C9" s="26">
        <v>0.0</v>
      </c>
      <c r="E9" s="7"/>
    </row>
    <row r="10" outlineLevel="1">
      <c r="B10" s="28" t="s">
        <v>30</v>
      </c>
      <c r="C10" s="26">
        <v>0.0</v>
      </c>
      <c r="E10" s="29"/>
    </row>
    <row r="11" outlineLevel="1">
      <c r="B11" s="24" t="s">
        <v>31</v>
      </c>
      <c r="C11" s="26">
        <v>0.0</v>
      </c>
      <c r="E11" s="29"/>
    </row>
    <row r="12">
      <c r="B12" s="30" t="s">
        <v>32</v>
      </c>
      <c r="C12" s="20">
        <f>sum(C13:C14)</f>
        <v>9400</v>
      </c>
    </row>
    <row r="13" outlineLevel="1">
      <c r="B13" s="24" t="s">
        <v>34</v>
      </c>
      <c r="C13" s="25">
        <f>'Offline &amp; RG Community'!E32</f>
        <v>9400</v>
      </c>
    </row>
    <row r="14" outlineLevel="1">
      <c r="B14" s="33" t="s">
        <v>37</v>
      </c>
      <c r="C14" s="26">
        <v>0.0</v>
      </c>
      <c r="E14" s="7"/>
    </row>
    <row r="15">
      <c r="B15" s="30" t="s">
        <v>38</v>
      </c>
      <c r="C15" s="20">
        <f>sum(C16:C17)</f>
        <v>0</v>
      </c>
      <c r="E15" s="7"/>
    </row>
    <row r="16" outlineLevel="1">
      <c r="B16" s="28" t="s">
        <v>39</v>
      </c>
      <c r="C16" s="25">
        <f>'Offline &amp; RG Community'!F32</f>
        <v>0</v>
      </c>
      <c r="E16" s="7"/>
    </row>
    <row r="17" outlineLevel="1">
      <c r="B17" s="28" t="s">
        <v>41</v>
      </c>
      <c r="C17" s="26">
        <v>0.0</v>
      </c>
    </row>
    <row r="18">
      <c r="B18" s="30" t="s">
        <v>42</v>
      </c>
      <c r="C18" s="37">
        <v>0.0</v>
      </c>
      <c r="E18" s="7"/>
    </row>
    <row r="19">
      <c r="B19" s="12" t="s">
        <v>43</v>
      </c>
      <c r="C19" s="20">
        <f>sum(C20,C21)</f>
        <v>0</v>
      </c>
    </row>
    <row r="20" outlineLevel="1">
      <c r="B20" s="24" t="s">
        <v>45</v>
      </c>
      <c r="C20" s="39">
        <v>0.0</v>
      </c>
    </row>
    <row r="21" outlineLevel="1">
      <c r="B21" s="28" t="s">
        <v>46</v>
      </c>
      <c r="C21" s="40">
        <v>0.0</v>
      </c>
    </row>
    <row r="22">
      <c r="B22" s="12" t="s">
        <v>47</v>
      </c>
      <c r="C22" s="20">
        <f>sum(C23:C25)</f>
        <v>5500</v>
      </c>
    </row>
    <row r="23" outlineLevel="1">
      <c r="B23" s="24" t="s">
        <v>49</v>
      </c>
      <c r="C23" s="40">
        <f>'Offline &amp; RG Community'!G32</f>
        <v>5500</v>
      </c>
    </row>
    <row r="24" outlineLevel="1">
      <c r="B24" s="24" t="s">
        <v>51</v>
      </c>
      <c r="C24" s="26">
        <v>0.0</v>
      </c>
    </row>
    <row r="25" outlineLevel="1">
      <c r="B25" s="24" t="s">
        <v>11</v>
      </c>
      <c r="C25" s="40">
        <v>0.0</v>
      </c>
    </row>
    <row r="26">
      <c r="B26" s="12" t="s">
        <v>52</v>
      </c>
      <c r="C26" s="20">
        <v>0.0</v>
      </c>
    </row>
    <row r="27">
      <c r="B27" s="11" t="s">
        <v>53</v>
      </c>
      <c r="C27" s="35">
        <f>C6+C12+C15+C18+C19+C22+C26</f>
        <v>77734</v>
      </c>
    </row>
    <row r="28">
      <c r="B28" s="43" t="s">
        <v>54</v>
      </c>
      <c r="C28" s="44">
        <f>'Offline &amp; RG Community'!K32+District!F4</f>
        <v>72883.25</v>
      </c>
    </row>
    <row r="29">
      <c r="B29" s="12" t="s">
        <v>55</v>
      </c>
      <c r="C29" s="20">
        <f>C28/1.18</f>
        <v>61765.4661</v>
      </c>
    </row>
    <row r="30">
      <c r="B30" s="24"/>
      <c r="C30" s="25"/>
    </row>
    <row r="31">
      <c r="B31" s="12" t="s">
        <v>56</v>
      </c>
      <c r="C31" s="25"/>
    </row>
    <row r="32">
      <c r="B32" s="24" t="s">
        <v>57</v>
      </c>
      <c r="C32" s="39">
        <f>1580+11032+10000+2400</f>
        <v>25012</v>
      </c>
    </row>
    <row r="33">
      <c r="B33" s="24" t="s">
        <v>58</v>
      </c>
      <c r="C33" s="39">
        <v>5500.0</v>
      </c>
    </row>
    <row r="34">
      <c r="B34" s="24" t="s">
        <v>59</v>
      </c>
      <c r="C34" s="19">
        <v>6000.0</v>
      </c>
    </row>
    <row r="35">
      <c r="B35" s="24" t="s">
        <v>60</v>
      </c>
      <c r="C35" s="19">
        <v>5500.0</v>
      </c>
    </row>
    <row r="36">
      <c r="B36" s="24"/>
      <c r="C36" s="24"/>
    </row>
    <row r="37">
      <c r="B37" s="12" t="s">
        <v>61</v>
      </c>
      <c r="C37" s="20">
        <f>C29-(sum(C32:C35))</f>
        <v>19753.4661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16.13"/>
    <col customWidth="1" min="3" max="3" width="18.25"/>
    <col customWidth="1" min="4" max="4" width="13.25"/>
    <col customWidth="1" min="5" max="5" width="15.13"/>
    <col customWidth="1" min="6" max="6" width="17.63"/>
    <col customWidth="1" min="9" max="10" width="15.25"/>
  </cols>
  <sheetData>
    <row r="1">
      <c r="A1" s="2" t="s">
        <v>1</v>
      </c>
      <c r="B1" s="2" t="s">
        <v>3</v>
      </c>
      <c r="C1" s="5" t="s">
        <v>4</v>
      </c>
      <c r="D1" s="2" t="s">
        <v>5</v>
      </c>
      <c r="E1" s="2" t="s">
        <v>7</v>
      </c>
      <c r="F1" s="2" t="s">
        <v>8</v>
      </c>
      <c r="G1" s="2" t="s">
        <v>9</v>
      </c>
      <c r="H1" s="2" t="s">
        <v>11</v>
      </c>
      <c r="I1" s="2" t="s">
        <v>12</v>
      </c>
      <c r="J1" s="9" t="s">
        <v>13</v>
      </c>
      <c r="K1" s="11" t="s">
        <v>15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4">
        <v>46174.0</v>
      </c>
      <c r="B2" s="16" t="s">
        <v>20</v>
      </c>
      <c r="C2" s="18">
        <v>0.5</v>
      </c>
      <c r="D2" s="19" t="s">
        <v>24</v>
      </c>
      <c r="E2" s="19">
        <v>500.0</v>
      </c>
      <c r="F2" s="19">
        <v>0.0</v>
      </c>
      <c r="G2" s="19">
        <v>150.0</v>
      </c>
      <c r="H2" s="19">
        <v>0.0</v>
      </c>
      <c r="I2" s="19">
        <f t="shared" ref="I2:I15" si="1">sum(E2:H2)</f>
        <v>650</v>
      </c>
      <c r="J2" s="27">
        <f t="shared" ref="J2:J31" si="2">I2*1.75%</f>
        <v>11.375</v>
      </c>
      <c r="K2" s="19">
        <f t="shared" ref="K2:K31" si="3">I2-J2</f>
        <v>638.625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>
        <v>46175.0</v>
      </c>
      <c r="B3" s="16" t="s">
        <v>33</v>
      </c>
      <c r="C3" s="18">
        <v>0.5</v>
      </c>
      <c r="D3" s="19" t="s">
        <v>24</v>
      </c>
      <c r="E3" s="19">
        <v>500.0</v>
      </c>
      <c r="F3" s="19">
        <v>0.0</v>
      </c>
      <c r="G3" s="19">
        <v>200.0</v>
      </c>
      <c r="H3" s="19">
        <v>0.0</v>
      </c>
      <c r="I3" s="19">
        <f t="shared" si="1"/>
        <v>700</v>
      </c>
      <c r="J3" s="27">
        <f t="shared" si="2"/>
        <v>12.25</v>
      </c>
      <c r="K3" s="19">
        <f t="shared" si="3"/>
        <v>687.75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>
        <v>46176.0</v>
      </c>
      <c r="B4" s="16" t="s">
        <v>36</v>
      </c>
      <c r="C4" s="34">
        <v>1.0</v>
      </c>
      <c r="D4" s="19" t="s">
        <v>24</v>
      </c>
      <c r="E4" s="19">
        <v>900.0</v>
      </c>
      <c r="F4" s="19">
        <v>0.0</v>
      </c>
      <c r="G4" s="19">
        <v>200.0</v>
      </c>
      <c r="H4" s="19">
        <v>0.0</v>
      </c>
      <c r="I4" s="19">
        <f t="shared" si="1"/>
        <v>1100</v>
      </c>
      <c r="J4" s="27">
        <f t="shared" si="2"/>
        <v>19.25</v>
      </c>
      <c r="K4" s="19">
        <f t="shared" si="3"/>
        <v>1080.75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>
        <v>46177.0</v>
      </c>
      <c r="B5" s="16" t="s">
        <v>40</v>
      </c>
      <c r="C5" s="34">
        <v>0.0</v>
      </c>
      <c r="D5" s="19" t="s">
        <v>24</v>
      </c>
      <c r="E5" s="19">
        <v>0.0</v>
      </c>
      <c r="F5" s="19">
        <v>0.0</v>
      </c>
      <c r="G5" s="19">
        <v>550.0</v>
      </c>
      <c r="H5" s="19">
        <v>0.0</v>
      </c>
      <c r="I5" s="19">
        <f t="shared" si="1"/>
        <v>550</v>
      </c>
      <c r="J5" s="27">
        <f t="shared" si="2"/>
        <v>9.625</v>
      </c>
      <c r="K5" s="19">
        <f t="shared" si="3"/>
        <v>540.375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>
        <v>46178.0</v>
      </c>
      <c r="B6" s="16" t="s">
        <v>44</v>
      </c>
      <c r="C6" s="34">
        <v>0.0</v>
      </c>
      <c r="D6" s="19" t="s">
        <v>24</v>
      </c>
      <c r="E6" s="19">
        <v>0.0</v>
      </c>
      <c r="F6" s="19">
        <v>0.0</v>
      </c>
      <c r="G6" s="19">
        <v>600.0</v>
      </c>
      <c r="H6" s="19">
        <v>0.0</v>
      </c>
      <c r="I6" s="19">
        <f t="shared" si="1"/>
        <v>600</v>
      </c>
      <c r="J6" s="27">
        <f t="shared" si="2"/>
        <v>10.5</v>
      </c>
      <c r="K6" s="19">
        <f t="shared" si="3"/>
        <v>589.5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>
        <v>46179.0</v>
      </c>
      <c r="B7" s="16" t="s">
        <v>48</v>
      </c>
      <c r="C7" s="34">
        <v>0.0</v>
      </c>
      <c r="D7" s="19" t="s">
        <v>24</v>
      </c>
      <c r="E7" s="19">
        <v>0.0</v>
      </c>
      <c r="F7" s="19">
        <v>0.0</v>
      </c>
      <c r="G7" s="41">
        <v>300.0</v>
      </c>
      <c r="H7" s="19">
        <v>0.0</v>
      </c>
      <c r="I7" s="19">
        <f t="shared" si="1"/>
        <v>300</v>
      </c>
      <c r="J7" s="27">
        <f t="shared" si="2"/>
        <v>5.25</v>
      </c>
      <c r="K7" s="19">
        <f t="shared" si="3"/>
        <v>294.75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4">
        <v>46180.0</v>
      </c>
      <c r="B8" s="16" t="s">
        <v>50</v>
      </c>
      <c r="C8" s="34">
        <v>0.0</v>
      </c>
      <c r="D8" s="19" t="s">
        <v>24</v>
      </c>
      <c r="E8" s="19">
        <v>0.0</v>
      </c>
      <c r="F8" s="19">
        <v>0.0</v>
      </c>
      <c r="G8" s="19">
        <v>100.0</v>
      </c>
      <c r="H8" s="19">
        <v>0.0</v>
      </c>
      <c r="I8" s="19">
        <f t="shared" si="1"/>
        <v>100</v>
      </c>
      <c r="J8" s="27">
        <f t="shared" si="2"/>
        <v>1.75</v>
      </c>
      <c r="K8" s="19">
        <f t="shared" si="3"/>
        <v>98.25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>
        <v>46181.0</v>
      </c>
      <c r="B9" s="16" t="s">
        <v>20</v>
      </c>
      <c r="C9" s="34">
        <v>0.0</v>
      </c>
      <c r="D9" s="19" t="s">
        <v>24</v>
      </c>
      <c r="E9" s="19">
        <v>0.0</v>
      </c>
      <c r="F9" s="19">
        <v>0.0</v>
      </c>
      <c r="G9" s="42">
        <v>700.0</v>
      </c>
      <c r="H9" s="19">
        <v>0.0</v>
      </c>
      <c r="I9" s="19">
        <f t="shared" si="1"/>
        <v>700</v>
      </c>
      <c r="J9" s="27">
        <f t="shared" si="2"/>
        <v>12.25</v>
      </c>
      <c r="K9" s="19">
        <f t="shared" si="3"/>
        <v>687.75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>
        <v>46182.0</v>
      </c>
      <c r="B10" s="16" t="s">
        <v>33</v>
      </c>
      <c r="C10" s="34">
        <v>1.0</v>
      </c>
      <c r="D10" s="19" t="s">
        <v>24</v>
      </c>
      <c r="E10" s="19">
        <v>900.0</v>
      </c>
      <c r="F10" s="19">
        <v>0.0</v>
      </c>
      <c r="G10" s="19">
        <v>100.0</v>
      </c>
      <c r="H10" s="19">
        <v>0.0</v>
      </c>
      <c r="I10" s="19">
        <f t="shared" si="1"/>
        <v>1000</v>
      </c>
      <c r="J10" s="27">
        <f t="shared" si="2"/>
        <v>17.5</v>
      </c>
      <c r="K10" s="19">
        <f t="shared" si="3"/>
        <v>982.5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>
        <v>46183.0</v>
      </c>
      <c r="B11" s="16" t="s">
        <v>36</v>
      </c>
      <c r="C11" s="34">
        <v>0.0</v>
      </c>
      <c r="D11" s="19" t="s">
        <v>24</v>
      </c>
      <c r="E11" s="19">
        <v>0.0</v>
      </c>
      <c r="F11" s="19">
        <v>0.0</v>
      </c>
      <c r="G11" s="19">
        <v>450.0</v>
      </c>
      <c r="H11" s="19">
        <v>0.0</v>
      </c>
      <c r="I11" s="19">
        <f t="shared" si="1"/>
        <v>450</v>
      </c>
      <c r="J11" s="27">
        <f t="shared" si="2"/>
        <v>7.875</v>
      </c>
      <c r="K11" s="19">
        <f t="shared" si="3"/>
        <v>442.125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">
        <v>46184.0</v>
      </c>
      <c r="B12" s="16" t="s">
        <v>40</v>
      </c>
      <c r="C12" s="34">
        <v>1.0</v>
      </c>
      <c r="D12" s="19" t="s">
        <v>24</v>
      </c>
      <c r="E12" s="19">
        <v>900.0</v>
      </c>
      <c r="F12" s="19">
        <v>0.0</v>
      </c>
      <c r="G12" s="19">
        <v>400.0</v>
      </c>
      <c r="H12" s="19">
        <v>0.0</v>
      </c>
      <c r="I12" s="19">
        <f t="shared" si="1"/>
        <v>1300</v>
      </c>
      <c r="J12" s="27">
        <f t="shared" si="2"/>
        <v>22.75</v>
      </c>
      <c r="K12" s="19">
        <f t="shared" si="3"/>
        <v>1277.25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4">
        <v>46185.0</v>
      </c>
      <c r="B13" s="16" t="s">
        <v>44</v>
      </c>
      <c r="C13" s="34">
        <v>0.0</v>
      </c>
      <c r="D13" s="19" t="s">
        <v>24</v>
      </c>
      <c r="E13" s="19">
        <v>0.0</v>
      </c>
      <c r="F13" s="19">
        <v>0.0</v>
      </c>
      <c r="G13" s="19">
        <v>0.0</v>
      </c>
      <c r="H13" s="19">
        <v>0.0</v>
      </c>
      <c r="I13" s="19">
        <f t="shared" si="1"/>
        <v>0</v>
      </c>
      <c r="J13" s="27">
        <f t="shared" si="2"/>
        <v>0</v>
      </c>
      <c r="K13" s="19">
        <f t="shared" si="3"/>
        <v>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>
        <v>46186.0</v>
      </c>
      <c r="B14" s="16" t="s">
        <v>48</v>
      </c>
      <c r="C14" s="34">
        <v>0.0</v>
      </c>
      <c r="D14" s="19" t="s">
        <v>24</v>
      </c>
      <c r="E14" s="19">
        <v>0.0</v>
      </c>
      <c r="F14" s="19">
        <v>0.0</v>
      </c>
      <c r="G14" s="19">
        <v>0.0</v>
      </c>
      <c r="H14" s="19">
        <v>0.0</v>
      </c>
      <c r="I14" s="19">
        <f t="shared" si="1"/>
        <v>0</v>
      </c>
      <c r="J14" s="27">
        <f t="shared" si="2"/>
        <v>0</v>
      </c>
      <c r="K14" s="19">
        <f t="shared" si="3"/>
        <v>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>
        <v>46187.0</v>
      </c>
      <c r="B15" s="16" t="s">
        <v>50</v>
      </c>
      <c r="C15" s="34">
        <v>0.0</v>
      </c>
      <c r="D15" s="19" t="s">
        <v>24</v>
      </c>
      <c r="E15" s="19">
        <v>0.0</v>
      </c>
      <c r="F15" s="19">
        <v>0.0</v>
      </c>
      <c r="G15" s="19">
        <v>150.0</v>
      </c>
      <c r="H15" s="19">
        <v>0.0</v>
      </c>
      <c r="I15" s="19">
        <f t="shared" si="1"/>
        <v>150</v>
      </c>
      <c r="J15" s="27">
        <f t="shared" si="2"/>
        <v>2.625</v>
      </c>
      <c r="K15" s="19">
        <f t="shared" si="3"/>
        <v>147.375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>
        <v>46188.0</v>
      </c>
      <c r="B16" s="16" t="s">
        <v>20</v>
      </c>
      <c r="C16" s="34">
        <v>0.5</v>
      </c>
      <c r="D16" s="19" t="s">
        <v>24</v>
      </c>
      <c r="E16" s="19">
        <v>500.0</v>
      </c>
      <c r="F16" s="19">
        <v>0.0</v>
      </c>
      <c r="G16" s="19">
        <v>300.0</v>
      </c>
      <c r="H16" s="19">
        <v>0.0</v>
      </c>
      <c r="I16" s="19">
        <f t="shared" ref="I16:I21" si="4">SUM(E16:H16)</f>
        <v>800</v>
      </c>
      <c r="J16" s="27">
        <f t="shared" si="2"/>
        <v>14</v>
      </c>
      <c r="K16" s="19">
        <f t="shared" si="3"/>
        <v>786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>
        <v>46189.0</v>
      </c>
      <c r="B17" s="16" t="s">
        <v>33</v>
      </c>
      <c r="C17" s="34">
        <v>1.5</v>
      </c>
      <c r="D17" s="19" t="s">
        <v>24</v>
      </c>
      <c r="E17" s="45">
        <v>1400.0</v>
      </c>
      <c r="F17" s="19">
        <v>0.0</v>
      </c>
      <c r="G17" s="19">
        <v>450.0</v>
      </c>
      <c r="H17" s="19">
        <v>0.0</v>
      </c>
      <c r="I17" s="19">
        <f t="shared" si="4"/>
        <v>1850</v>
      </c>
      <c r="J17" s="27">
        <f t="shared" si="2"/>
        <v>32.375</v>
      </c>
      <c r="K17" s="19">
        <f t="shared" si="3"/>
        <v>1817.625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>
        <v>46190.0</v>
      </c>
      <c r="B18" s="16" t="s">
        <v>36</v>
      </c>
      <c r="C18" s="34">
        <v>0.0</v>
      </c>
      <c r="D18" s="19" t="s">
        <v>24</v>
      </c>
      <c r="E18" s="19">
        <v>0.0</v>
      </c>
      <c r="F18" s="19">
        <v>0.0</v>
      </c>
      <c r="G18" s="19">
        <v>100.0</v>
      </c>
      <c r="H18" s="19">
        <v>0.0</v>
      </c>
      <c r="I18" s="19">
        <f t="shared" si="4"/>
        <v>100</v>
      </c>
      <c r="J18" s="27">
        <f t="shared" si="2"/>
        <v>1.75</v>
      </c>
      <c r="K18" s="19">
        <f t="shared" si="3"/>
        <v>98.25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>
        <v>46191.0</v>
      </c>
      <c r="B19" s="16" t="s">
        <v>40</v>
      </c>
      <c r="C19" s="34">
        <v>1.5</v>
      </c>
      <c r="D19" s="19" t="s">
        <v>24</v>
      </c>
      <c r="E19" s="19">
        <v>1400.0</v>
      </c>
      <c r="F19" s="19">
        <v>0.0</v>
      </c>
      <c r="G19" s="19">
        <v>500.0</v>
      </c>
      <c r="H19" s="19">
        <v>0.0</v>
      </c>
      <c r="I19" s="19">
        <f t="shared" si="4"/>
        <v>1900</v>
      </c>
      <c r="J19" s="27">
        <f t="shared" si="2"/>
        <v>33.25</v>
      </c>
      <c r="K19" s="19">
        <f t="shared" si="3"/>
        <v>1866.75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>
        <v>46192.0</v>
      </c>
      <c r="B20" s="16" t="s">
        <v>44</v>
      </c>
      <c r="C20" s="34">
        <v>0.5</v>
      </c>
      <c r="D20" s="19" t="s">
        <v>24</v>
      </c>
      <c r="E20" s="19">
        <v>500.0</v>
      </c>
      <c r="F20" s="19">
        <v>0.0</v>
      </c>
      <c r="G20" s="19">
        <v>150.0</v>
      </c>
      <c r="H20" s="19">
        <v>0.0</v>
      </c>
      <c r="I20" s="19">
        <f t="shared" si="4"/>
        <v>650</v>
      </c>
      <c r="J20" s="27">
        <f t="shared" si="2"/>
        <v>11.375</v>
      </c>
      <c r="K20" s="19">
        <f t="shared" si="3"/>
        <v>638.625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4">
        <v>46193.0</v>
      </c>
      <c r="B21" s="16" t="s">
        <v>48</v>
      </c>
      <c r="C21" s="34">
        <v>0.0</v>
      </c>
      <c r="D21" s="19" t="s">
        <v>24</v>
      </c>
      <c r="E21" s="19">
        <v>0.0</v>
      </c>
      <c r="F21" s="19">
        <v>0.0</v>
      </c>
      <c r="G21" s="19">
        <v>0.0</v>
      </c>
      <c r="H21" s="19">
        <v>0.0</v>
      </c>
      <c r="I21" s="19">
        <f t="shared" si="4"/>
        <v>0</v>
      </c>
      <c r="J21" s="27">
        <f t="shared" si="2"/>
        <v>0</v>
      </c>
      <c r="K21" s="19">
        <f t="shared" si="3"/>
        <v>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4">
        <v>46194.0</v>
      </c>
      <c r="B22" s="16" t="s">
        <v>50</v>
      </c>
      <c r="C22" s="34">
        <v>1.0</v>
      </c>
      <c r="D22" s="19" t="s">
        <v>24</v>
      </c>
      <c r="E22" s="19">
        <v>1000.0</v>
      </c>
      <c r="F22" s="19">
        <v>0.0</v>
      </c>
      <c r="G22" s="19">
        <v>0.0</v>
      </c>
      <c r="H22" s="19">
        <v>0.0</v>
      </c>
      <c r="I22" s="19">
        <f>sum(E22:H22)</f>
        <v>1000</v>
      </c>
      <c r="J22" s="27">
        <f t="shared" si="2"/>
        <v>17.5</v>
      </c>
      <c r="K22" s="19">
        <f t="shared" si="3"/>
        <v>982.5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4">
        <v>46195.0</v>
      </c>
      <c r="B23" s="16" t="s">
        <v>20</v>
      </c>
      <c r="C23" s="34">
        <v>1.0</v>
      </c>
      <c r="D23" s="19" t="s">
        <v>24</v>
      </c>
      <c r="E23" s="19">
        <v>900.0</v>
      </c>
      <c r="F23" s="19">
        <v>0.0</v>
      </c>
      <c r="G23" s="19">
        <v>100.0</v>
      </c>
      <c r="H23" s="19">
        <v>0.0</v>
      </c>
      <c r="I23" s="19">
        <f t="shared" ref="I23:I31" si="5">SUM(E23:H23)</f>
        <v>1000</v>
      </c>
      <c r="J23" s="27">
        <f t="shared" si="2"/>
        <v>17.5</v>
      </c>
      <c r="K23" s="19">
        <f t="shared" si="3"/>
        <v>982.5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>
        <v>46196.0</v>
      </c>
      <c r="B24" s="16" t="s">
        <v>33</v>
      </c>
      <c r="C24" s="34">
        <v>0.0</v>
      </c>
      <c r="D24" s="19" t="s">
        <v>24</v>
      </c>
      <c r="E24" s="19">
        <v>0.0</v>
      </c>
      <c r="F24" s="19">
        <v>0.0</v>
      </c>
      <c r="G24" s="19">
        <v>0.0</v>
      </c>
      <c r="H24" s="19">
        <v>0.0</v>
      </c>
      <c r="I24" s="19">
        <f t="shared" si="5"/>
        <v>0</v>
      </c>
      <c r="J24" s="27">
        <f t="shared" si="2"/>
        <v>0</v>
      </c>
      <c r="K24" s="19">
        <f t="shared" si="3"/>
        <v>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>
        <v>46197.0</v>
      </c>
      <c r="B25" s="16" t="s">
        <v>36</v>
      </c>
      <c r="C25" s="34">
        <v>0.0</v>
      </c>
      <c r="D25" s="19" t="s">
        <v>24</v>
      </c>
      <c r="E25" s="19">
        <v>0.0</v>
      </c>
      <c r="F25" s="19">
        <v>0.0</v>
      </c>
      <c r="G25" s="19">
        <v>0.0</v>
      </c>
      <c r="H25" s="19">
        <v>0.0</v>
      </c>
      <c r="I25" s="19">
        <f t="shared" si="5"/>
        <v>0</v>
      </c>
      <c r="J25" s="27">
        <f t="shared" si="2"/>
        <v>0</v>
      </c>
      <c r="K25" s="19">
        <f t="shared" si="3"/>
        <v>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>
        <v>46198.0</v>
      </c>
      <c r="B26" s="16" t="s">
        <v>40</v>
      </c>
      <c r="C26" s="34">
        <v>0.0</v>
      </c>
      <c r="D26" s="19" t="s">
        <v>24</v>
      </c>
      <c r="E26" s="19">
        <v>0.0</v>
      </c>
      <c r="F26" s="19">
        <v>0.0</v>
      </c>
      <c r="G26" s="19">
        <v>0.0</v>
      </c>
      <c r="H26" s="19">
        <v>0.0</v>
      </c>
      <c r="I26" s="19">
        <f t="shared" si="5"/>
        <v>0</v>
      </c>
      <c r="J26" s="27">
        <f t="shared" si="2"/>
        <v>0</v>
      </c>
      <c r="K26" s="19">
        <f t="shared" si="3"/>
        <v>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4">
        <v>46199.0</v>
      </c>
      <c r="B27" s="16" t="s">
        <v>44</v>
      </c>
      <c r="C27" s="34">
        <v>0.0</v>
      </c>
      <c r="D27" s="19" t="s">
        <v>24</v>
      </c>
      <c r="E27" s="19">
        <v>0.0</v>
      </c>
      <c r="F27" s="19">
        <v>0.0</v>
      </c>
      <c r="G27" s="19">
        <v>0.0</v>
      </c>
      <c r="H27" s="19">
        <v>0.0</v>
      </c>
      <c r="I27" s="19">
        <f t="shared" si="5"/>
        <v>0</v>
      </c>
      <c r="J27" s="27">
        <f t="shared" si="2"/>
        <v>0</v>
      </c>
      <c r="K27" s="19">
        <f t="shared" si="3"/>
        <v>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>
        <v>46200.0</v>
      </c>
      <c r="B28" s="16" t="s">
        <v>48</v>
      </c>
      <c r="C28" s="34">
        <v>0.0</v>
      </c>
      <c r="D28" s="19" t="s">
        <v>24</v>
      </c>
      <c r="E28" s="19">
        <v>0.0</v>
      </c>
      <c r="F28" s="19">
        <v>0.0</v>
      </c>
      <c r="G28" s="19">
        <v>0.0</v>
      </c>
      <c r="H28" s="19">
        <v>0.0</v>
      </c>
      <c r="I28" s="19">
        <f t="shared" si="5"/>
        <v>0</v>
      </c>
      <c r="J28" s="27">
        <f t="shared" si="2"/>
        <v>0</v>
      </c>
      <c r="K28" s="19">
        <f t="shared" si="3"/>
        <v>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4">
        <v>46201.0</v>
      </c>
      <c r="B29" s="16" t="s">
        <v>50</v>
      </c>
      <c r="C29" s="34">
        <v>0.0</v>
      </c>
      <c r="D29" s="19" t="s">
        <v>24</v>
      </c>
      <c r="E29" s="19">
        <v>0.0</v>
      </c>
      <c r="F29" s="19">
        <v>0.0</v>
      </c>
      <c r="G29" s="19">
        <v>0.0</v>
      </c>
      <c r="H29" s="19">
        <v>0.0</v>
      </c>
      <c r="I29" s="19">
        <f t="shared" si="5"/>
        <v>0</v>
      </c>
      <c r="J29" s="27">
        <f t="shared" si="2"/>
        <v>0</v>
      </c>
      <c r="K29" s="19">
        <f t="shared" si="3"/>
        <v>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4">
        <v>46202.0</v>
      </c>
      <c r="B30" s="16" t="s">
        <v>20</v>
      </c>
      <c r="C30" s="34">
        <v>0.0</v>
      </c>
      <c r="D30" s="19" t="s">
        <v>24</v>
      </c>
      <c r="E30" s="19">
        <v>0.0</v>
      </c>
      <c r="F30" s="19">
        <v>0.0</v>
      </c>
      <c r="G30" s="19">
        <v>0.0</v>
      </c>
      <c r="H30" s="19">
        <v>0.0</v>
      </c>
      <c r="I30" s="19">
        <f t="shared" si="5"/>
        <v>0</v>
      </c>
      <c r="J30" s="27">
        <f t="shared" si="2"/>
        <v>0</v>
      </c>
      <c r="K30" s="19">
        <f t="shared" si="3"/>
        <v>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4">
        <v>46203.0</v>
      </c>
      <c r="B31" s="16" t="s">
        <v>33</v>
      </c>
      <c r="C31" s="34">
        <v>0.0</v>
      </c>
      <c r="D31" s="19" t="s">
        <v>24</v>
      </c>
      <c r="E31" s="19">
        <v>0.0</v>
      </c>
      <c r="F31" s="19">
        <v>0.0</v>
      </c>
      <c r="G31" s="19">
        <v>0.0</v>
      </c>
      <c r="H31" s="19">
        <v>0.0</v>
      </c>
      <c r="I31" s="19">
        <f t="shared" si="5"/>
        <v>0</v>
      </c>
      <c r="J31" s="27">
        <f t="shared" si="2"/>
        <v>0</v>
      </c>
      <c r="K31" s="19">
        <f t="shared" si="3"/>
        <v>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2" t="s">
        <v>35</v>
      </c>
      <c r="B32" s="36"/>
      <c r="C32" s="46"/>
      <c r="D32" s="36"/>
      <c r="E32" s="35">
        <f t="shared" ref="E32:K32" si="6">SUM(E1:E31)</f>
        <v>9400</v>
      </c>
      <c r="F32" s="35">
        <f t="shared" si="6"/>
        <v>0</v>
      </c>
      <c r="G32" s="35">
        <f t="shared" si="6"/>
        <v>5500</v>
      </c>
      <c r="H32" s="35">
        <f t="shared" si="6"/>
        <v>0</v>
      </c>
      <c r="I32" s="35">
        <f t="shared" si="6"/>
        <v>14900</v>
      </c>
      <c r="J32" s="35">
        <f t="shared" si="6"/>
        <v>260.75</v>
      </c>
      <c r="K32" s="35">
        <f t="shared" si="6"/>
        <v>14639.25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1"/>
      <c r="B33" s="21"/>
      <c r="C33" s="47"/>
      <c r="D33" s="21"/>
      <c r="E33" s="21"/>
      <c r="F33" s="21"/>
      <c r="G33" s="21"/>
      <c r="H33" s="21"/>
      <c r="I33" s="21"/>
      <c r="J33" s="21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6.0"/>
    <col customWidth="1" min="6" max="6" width="11.13"/>
    <col customWidth="1" min="7" max="7" width="7.0"/>
    <col customWidth="1" min="9" max="9" width="14.13"/>
  </cols>
  <sheetData>
    <row r="1">
      <c r="A1" s="13" t="s">
        <v>0</v>
      </c>
      <c r="B1" s="2" t="s">
        <v>1</v>
      </c>
      <c r="C1" s="2" t="s">
        <v>17</v>
      </c>
      <c r="D1" s="2" t="s">
        <v>18</v>
      </c>
      <c r="E1" s="15" t="s">
        <v>19</v>
      </c>
      <c r="F1" s="2" t="s">
        <v>15</v>
      </c>
      <c r="G1" s="17" t="s">
        <v>21</v>
      </c>
      <c r="H1" s="17" t="s">
        <v>22</v>
      </c>
      <c r="I1" s="2" t="s">
        <v>23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21"/>
      <c r="B2" s="22" t="s">
        <v>26</v>
      </c>
      <c r="C2" s="23">
        <v>62834.0</v>
      </c>
      <c r="D2" s="23">
        <v>3890.0</v>
      </c>
      <c r="E2" s="23">
        <v>700.0</v>
      </c>
      <c r="F2" s="19">
        <f>C2-D2-E2</f>
        <v>58244</v>
      </c>
      <c r="G2" s="23">
        <v>314.0</v>
      </c>
      <c r="H2" s="23">
        <v>62.0</v>
      </c>
      <c r="I2" s="23">
        <f>F2-G2-H2</f>
        <v>57868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21"/>
      <c r="B3" s="31"/>
      <c r="C3" s="31"/>
      <c r="D3" s="31"/>
      <c r="E3" s="31"/>
      <c r="F3" s="31"/>
      <c r="G3" s="31"/>
      <c r="H3" s="31"/>
      <c r="I3" s="31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21"/>
      <c r="B4" s="32" t="s">
        <v>35</v>
      </c>
      <c r="C4" s="35">
        <f>SUM(C2:C3)</f>
        <v>62834</v>
      </c>
      <c r="D4" s="36"/>
      <c r="E4" s="36"/>
      <c r="F4" s="35">
        <f>SUM(F2:F3)</f>
        <v>58244</v>
      </c>
      <c r="G4" s="36"/>
      <c r="H4" s="36"/>
      <c r="I4" s="35">
        <f>SUM(I2:I3)</f>
        <v>57868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38"/>
      <c r="B5" s="38"/>
      <c r="C5" s="38"/>
      <c r="D5" s="38"/>
      <c r="E5" s="38"/>
      <c r="F5" s="38"/>
      <c r="G5" s="38"/>
      <c r="H5" s="3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38"/>
      <c r="B6" s="38"/>
      <c r="C6" s="38"/>
      <c r="D6" s="38"/>
      <c r="E6" s="38"/>
      <c r="F6" s="38"/>
      <c r="G6" s="38"/>
      <c r="H6" s="3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38"/>
      <c r="B7" s="38"/>
      <c r="C7" s="38"/>
      <c r="D7" s="38"/>
      <c r="E7" s="38"/>
      <c r="F7" s="38"/>
      <c r="G7" s="38"/>
      <c r="H7" s="3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</sheetData>
  <hyperlinks>
    <hyperlink r:id="rId1" ref="A1"/>
  </hyperlinks>
  <drawing r:id="rId2"/>
</worksheet>
</file>