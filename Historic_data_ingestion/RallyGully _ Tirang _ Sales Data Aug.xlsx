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F&amp;B" sheetId="3" r:id="rId7"/>
    <sheet state="visible" name="District" sheetId="4" r:id="rId8"/>
    <sheet state="visible" name="Social EventsTournaments" sheetId="5" r:id="rId9"/>
    <sheet state="visible" name="Corporate Events" sheetId="6" r:id="rId10"/>
    <sheet state="visible" name="Academy" sheetId="7" r:id="rId11"/>
  </sheets>
  <definedNames/>
  <calcPr/>
</workbook>
</file>

<file path=xl/sharedStrings.xml><?xml version="1.0" encoding="utf-8"?>
<sst xmlns="http://schemas.openxmlformats.org/spreadsheetml/2006/main" count="132" uniqueCount="80">
  <si>
    <t>1 - 31 Aug</t>
  </si>
  <si>
    <t>Particulars</t>
  </si>
  <si>
    <t>Amount</t>
  </si>
  <si>
    <t>Pickleball</t>
  </si>
  <si>
    <t>Pay &amp; Play</t>
  </si>
  <si>
    <t xml:space="preserve">Online </t>
  </si>
  <si>
    <t>District</t>
  </si>
  <si>
    <t>Hudle</t>
  </si>
  <si>
    <t>Playo</t>
  </si>
  <si>
    <t>Khelomore</t>
  </si>
  <si>
    <t>Zplys</t>
  </si>
  <si>
    <t>Offline</t>
  </si>
  <si>
    <t>Bookings</t>
  </si>
  <si>
    <t>Memberships</t>
  </si>
  <si>
    <t>Community</t>
  </si>
  <si>
    <t>Pickup games</t>
  </si>
  <si>
    <t>Social Events/Tournaments</t>
  </si>
  <si>
    <t>Community Partnerships</t>
  </si>
  <si>
    <t>Academy</t>
  </si>
  <si>
    <t>B2B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</si>
  <si>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</si>
  <si>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</si>
  <si>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</si>
  <si>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</si>
  <si>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</si>
  <si>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</si>
  <si>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</si>
  <si>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</si>
  <si>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>GST (B)</t>
  </si>
  <si>
    <t>Commissions, Payment gateway &amp; Event Expense(C)</t>
  </si>
  <si>
    <t>Net Revenue (A-B-C)</t>
  </si>
  <si>
    <t>Date</t>
  </si>
  <si>
    <t>Day</t>
  </si>
  <si>
    <t>Offline booking hours</t>
  </si>
  <si>
    <t>Booking Revenue</t>
  </si>
  <si>
    <t>Community Partnership</t>
  </si>
  <si>
    <t>Community Revenue</t>
  </si>
  <si>
    <t xml:space="preserve">Paddle Rental </t>
  </si>
  <si>
    <t>Total Revenue</t>
  </si>
  <si>
    <t>Payment Gateway</t>
  </si>
  <si>
    <t>Net Revenue</t>
  </si>
  <si>
    <t>Saturday</t>
  </si>
  <si>
    <t>Sunday</t>
  </si>
  <si>
    <t>Monday</t>
  </si>
  <si>
    <t>Tuesday</t>
  </si>
  <si>
    <t>Wednesday</t>
  </si>
  <si>
    <t>Thursday</t>
  </si>
  <si>
    <t>Friday</t>
  </si>
  <si>
    <t>Total</t>
  </si>
  <si>
    <t>Paid to brand (75%)</t>
  </si>
  <si>
    <t>Our Margin (25%)</t>
  </si>
  <si>
    <t>Link</t>
  </si>
  <si>
    <t>Paid to District</t>
  </si>
  <si>
    <t>Commissions (₹)</t>
  </si>
  <si>
    <t>GST on Commission</t>
  </si>
  <si>
    <t>TCS</t>
  </si>
  <si>
    <t>TDS</t>
  </si>
  <si>
    <t>Final Amount (₹)</t>
  </si>
  <si>
    <t>Sport</t>
  </si>
  <si>
    <t>Type</t>
  </si>
  <si>
    <t>Amt</t>
  </si>
  <si>
    <t>Post Comission</t>
  </si>
  <si>
    <t>Event Cost</t>
  </si>
  <si>
    <t xml:space="preserve">TDS </t>
  </si>
  <si>
    <t>Notes</t>
  </si>
  <si>
    <t>DUPR</t>
  </si>
  <si>
    <t>Courtly</t>
  </si>
  <si>
    <t>Start Month</t>
  </si>
  <si>
    <t>Partnership Type</t>
  </si>
  <si>
    <t>Name of Brand/Person</t>
  </si>
  <si>
    <t>Deliverables</t>
  </si>
  <si>
    <t>Amount (₹)</t>
  </si>
  <si>
    <t>Aug</t>
  </si>
  <si>
    <t>Team Event</t>
  </si>
  <si>
    <t>Morning Picklebal Tournament</t>
  </si>
  <si>
    <t>5 Hours of courts</t>
  </si>
  <si>
    <t>Decathlon</t>
  </si>
  <si>
    <t>4 Hours of courts</t>
  </si>
  <si>
    <t>Sports</t>
  </si>
  <si>
    <t>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</si>
</sst>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&gt;9999999][$₹]##\,##\,##\,##0;[&gt;99999][$₹]##\,##\,##0;[$₹]##,##0"/>
    <numFmt numFmtId="165" formatCode="[$₹]#,##0.00"/>
    <numFmt numFmtId="166" formatCode="[$₹]#,##0"/>
    <numFmt numFmtId="167" formatCode="[$₹]#,##0.0"/>
    <numFmt numFmtId="168" formatCode="d mmmm"/>
    <numFmt numFmtId="169" formatCode="d mmm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  <font>
      <b/>
      <u/>
      <color rgb="FF0000FF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3" fillId="2" fontId="4" numFmtId="0" xfId="0" applyAlignment="1" applyBorder="1" applyFill="1" applyFont="1">
      <alignment vertical="bottom"/>
    </xf>
    <xf borderId="3" fillId="2" fontId="2" numFmtId="164" xfId="0" applyAlignment="1" applyBorder="1" applyFill="1" applyFont="1" applyNumberFormat="1">
      <alignment horizontal="center" vertical="bottom"/>
    </xf>
    <xf borderId="3" fillId="0" fontId="2" numFmtId="0" xfId="0" applyAlignment="1" applyBorder="1" applyFont="1">
      <alignment vertical="bottom"/>
    </xf>
    <xf borderId="3" fillId="0" fontId="2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3" fillId="0" fontId="4" numFmtId="164" xfId="0" applyAlignment="1" applyBorder="1" applyFont="1" applyNumberFormat="1">
      <alignment vertical="bottom"/>
    </xf>
    <xf borderId="3" fillId="0" fontId="4" numFmtId="164" xfId="0" applyAlignment="1" applyBorder="1" applyFont="1" applyNumberFormat="1">
      <alignment readingOrder="0" vertical="bottom"/>
    </xf>
    <xf borderId="3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3" fillId="0" fontId="4" numFmtId="165" xfId="0" applyAlignment="1" applyBorder="1" applyFont="1" applyNumberFormat="1">
      <alignment vertical="bottom"/>
    </xf>
    <xf borderId="3" fillId="0" fontId="4" numFmtId="0" xfId="0" applyAlignment="1" applyBorder="1" applyFont="1">
      <alignment readingOrder="0" vertical="bottom"/>
    </xf>
    <xf borderId="3" fillId="0" fontId="4" numFmtId="164" xfId="0" applyAlignment="1" applyBorder="1" applyFont="1" applyNumberFormat="1">
      <alignment horizontal="right" readingOrder="0" vertical="bottom"/>
    </xf>
    <xf borderId="3" fillId="0" fontId="2" numFmtId="164" xfId="0" applyAlignment="1" applyBorder="1" applyFont="1" applyNumberFormat="1">
      <alignment horizontal="right" readingOrder="0" vertical="bottom"/>
    </xf>
    <xf borderId="3" fillId="0" fontId="2" numFmtId="0" xfId="0" applyAlignment="1" applyBorder="1" applyFont="1">
      <alignment readingOrder="0" vertical="bottom"/>
    </xf>
    <xf borderId="3" fillId="0" fontId="4" numFmtId="164" xfId="0" applyAlignment="1" applyBorder="1" applyFont="1" applyNumberFormat="1">
      <alignment horizontal="right" vertical="bottom"/>
    </xf>
    <xf borderId="3" fillId="2" fontId="2" numFmtId="0" xfId="0" applyAlignment="1" applyBorder="1" applyFill="1" applyFont="1">
      <alignment vertical="bottom"/>
    </xf>
    <xf borderId="3" fillId="2" fontId="2" numFmtId="166" xfId="0" applyAlignment="1" applyBorder="1" applyFill="1" applyFont="1" applyNumberFormat="1">
      <alignment horizontal="right" vertical="bottom"/>
    </xf>
    <xf borderId="3" fillId="0" fontId="4" numFmtId="166" xfId="0" applyAlignment="1" applyBorder="1" applyFont="1" applyNumberFormat="1">
      <alignment shrinkToFit="0" vertical="bottom" wrapText="1"/>
    </xf>
    <xf borderId="3" fillId="0" fontId="1" numFmtId="166" xfId="0" applyAlignment="1" applyBorder="1" applyFont="1" applyNumberFormat="1">
      <alignment readingOrder="0"/>
    </xf>
    <xf borderId="3" fillId="0" fontId="2" numFmtId="166" xfId="0" applyAlignment="1" applyBorder="1" applyFont="1" applyNumberFormat="1">
      <alignment horizontal="right" vertical="bottom"/>
    </xf>
    <xf borderId="3" fillId="0" fontId="2" numFmtId="166" xfId="0" applyAlignment="1" applyBorder="1" applyFont="1" applyNumberFormat="1">
      <alignment vertical="bottom"/>
    </xf>
    <xf borderId="3" fillId="2" fontId="2" numFmtId="166" xfId="0" applyAlignment="1" applyBorder="1" applyFill="1" applyFont="1" applyNumberFormat="1">
      <alignment horizontal="center" vertical="bottom"/>
    </xf>
    <xf borderId="3" fillId="2" fontId="2" numFmtId="3" xfId="0" applyAlignment="1" applyBorder="1" applyFill="1" applyFont="1" applyNumberFormat="1">
      <alignment horizontal="center" vertical="bottom"/>
    </xf>
    <xf borderId="3" fillId="2" fontId="2" numFmtId="167" xfId="0" applyAlignment="1" applyBorder="1" applyFill="1" applyFont="1" applyNumberFormat="1">
      <alignment horizontal="center" vertical="bottom"/>
    </xf>
    <xf borderId="3" fillId="3" fontId="4" numFmtId="168" xfId="0" applyAlignment="1" applyBorder="1" applyFill="1" applyFont="1" applyNumberFormat="1">
      <alignment horizontal="right" vertical="bottom"/>
    </xf>
    <xf borderId="3" fillId="3" fontId="4" numFmtId="166" xfId="0" applyAlignment="1" applyBorder="1" applyFill="1" applyFont="1" applyNumberFormat="1">
      <alignment vertical="bottom"/>
    </xf>
    <xf borderId="3" fillId="3" fontId="4" numFmtId="4" xfId="0" applyAlignment="1" applyBorder="1" applyFill="1" applyFont="1" applyNumberFormat="1">
      <alignment horizontal="right" vertical="bottom"/>
    </xf>
    <xf borderId="3" fillId="0" fontId="4" numFmtId="166" xfId="0" applyAlignment="1" applyBorder="1" applyFont="1" applyNumberFormat="1">
      <alignment horizontal="right" vertical="bottom"/>
    </xf>
    <xf borderId="3" fillId="0" fontId="4" numFmtId="166" xfId="0" applyAlignment="1" applyBorder="1" applyFont="1" applyNumberFormat="1">
      <alignment horizontal="right" vertical="bottom"/>
    </xf>
    <xf borderId="3" fillId="0" fontId="4" numFmtId="4" xfId="0" applyAlignment="1" applyBorder="1" applyFont="1" applyNumberForma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3" fillId="3" fontId="4" numFmtId="166" xfId="0" applyAlignment="1" applyBorder="1" applyFill="1" applyFont="1" applyNumberFormat="1">
      <alignment horizontal="right" vertical="bottom"/>
    </xf>
    <xf borderId="0" fillId="3" fontId="5" numFmtId="0" xfId="0" applyFill="1" applyFont="1"/>
    <xf borderId="3" fillId="2" fontId="2" numFmtId="166" xfId="0" applyAlignment="1" applyBorder="1" applyFill="1" applyFont="1" applyNumberFormat="1">
      <alignment vertical="bottom"/>
    </xf>
    <xf borderId="3" fillId="2" fontId="4" numFmtId="166" xfId="0" applyAlignment="1" applyBorder="1" applyFill="1" applyFont="1" applyNumberFormat="1">
      <alignment vertical="bottom"/>
    </xf>
    <xf borderId="3" fillId="2" fontId="4" numFmtId="4" xfId="0" applyAlignment="1" applyBorder="1" applyFill="1" applyFont="1" applyNumberFormat="1">
      <alignment vertical="bottom"/>
    </xf>
    <xf borderId="3" fillId="2" fontId="2" numFmtId="1" xfId="0" applyAlignment="1" applyBorder="1" applyFill="1" applyFont="1" applyNumberFormat="1">
      <alignment horizontal="center" vertical="bottom"/>
    </xf>
    <xf borderId="3" fillId="2" fontId="2" numFmtId="0" xfId="0" applyAlignment="1" applyBorder="1" applyFill="1" applyFont="1">
      <alignment horizontal="center" vertical="bottom"/>
    </xf>
    <xf borderId="3" fillId="2" fontId="6" numFmtId="165" xfId="0" applyAlignment="1" applyBorder="1" applyFill="1" applyFont="1" applyNumberFormat="1">
      <alignment horizontal="center" readingOrder="0" vertical="bottom"/>
    </xf>
    <xf borderId="0" fillId="2" fontId="7" numFmtId="166" xfId="0" applyAlignment="1" applyFill="1" applyFont="1" applyNumberFormat="1">
      <alignment vertical="bottom"/>
    </xf>
    <xf borderId="0" fillId="2" fontId="2" numFmtId="166" xfId="0" applyAlignment="1" applyFill="1" applyFont="1" applyNumberFormat="1">
      <alignment horizontal="center" vertical="bottom"/>
    </xf>
    <xf borderId="0" fillId="0" fontId="4" numFmtId="166" xfId="0" applyAlignment="1" applyFont="1" applyNumberFormat="1">
      <alignment vertical="bottom"/>
    </xf>
    <xf borderId="3" fillId="0" fontId="4" numFmtId="165" xfId="0" applyAlignment="1" applyBorder="1" applyFont="1" applyNumberFormat="1">
      <alignment readingOrder="0" vertical="bottom"/>
    </xf>
    <xf borderId="3" fillId="0" fontId="4" numFmtId="166" xfId="0" applyAlignment="1" applyBorder="1" applyFont="1" applyNumberFormat="1">
      <alignment horizontal="right" readingOrder="0" vertical="bottom"/>
    </xf>
    <xf borderId="3" fillId="0" fontId="4" numFmtId="166" xfId="0" applyAlignment="1" applyBorder="1" applyFont="1" applyNumberFormat="1">
      <alignment readingOrder="0" vertical="bottom"/>
    </xf>
    <xf borderId="3" fillId="0" fontId="4" numFmtId="166" xfId="0" applyAlignment="1" applyBorder="1" applyFont="1" applyNumberFormat="1">
      <alignment vertical="bottom"/>
    </xf>
    <xf borderId="3" fillId="2" fontId="2" numFmtId="166" xfId="0" applyAlignment="1" applyBorder="1" applyFill="1" applyFont="1" applyNumberFormat="1">
      <alignment horizontal="center" readingOrder="0" vertical="bottom"/>
    </xf>
    <xf borderId="3" fillId="3" fontId="4" numFmtId="166" xfId="0" applyAlignment="1" applyBorder="1" applyFill="1" applyFont="1" applyNumberFormat="1">
      <alignment horizontal="right" readingOrder="0" vertical="bottom"/>
    </xf>
    <xf borderId="0" fillId="0" fontId="4" numFmtId="169" xfId="0" applyAlignment="1" applyFont="1" applyNumberFormat="1">
      <alignment vertical="bottom"/>
    </xf>
    <xf borderId="0" fillId="0" fontId="5" numFmtId="166" xfId="0" applyFont="1" applyNumberFormat="1"/>
    <xf borderId="3" fillId="0" fontId="5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3" fillId="0" fontId="1" numFmtId="166" xfId="0" applyBorder="1" applyFont="1" applyNumberFormat="1"/>
    <xf borderId="3" fillId="2" fontId="1" numFmtId="0" xfId="0" applyAlignment="1" applyBorder="1" applyFill="1" applyFont="1">
      <alignment readingOrder="0"/>
    </xf>
    <xf borderId="3" fillId="2" fontId="2" numFmtId="167" xfId="0" applyAlignment="1" applyBorder="1" applyFill="1" applyFont="1" applyNumberFormat="1">
      <alignment vertical="bottom"/>
    </xf>
    <xf borderId="3" fillId="0" fontId="5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18XGMIu4VUdMlUKHCiFTY47ny0l-EAjh6B-5upIrIfk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0</v>
      </c>
      <c r="C2" s="3"/>
    </row>
    <row r="3">
      <c r="B3" s="4" t="s">
        <v>1</v>
      </c>
      <c r="C3" s="4" t="s">
        <v>2</v>
      </c>
      <c r="E3" s="5"/>
    </row>
    <row r="4">
      <c r="B4" s="6"/>
      <c r="C4" s="7" t="s">
        <v>3</v>
      </c>
      <c r="E4" s="5"/>
    </row>
    <row r="5">
      <c r="B5" s="8" t="s">
        <v>4</v>
      </c>
      <c r="C5" s="9">
        <f>sum(C6,C12)</f>
        <v>130433</v>
      </c>
      <c r="E5" s="5"/>
    </row>
    <row r="6">
      <c r="B6" s="8" t="s">
        <v>5</v>
      </c>
      <c r="C6" s="9">
        <f>sum(C7:C11)</f>
        <v>100710</v>
      </c>
      <c r="E6" s="5"/>
    </row>
    <row r="7" outlineLevel="1">
      <c r="B7" s="10" t="s">
        <v>6</v>
      </c>
      <c r="C7" s="11">
        <f>District!C4</f>
        <v>100710</v>
      </c>
      <c r="E7" s="5"/>
    </row>
    <row r="8" outlineLevel="1">
      <c r="B8" s="10" t="s">
        <v>7</v>
      </c>
      <c r="C8" s="12">
        <v>0.0</v>
      </c>
      <c r="E8" s="5"/>
    </row>
    <row r="9" outlineLevel="1">
      <c r="B9" s="10" t="s">
        <v>8</v>
      </c>
      <c r="C9" s="12">
        <v>0.0</v>
      </c>
      <c r="E9" s="5"/>
    </row>
    <row r="10" outlineLevel="1">
      <c r="B10" s="13" t="s">
        <v>9</v>
      </c>
      <c r="C10" s="12">
        <v>0.0</v>
      </c>
      <c r="E10" s="14"/>
    </row>
    <row r="11" outlineLevel="1">
      <c r="B11" s="10" t="s">
        <v>10</v>
      </c>
      <c r="C11" s="12">
        <v>0.0</v>
      </c>
      <c r="E11" s="14"/>
    </row>
    <row r="12">
      <c r="B12" s="15" t="s">
        <v>11</v>
      </c>
      <c r="C12" s="9">
        <f>sum(C13:C14)</f>
        <v>29723</v>
      </c>
    </row>
    <row r="13" outlineLevel="1">
      <c r="B13" s="10" t="s">
        <v>12</v>
      </c>
      <c r="C13" s="11">
        <f>'Offline &amp; RG Community'!D33</f>
        <v>29723</v>
      </c>
    </row>
    <row r="14" outlineLevel="1">
      <c r="B14" s="16" t="s">
        <v>13</v>
      </c>
      <c r="C14" s="12">
        <v>0.0</v>
      </c>
      <c r="E14" s="5"/>
    </row>
    <row r="15">
      <c r="B15" s="15" t="s">
        <v>14</v>
      </c>
      <c r="C15" s="9">
        <f>sum(C16:C18)</f>
        <v>111860</v>
      </c>
      <c r="E15" s="5"/>
    </row>
    <row r="16" outlineLevel="1">
      <c r="B16" s="13" t="s">
        <v>15</v>
      </c>
      <c r="C16" s="11">
        <f>'Offline &amp; RG Community'!F33</f>
        <v>58050</v>
      </c>
      <c r="E16" s="5"/>
    </row>
    <row r="17" outlineLevel="1">
      <c r="B17" s="13" t="s">
        <v>16</v>
      </c>
      <c r="C17" s="12">
        <f>'Social EventsTournaments'!D4</f>
        <v>8500</v>
      </c>
    </row>
    <row r="18">
      <c r="B18" s="17" t="s">
        <v>17</v>
      </c>
      <c r="C18" s="18">
        <f>'Offline &amp; RG Community'!E33</f>
        <v>45310</v>
      </c>
      <c r="E18" s="5"/>
    </row>
    <row r="19">
      <c r="B19" s="15" t="s">
        <v>18</v>
      </c>
      <c r="C19" s="19">
        <f>Academy!C2</f>
        <v>6500</v>
      </c>
      <c r="E19" s="5"/>
    </row>
    <row r="20">
      <c r="B20" s="20" t="s">
        <v>19</v>
      </c>
      <c r="C20" s="19">
        <f>sum(C21,C22)</f>
        <v>5950</v>
      </c>
    </row>
    <row r="21" outlineLevel="1">
      <c r="B21" s="10" t="s">
        <v>20</v>
      </c>
      <c r="C21" s="21">
        <f>'Corporate Events'!E4</f>
        <v>5950</v>
      </c>
    </row>
    <row r="22" outlineLevel="1">
      <c r="B22" s="13" t="s">
        <v>21</v>
      </c>
      <c r="C22" s="18">
        <v>0.0</v>
      </c>
    </row>
    <row r="23">
      <c r="B23" s="8" t="s">
        <v>22</v>
      </c>
      <c r="C23" s="9">
        <f>sum(C24:C26)</f>
        <v>9630</v>
      </c>
    </row>
    <row r="24" outlineLevel="1">
      <c r="B24" s="10" t="s">
        <v>23</v>
      </c>
      <c r="C24" s="21">
        <f>'Offline &amp; RG Community'!G33</f>
        <v>7175</v>
      </c>
    </row>
    <row r="25" outlineLevel="1">
      <c r="B25" s="10" t="s">
        <v>24</v>
      </c>
      <c r="C25" s="12">
        <v>0.0</v>
      </c>
    </row>
    <row r="26" outlineLevel="1">
      <c r="B26" s="10" t="s">
        <v>25</v>
      </c>
      <c r="C26" s="21">
        <f>'F&amp;B'!B33</f>
        <v>2455</v>
      </c>
    </row>
    <row r="27">
      <c r="B27" s="8" t="s">
        <v>26</v>
      </c>
      <c r="C27" s="9">
        <v>0.0</v>
      </c>
    </row>
    <row r="28">
      <c r="B28" s="22" t="s">
        <v>27</v>
      </c>
      <c r="C28" s="23">
        <f>C5+C15+C19+C20+C23+C27</f>
        <v>264373</v>
      </c>
    </row>
    <row r="29">
      <c r="B29" s="24" t="s">
        <v>28</v>
      </c>
      <c r="C29" s="25">
        <f>C28-(C28/1.18)</f>
        <v>40328.08475</v>
      </c>
    </row>
    <row r="30">
      <c r="B30" s="24" t="s">
        <v>29</v>
      </c>
      <c r="C30" s="26">
        <f>'Offline &amp; RG Community'!I33+'F&amp;B'!C33+'F&amp;B'!E33+District!D4+District!E4+'Social EventsTournaments'!E4+'Social EventsTournaments'!F4+'Social EventsTournaments'!G4+Academy!D2+'Corporate Events'!F4</f>
        <v>13784.8775</v>
      </c>
    </row>
    <row r="31">
      <c r="B31" s="27" t="s">
        <v>30</v>
      </c>
      <c r="C31" s="26">
        <f>C28-C29-C30</f>
        <v>210260.0378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75"/>
    <col customWidth="1" min="3" max="3" width="18.25"/>
    <col customWidth="1" min="4" max="4" width="17.63"/>
    <col customWidth="1" min="5" max="5" width="19.88"/>
    <col customWidth="1" min="6" max="6" width="17.63"/>
    <col customWidth="1" min="7" max="7" width="12.5"/>
    <col customWidth="1" min="8" max="8" width="12.25"/>
  </cols>
  <sheetData>
    <row r="1">
      <c r="A1" s="28" t="s">
        <v>31</v>
      </c>
      <c r="B1" s="28" t="s">
        <v>32</v>
      </c>
      <c r="C1" s="29" t="s">
        <v>33</v>
      </c>
      <c r="D1" s="28" t="s">
        <v>34</v>
      </c>
      <c r="E1" s="28" t="s">
        <v>35</v>
      </c>
      <c r="F1" s="28" t="s">
        <v>36</v>
      </c>
      <c r="G1" s="28" t="s">
        <v>37</v>
      </c>
      <c r="H1" s="28" t="s">
        <v>38</v>
      </c>
      <c r="I1" s="30" t="s">
        <v>39</v>
      </c>
      <c r="J1" s="28" t="s">
        <v>40</v>
      </c>
    </row>
    <row r="2">
      <c r="A2" s="31">
        <v>46235.0</v>
      </c>
      <c r="B2" s="32" t="s">
        <v>41</v>
      </c>
      <c r="C2" s="33">
        <v>2.5</v>
      </c>
      <c r="D2" s="34">
        <v>1740.0</v>
      </c>
      <c r="E2" s="34">
        <v>0.0</v>
      </c>
      <c r="F2" s="34">
        <v>1000.0</v>
      </c>
      <c r="G2" s="34">
        <v>150.0</v>
      </c>
      <c r="H2" s="34">
        <f t="shared" ref="H2:H9" si="1">sum(D2:G2)</f>
        <v>2890</v>
      </c>
      <c r="I2" s="35">
        <f t="shared" ref="I2:I32" si="2">H2*1.75%</f>
        <v>50.575</v>
      </c>
      <c r="J2" s="34">
        <f t="shared" ref="J2:J32" si="3">H2-I2</f>
        <v>2839.425</v>
      </c>
    </row>
    <row r="3">
      <c r="A3" s="31">
        <v>46236.0</v>
      </c>
      <c r="B3" s="32" t="s">
        <v>42</v>
      </c>
      <c r="C3" s="33">
        <v>0.5</v>
      </c>
      <c r="D3" s="34">
        <v>400.0</v>
      </c>
      <c r="E3" s="34">
        <v>0.0</v>
      </c>
      <c r="F3" s="34">
        <v>3050.0</v>
      </c>
      <c r="G3" s="34">
        <v>150.0</v>
      </c>
      <c r="H3" s="34">
        <f t="shared" si="1"/>
        <v>3600</v>
      </c>
      <c r="I3" s="35">
        <f t="shared" si="2"/>
        <v>63</v>
      </c>
      <c r="J3" s="34">
        <f t="shared" si="3"/>
        <v>3537</v>
      </c>
    </row>
    <row r="4">
      <c r="A4" s="31">
        <v>46237.0</v>
      </c>
      <c r="B4" s="32" t="s">
        <v>43</v>
      </c>
      <c r="C4" s="36">
        <v>3.0</v>
      </c>
      <c r="D4" s="34">
        <v>2080.0</v>
      </c>
      <c r="E4" s="34">
        <v>0.0</v>
      </c>
      <c r="F4" s="34">
        <v>2600.0</v>
      </c>
      <c r="G4" s="34">
        <v>150.0</v>
      </c>
      <c r="H4" s="34">
        <f t="shared" si="1"/>
        <v>4830</v>
      </c>
      <c r="I4" s="35">
        <f t="shared" si="2"/>
        <v>84.525</v>
      </c>
      <c r="J4" s="34">
        <f t="shared" si="3"/>
        <v>4745.475</v>
      </c>
    </row>
    <row r="5">
      <c r="A5" s="31">
        <v>46238.0</v>
      </c>
      <c r="B5" s="32" t="s">
        <v>44</v>
      </c>
      <c r="C5" s="36">
        <v>1.0</v>
      </c>
      <c r="D5" s="34">
        <v>720.0</v>
      </c>
      <c r="E5" s="34">
        <v>2040.0</v>
      </c>
      <c r="F5" s="34">
        <v>800.0</v>
      </c>
      <c r="G5" s="34">
        <v>150.0</v>
      </c>
      <c r="H5" s="34">
        <f t="shared" si="1"/>
        <v>3710</v>
      </c>
      <c r="I5" s="35">
        <f t="shared" si="2"/>
        <v>64.925</v>
      </c>
      <c r="J5" s="34">
        <f t="shared" si="3"/>
        <v>3645.075</v>
      </c>
    </row>
    <row r="6">
      <c r="A6" s="31">
        <v>46239.0</v>
      </c>
      <c r="B6" s="32" t="s">
        <v>45</v>
      </c>
      <c r="C6" s="36">
        <v>2.5</v>
      </c>
      <c r="D6" s="34">
        <v>1919.0</v>
      </c>
      <c r="E6" s="34">
        <v>680.0</v>
      </c>
      <c r="F6" s="34">
        <v>600.0</v>
      </c>
      <c r="G6" s="34">
        <v>925.0</v>
      </c>
      <c r="H6" s="34">
        <f t="shared" si="1"/>
        <v>4124</v>
      </c>
      <c r="I6" s="35">
        <f t="shared" si="2"/>
        <v>72.17</v>
      </c>
      <c r="J6" s="34">
        <f t="shared" si="3"/>
        <v>4051.83</v>
      </c>
    </row>
    <row r="7">
      <c r="A7" s="31">
        <v>46240.0</v>
      </c>
      <c r="B7" s="32" t="s">
        <v>46</v>
      </c>
      <c r="C7" s="36">
        <v>1.0</v>
      </c>
      <c r="D7" s="34">
        <v>720.0</v>
      </c>
      <c r="E7" s="34">
        <v>2720.0</v>
      </c>
      <c r="F7" s="34">
        <v>2800.0</v>
      </c>
      <c r="G7" s="37">
        <v>100.0</v>
      </c>
      <c r="H7" s="34">
        <f t="shared" si="1"/>
        <v>6340</v>
      </c>
      <c r="I7" s="35">
        <f t="shared" si="2"/>
        <v>110.95</v>
      </c>
      <c r="J7" s="34">
        <f t="shared" si="3"/>
        <v>6229.05</v>
      </c>
    </row>
    <row r="8">
      <c r="A8" s="31">
        <v>46241.0</v>
      </c>
      <c r="B8" s="32" t="s">
        <v>47</v>
      </c>
      <c r="C8" s="36">
        <v>0.0</v>
      </c>
      <c r="D8" s="34">
        <v>0.0</v>
      </c>
      <c r="E8" s="34">
        <v>0.0</v>
      </c>
      <c r="F8" s="34">
        <v>0.0</v>
      </c>
      <c r="G8" s="34">
        <v>0.0</v>
      </c>
      <c r="H8" s="34">
        <f t="shared" si="1"/>
        <v>0</v>
      </c>
      <c r="I8" s="35">
        <f t="shared" si="2"/>
        <v>0</v>
      </c>
      <c r="J8" s="34">
        <f t="shared" si="3"/>
        <v>0</v>
      </c>
    </row>
    <row r="9">
      <c r="A9" s="31">
        <v>46242.0</v>
      </c>
      <c r="B9" s="32" t="s">
        <v>41</v>
      </c>
      <c r="C9" s="36">
        <v>3.5</v>
      </c>
      <c r="D9" s="34">
        <v>2500.0</v>
      </c>
      <c r="E9" s="34">
        <v>3150.0</v>
      </c>
      <c r="F9" s="34">
        <v>3200.0</v>
      </c>
      <c r="G9" s="37">
        <v>700.0</v>
      </c>
      <c r="H9" s="34">
        <f t="shared" si="1"/>
        <v>9550</v>
      </c>
      <c r="I9" s="35">
        <f t="shared" si="2"/>
        <v>167.125</v>
      </c>
      <c r="J9" s="34">
        <f t="shared" si="3"/>
        <v>9382.875</v>
      </c>
    </row>
    <row r="10">
      <c r="A10" s="31">
        <v>46243.0</v>
      </c>
      <c r="B10" s="32" t="s">
        <v>42</v>
      </c>
      <c r="C10" s="36">
        <v>1.0</v>
      </c>
      <c r="D10" s="34">
        <v>720.0</v>
      </c>
      <c r="E10" s="34">
        <v>0.0</v>
      </c>
      <c r="F10" s="34">
        <v>2800.0</v>
      </c>
      <c r="G10" s="34">
        <v>250.0</v>
      </c>
      <c r="H10" s="34">
        <v>0.0</v>
      </c>
      <c r="I10" s="35">
        <f t="shared" si="2"/>
        <v>0</v>
      </c>
      <c r="J10" s="34">
        <f t="shared" si="3"/>
        <v>0</v>
      </c>
    </row>
    <row r="11">
      <c r="A11" s="31">
        <v>46244.0</v>
      </c>
      <c r="B11" s="32" t="s">
        <v>43</v>
      </c>
      <c r="C11" s="36">
        <v>1.5</v>
      </c>
      <c r="D11" s="34">
        <v>1120.0</v>
      </c>
      <c r="E11" s="34">
        <v>680.0</v>
      </c>
      <c r="F11" s="34">
        <v>2800.0</v>
      </c>
      <c r="G11" s="34">
        <v>100.0</v>
      </c>
      <c r="H11" s="34">
        <f t="shared" ref="H11:H32" si="4">sum(D11:G11)</f>
        <v>4700</v>
      </c>
      <c r="I11" s="35">
        <f t="shared" si="2"/>
        <v>82.25</v>
      </c>
      <c r="J11" s="34">
        <f t="shared" si="3"/>
        <v>4617.75</v>
      </c>
    </row>
    <row r="12">
      <c r="A12" s="31">
        <v>46245.0</v>
      </c>
      <c r="B12" s="32" t="s">
        <v>44</v>
      </c>
      <c r="C12" s="36">
        <v>0.0</v>
      </c>
      <c r="D12" s="34">
        <v>0.0</v>
      </c>
      <c r="E12" s="34">
        <v>680.0</v>
      </c>
      <c r="F12" s="34">
        <v>3200.0</v>
      </c>
      <c r="G12" s="34">
        <v>200.0</v>
      </c>
      <c r="H12" s="34">
        <f t="shared" si="4"/>
        <v>4080</v>
      </c>
      <c r="I12" s="35">
        <f t="shared" si="2"/>
        <v>71.4</v>
      </c>
      <c r="J12" s="34">
        <f t="shared" si="3"/>
        <v>4008.6</v>
      </c>
    </row>
    <row r="13">
      <c r="A13" s="31">
        <v>46246.0</v>
      </c>
      <c r="B13" s="32" t="s">
        <v>45</v>
      </c>
      <c r="C13" s="36">
        <v>1.0</v>
      </c>
      <c r="D13" s="34">
        <v>720.0</v>
      </c>
      <c r="E13" s="34">
        <v>2380.0</v>
      </c>
      <c r="F13" s="34">
        <v>1200.0</v>
      </c>
      <c r="G13" s="34">
        <v>0.0</v>
      </c>
      <c r="H13" s="34">
        <f t="shared" si="4"/>
        <v>4300</v>
      </c>
      <c r="I13" s="35">
        <f t="shared" si="2"/>
        <v>75.25</v>
      </c>
      <c r="J13" s="34">
        <f t="shared" si="3"/>
        <v>4224.75</v>
      </c>
    </row>
    <row r="14">
      <c r="A14" s="31">
        <v>46247.0</v>
      </c>
      <c r="B14" s="32" t="s">
        <v>46</v>
      </c>
      <c r="C14" s="36">
        <v>5.5</v>
      </c>
      <c r="D14" s="34">
        <v>720.0</v>
      </c>
      <c r="E14" s="34">
        <v>1020.0</v>
      </c>
      <c r="F14" s="34">
        <v>2000.0</v>
      </c>
      <c r="G14" s="34">
        <v>225.0</v>
      </c>
      <c r="H14" s="34">
        <f t="shared" si="4"/>
        <v>3965</v>
      </c>
      <c r="I14" s="35">
        <f t="shared" si="2"/>
        <v>69.3875</v>
      </c>
      <c r="J14" s="34">
        <f t="shared" si="3"/>
        <v>3895.6125</v>
      </c>
    </row>
    <row r="15">
      <c r="A15" s="31">
        <v>46248.0</v>
      </c>
      <c r="B15" s="32" t="s">
        <v>47</v>
      </c>
      <c r="C15" s="36">
        <v>9.0</v>
      </c>
      <c r="D15" s="34">
        <v>1727.0</v>
      </c>
      <c r="E15" s="34">
        <v>2360.0</v>
      </c>
      <c r="F15" s="34">
        <v>2400.0</v>
      </c>
      <c r="G15" s="34">
        <v>200.0</v>
      </c>
      <c r="H15" s="34">
        <f t="shared" si="4"/>
        <v>6687</v>
      </c>
      <c r="I15" s="35">
        <f t="shared" si="2"/>
        <v>117.0225</v>
      </c>
      <c r="J15" s="34">
        <f t="shared" si="3"/>
        <v>6569.9775</v>
      </c>
    </row>
    <row r="16">
      <c r="A16" s="31">
        <v>46249.0</v>
      </c>
      <c r="B16" s="32" t="s">
        <v>41</v>
      </c>
      <c r="C16" s="36">
        <v>7.0</v>
      </c>
      <c r="D16" s="34">
        <v>1197.0</v>
      </c>
      <c r="E16" s="34">
        <v>1020.0</v>
      </c>
      <c r="F16" s="34">
        <v>1960.0</v>
      </c>
      <c r="G16" s="34">
        <v>700.0</v>
      </c>
      <c r="H16" s="34">
        <f t="shared" si="4"/>
        <v>4877</v>
      </c>
      <c r="I16" s="35">
        <f t="shared" si="2"/>
        <v>85.3475</v>
      </c>
      <c r="J16" s="34">
        <f t="shared" si="3"/>
        <v>4791.6525</v>
      </c>
    </row>
    <row r="17">
      <c r="A17" s="31">
        <v>46250.0</v>
      </c>
      <c r="B17" s="32" t="s">
        <v>42</v>
      </c>
      <c r="C17" s="36">
        <v>6.0</v>
      </c>
      <c r="D17" s="37">
        <v>0.0</v>
      </c>
      <c r="E17" s="37">
        <v>1360.0</v>
      </c>
      <c r="F17" s="37">
        <v>2920.0</v>
      </c>
      <c r="G17" s="34">
        <v>450.0</v>
      </c>
      <c r="H17" s="34">
        <f t="shared" si="4"/>
        <v>4730</v>
      </c>
      <c r="I17" s="35">
        <f t="shared" si="2"/>
        <v>82.775</v>
      </c>
      <c r="J17" s="34">
        <f t="shared" si="3"/>
        <v>4647.225</v>
      </c>
    </row>
    <row r="18">
      <c r="A18" s="31">
        <v>46251.0</v>
      </c>
      <c r="B18" s="32" t="s">
        <v>43</v>
      </c>
      <c r="C18" s="36">
        <v>6.0</v>
      </c>
      <c r="D18" s="34">
        <v>720.0</v>
      </c>
      <c r="E18" s="34">
        <v>1360.0</v>
      </c>
      <c r="F18" s="34">
        <v>2200.0</v>
      </c>
      <c r="G18" s="34">
        <v>150.0</v>
      </c>
      <c r="H18" s="34">
        <f t="shared" si="4"/>
        <v>4430</v>
      </c>
      <c r="I18" s="35">
        <f t="shared" si="2"/>
        <v>77.525</v>
      </c>
      <c r="J18" s="34">
        <f t="shared" si="3"/>
        <v>4352.475</v>
      </c>
    </row>
    <row r="19">
      <c r="A19" s="31">
        <v>46252.0</v>
      </c>
      <c r="B19" s="32" t="s">
        <v>44</v>
      </c>
      <c r="C19" s="36">
        <v>4.0</v>
      </c>
      <c r="D19" s="34">
        <v>720.0</v>
      </c>
      <c r="E19" s="34">
        <v>1360.0</v>
      </c>
      <c r="F19" s="34">
        <v>400.0</v>
      </c>
      <c r="G19" s="34">
        <v>0.0</v>
      </c>
      <c r="H19" s="34">
        <f t="shared" si="4"/>
        <v>2480</v>
      </c>
      <c r="I19" s="35">
        <f t="shared" si="2"/>
        <v>43.4</v>
      </c>
      <c r="J19" s="34">
        <f t="shared" si="3"/>
        <v>2436.6</v>
      </c>
    </row>
    <row r="20">
      <c r="A20" s="31">
        <v>46253.0</v>
      </c>
      <c r="B20" s="32" t="s">
        <v>45</v>
      </c>
      <c r="C20" s="36">
        <v>7.0</v>
      </c>
      <c r="D20" s="34">
        <v>1920.0</v>
      </c>
      <c r="E20" s="34">
        <v>3060.0</v>
      </c>
      <c r="F20" s="34">
        <v>800.0</v>
      </c>
      <c r="G20" s="34">
        <v>150.0</v>
      </c>
      <c r="H20" s="34">
        <f t="shared" si="4"/>
        <v>5930</v>
      </c>
      <c r="I20" s="35">
        <f t="shared" si="2"/>
        <v>103.775</v>
      </c>
      <c r="J20" s="34">
        <f t="shared" si="3"/>
        <v>5826.225</v>
      </c>
    </row>
    <row r="21">
      <c r="A21" s="31">
        <v>46254.0</v>
      </c>
      <c r="B21" s="32" t="s">
        <v>46</v>
      </c>
      <c r="C21" s="36">
        <v>7.5</v>
      </c>
      <c r="D21" s="34">
        <v>720.0</v>
      </c>
      <c r="E21" s="34">
        <v>2380.0</v>
      </c>
      <c r="F21" s="34">
        <v>2000.0</v>
      </c>
      <c r="G21" s="34">
        <v>150.0</v>
      </c>
      <c r="H21" s="34">
        <f t="shared" si="4"/>
        <v>5250</v>
      </c>
      <c r="I21" s="35">
        <f t="shared" si="2"/>
        <v>91.875</v>
      </c>
      <c r="J21" s="34">
        <f t="shared" si="3"/>
        <v>5158.125</v>
      </c>
    </row>
    <row r="22">
      <c r="A22" s="31">
        <v>46255.0</v>
      </c>
      <c r="B22" s="32" t="s">
        <v>47</v>
      </c>
      <c r="C22" s="36">
        <v>7.5</v>
      </c>
      <c r="D22" s="34">
        <v>0.0</v>
      </c>
      <c r="E22" s="34">
        <v>3060.0</v>
      </c>
      <c r="F22" s="34">
        <v>2320.0</v>
      </c>
      <c r="G22" s="34">
        <v>350.0</v>
      </c>
      <c r="H22" s="34">
        <f t="shared" si="4"/>
        <v>5730</v>
      </c>
      <c r="I22" s="35">
        <f t="shared" si="2"/>
        <v>100.275</v>
      </c>
      <c r="J22" s="34">
        <f t="shared" si="3"/>
        <v>5629.725</v>
      </c>
    </row>
    <row r="23">
      <c r="A23" s="31">
        <v>46256.0</v>
      </c>
      <c r="B23" s="32" t="s">
        <v>41</v>
      </c>
      <c r="C23" s="36">
        <v>3.5</v>
      </c>
      <c r="D23" s="34">
        <v>1047.0</v>
      </c>
      <c r="E23" s="34">
        <v>1360.0</v>
      </c>
      <c r="F23" s="34">
        <v>1500.0</v>
      </c>
      <c r="G23" s="34">
        <v>50.0</v>
      </c>
      <c r="H23" s="34">
        <f t="shared" si="4"/>
        <v>3957</v>
      </c>
      <c r="I23" s="35">
        <f t="shared" si="2"/>
        <v>69.2475</v>
      </c>
      <c r="J23" s="34">
        <f t="shared" si="3"/>
        <v>3887.7525</v>
      </c>
    </row>
    <row r="24">
      <c r="A24" s="31">
        <v>46257.0</v>
      </c>
      <c r="B24" s="32" t="s">
        <v>42</v>
      </c>
      <c r="C24" s="36">
        <v>3.0</v>
      </c>
      <c r="D24" s="34">
        <v>720.0</v>
      </c>
      <c r="E24" s="34">
        <v>2720.0</v>
      </c>
      <c r="F24" s="34">
        <v>2500.0</v>
      </c>
      <c r="G24" s="34">
        <v>450.0</v>
      </c>
      <c r="H24" s="34">
        <f t="shared" si="4"/>
        <v>6390</v>
      </c>
      <c r="I24" s="35">
        <f t="shared" si="2"/>
        <v>111.825</v>
      </c>
      <c r="J24" s="34">
        <f t="shared" si="3"/>
        <v>6278.175</v>
      </c>
    </row>
    <row r="25">
      <c r="A25" s="31">
        <v>46258.0</v>
      </c>
      <c r="B25" s="32" t="s">
        <v>43</v>
      </c>
      <c r="C25" s="36">
        <v>6.0</v>
      </c>
      <c r="D25" s="34">
        <v>1518.0</v>
      </c>
      <c r="E25" s="34">
        <v>1360.0</v>
      </c>
      <c r="F25" s="34">
        <v>1600.0</v>
      </c>
      <c r="G25" s="34">
        <v>150.0</v>
      </c>
      <c r="H25" s="34">
        <f t="shared" si="4"/>
        <v>4628</v>
      </c>
      <c r="I25" s="35">
        <f t="shared" si="2"/>
        <v>80.99</v>
      </c>
      <c r="J25" s="34">
        <f t="shared" si="3"/>
        <v>4547.01</v>
      </c>
    </row>
    <row r="26">
      <c r="A26" s="31">
        <v>46259.0</v>
      </c>
      <c r="B26" s="32" t="s">
        <v>44</v>
      </c>
      <c r="C26" s="36">
        <v>2.5</v>
      </c>
      <c r="D26" s="34">
        <v>1995.0</v>
      </c>
      <c r="E26" s="34">
        <v>0.0</v>
      </c>
      <c r="F26" s="34">
        <v>0.0</v>
      </c>
      <c r="G26" s="34">
        <v>0.0</v>
      </c>
      <c r="H26" s="34">
        <f t="shared" si="4"/>
        <v>1995</v>
      </c>
      <c r="I26" s="35">
        <f t="shared" si="2"/>
        <v>34.9125</v>
      </c>
      <c r="J26" s="34">
        <f t="shared" si="3"/>
        <v>1960.0875</v>
      </c>
    </row>
    <row r="27">
      <c r="A27" s="31">
        <v>46260.0</v>
      </c>
      <c r="B27" s="32" t="s">
        <v>45</v>
      </c>
      <c r="C27" s="36">
        <v>4.0</v>
      </c>
      <c r="D27" s="34">
        <v>720.0</v>
      </c>
      <c r="E27" s="34">
        <v>2040.0</v>
      </c>
      <c r="F27" s="34">
        <v>1400.0</v>
      </c>
      <c r="G27" s="34">
        <v>100.0</v>
      </c>
      <c r="H27" s="34">
        <f t="shared" si="4"/>
        <v>4260</v>
      </c>
      <c r="I27" s="35">
        <f t="shared" si="2"/>
        <v>74.55</v>
      </c>
      <c r="J27" s="34">
        <f t="shared" si="3"/>
        <v>4185.45</v>
      </c>
    </row>
    <row r="28">
      <c r="A28" s="31">
        <v>46261.0</v>
      </c>
      <c r="B28" s="32" t="s">
        <v>46</v>
      </c>
      <c r="C28" s="36">
        <v>3.0</v>
      </c>
      <c r="D28" s="34">
        <v>1120.0</v>
      </c>
      <c r="E28" s="34">
        <v>1020.0</v>
      </c>
      <c r="F28" s="34">
        <v>2400.0</v>
      </c>
      <c r="G28" s="34">
        <v>200.0</v>
      </c>
      <c r="H28" s="34">
        <f t="shared" si="4"/>
        <v>4740</v>
      </c>
      <c r="I28" s="35">
        <f t="shared" si="2"/>
        <v>82.95</v>
      </c>
      <c r="J28" s="34">
        <f t="shared" si="3"/>
        <v>4657.05</v>
      </c>
    </row>
    <row r="29">
      <c r="A29" s="31">
        <v>46262.0</v>
      </c>
      <c r="B29" s="32" t="s">
        <v>47</v>
      </c>
      <c r="C29" s="36">
        <v>5.5</v>
      </c>
      <c r="D29" s="34">
        <v>720.0</v>
      </c>
      <c r="E29" s="34">
        <v>3060.0</v>
      </c>
      <c r="F29" s="34">
        <v>1400.0</v>
      </c>
      <c r="G29" s="34">
        <v>450.0</v>
      </c>
      <c r="H29" s="34">
        <f t="shared" si="4"/>
        <v>5630</v>
      </c>
      <c r="I29" s="35">
        <f t="shared" si="2"/>
        <v>98.525</v>
      </c>
      <c r="J29" s="34">
        <f t="shared" si="3"/>
        <v>5531.475</v>
      </c>
    </row>
    <row r="30">
      <c r="A30" s="31">
        <v>46263.0</v>
      </c>
      <c r="B30" s="32" t="s">
        <v>41</v>
      </c>
      <c r="C30" s="36">
        <v>3.0</v>
      </c>
      <c r="D30" s="34">
        <v>800.0</v>
      </c>
      <c r="E30" s="34">
        <v>360.0</v>
      </c>
      <c r="F30" s="34">
        <v>2600.0</v>
      </c>
      <c r="G30" s="34">
        <v>225.0</v>
      </c>
      <c r="H30" s="34">
        <f t="shared" si="4"/>
        <v>3985</v>
      </c>
      <c r="I30" s="35">
        <f t="shared" si="2"/>
        <v>69.7375</v>
      </c>
      <c r="J30" s="34">
        <f t="shared" si="3"/>
        <v>3915.2625</v>
      </c>
    </row>
    <row r="31">
      <c r="A31" s="31">
        <v>46264.0</v>
      </c>
      <c r="B31" s="32" t="s">
        <v>42</v>
      </c>
      <c r="C31" s="33">
        <v>4.0</v>
      </c>
      <c r="D31" s="38">
        <v>720.0</v>
      </c>
      <c r="E31" s="38">
        <v>2040.0</v>
      </c>
      <c r="F31" s="38">
        <v>2400.0</v>
      </c>
      <c r="G31" s="38">
        <v>300.0</v>
      </c>
      <c r="H31" s="34">
        <f t="shared" si="4"/>
        <v>5460</v>
      </c>
      <c r="I31" s="35">
        <f t="shared" si="2"/>
        <v>95.55</v>
      </c>
      <c r="J31" s="34">
        <f t="shared" si="3"/>
        <v>5364.45</v>
      </c>
      <c r="K31" s="39"/>
      <c r="L31" s="39"/>
      <c r="M31" s="39"/>
      <c r="N31" s="39"/>
      <c r="O31" s="39"/>
    </row>
    <row r="32">
      <c r="A32" s="31">
        <v>46265.0</v>
      </c>
      <c r="B32" s="32" t="s">
        <v>43</v>
      </c>
      <c r="C32" s="33">
        <v>3.0</v>
      </c>
      <c r="D32" s="38">
        <v>0.0</v>
      </c>
      <c r="E32" s="38">
        <v>2040.0</v>
      </c>
      <c r="F32" s="38">
        <v>1200.0</v>
      </c>
      <c r="G32" s="38">
        <v>0.0</v>
      </c>
      <c r="H32" s="34">
        <f t="shared" si="4"/>
        <v>3240</v>
      </c>
      <c r="I32" s="35">
        <f t="shared" si="2"/>
        <v>56.7</v>
      </c>
      <c r="J32" s="34">
        <f t="shared" si="3"/>
        <v>3183.3</v>
      </c>
      <c r="K32" s="39"/>
      <c r="L32" s="39"/>
      <c r="M32" s="39"/>
      <c r="N32" s="39"/>
      <c r="O32" s="39"/>
    </row>
    <row r="33">
      <c r="A33" s="40" t="s">
        <v>48</v>
      </c>
      <c r="B33" s="41"/>
      <c r="C33" s="42"/>
      <c r="D33" s="23">
        <f t="shared" ref="D33:I33" si="5">SUM(D2:D32)</f>
        <v>29723</v>
      </c>
      <c r="E33" s="23">
        <f t="shared" si="5"/>
        <v>45310</v>
      </c>
      <c r="F33" s="23">
        <f t="shared" si="5"/>
        <v>58050</v>
      </c>
      <c r="G33" s="23">
        <f t="shared" si="5"/>
        <v>7175</v>
      </c>
      <c r="H33" s="23">
        <f t="shared" si="5"/>
        <v>136488</v>
      </c>
      <c r="I33" s="23">
        <f t="shared" si="5"/>
        <v>2388.54</v>
      </c>
      <c r="J33" s="23">
        <f>SUM(J1:J32)</f>
        <v>134099.46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5"/>
    <col customWidth="1" min="4" max="4" width="14.75"/>
    <col customWidth="1" min="5" max="5" width="15.25"/>
  </cols>
  <sheetData>
    <row r="1">
      <c r="A1" s="43" t="s">
        <v>31</v>
      </c>
      <c r="B1" s="28" t="s">
        <v>25</v>
      </c>
      <c r="C1" s="44" t="s">
        <v>49</v>
      </c>
      <c r="D1" s="44" t="s">
        <v>50</v>
      </c>
      <c r="E1" s="44" t="s">
        <v>39</v>
      </c>
      <c r="F1" s="44" t="s">
        <v>40</v>
      </c>
    </row>
    <row r="2">
      <c r="A2" s="31">
        <v>46235.0</v>
      </c>
      <c r="B2" s="34">
        <v>0.0</v>
      </c>
      <c r="C2" s="34">
        <f t="shared" ref="C2:C32" si="1">B2*75%</f>
        <v>0</v>
      </c>
      <c r="D2" s="34">
        <f t="shared" ref="D2:D32" si="2">B2*25%</f>
        <v>0</v>
      </c>
      <c r="E2" s="35">
        <f t="shared" ref="E2:E32" si="3">B2*1.75%</f>
        <v>0</v>
      </c>
      <c r="F2" s="34">
        <f t="shared" ref="F2:F32" si="4">D2-E2</f>
        <v>0</v>
      </c>
    </row>
    <row r="3">
      <c r="A3" s="31">
        <v>46236.0</v>
      </c>
      <c r="B3" s="34">
        <v>35.0</v>
      </c>
      <c r="C3" s="34">
        <f t="shared" si="1"/>
        <v>26.25</v>
      </c>
      <c r="D3" s="34">
        <f t="shared" si="2"/>
        <v>8.75</v>
      </c>
      <c r="E3" s="35">
        <f t="shared" si="3"/>
        <v>0.6125</v>
      </c>
      <c r="F3" s="34">
        <f t="shared" si="4"/>
        <v>8.1375</v>
      </c>
    </row>
    <row r="4">
      <c r="A4" s="31">
        <v>46237.0</v>
      </c>
      <c r="B4" s="34">
        <v>0.0</v>
      </c>
      <c r="C4" s="34">
        <f t="shared" si="1"/>
        <v>0</v>
      </c>
      <c r="D4" s="34">
        <f t="shared" si="2"/>
        <v>0</v>
      </c>
      <c r="E4" s="35">
        <f t="shared" si="3"/>
        <v>0</v>
      </c>
      <c r="F4" s="34">
        <f t="shared" si="4"/>
        <v>0</v>
      </c>
    </row>
    <row r="5">
      <c r="A5" s="31">
        <v>46238.0</v>
      </c>
      <c r="B5" s="34">
        <v>0.0</v>
      </c>
      <c r="C5" s="34">
        <f t="shared" si="1"/>
        <v>0</v>
      </c>
      <c r="D5" s="34">
        <f t="shared" si="2"/>
        <v>0</v>
      </c>
      <c r="E5" s="35">
        <f t="shared" si="3"/>
        <v>0</v>
      </c>
      <c r="F5" s="34">
        <f t="shared" si="4"/>
        <v>0</v>
      </c>
    </row>
    <row r="6">
      <c r="A6" s="31">
        <v>46239.0</v>
      </c>
      <c r="B6" s="34">
        <v>0.0</v>
      </c>
      <c r="C6" s="34">
        <f t="shared" si="1"/>
        <v>0</v>
      </c>
      <c r="D6" s="34">
        <f t="shared" si="2"/>
        <v>0</v>
      </c>
      <c r="E6" s="35">
        <f t="shared" si="3"/>
        <v>0</v>
      </c>
      <c r="F6" s="34">
        <f t="shared" si="4"/>
        <v>0</v>
      </c>
    </row>
    <row r="7">
      <c r="A7" s="31">
        <v>46240.0</v>
      </c>
      <c r="B7" s="34">
        <v>0.0</v>
      </c>
      <c r="C7" s="34">
        <f t="shared" si="1"/>
        <v>0</v>
      </c>
      <c r="D7" s="34">
        <f t="shared" si="2"/>
        <v>0</v>
      </c>
      <c r="E7" s="35">
        <f t="shared" si="3"/>
        <v>0</v>
      </c>
      <c r="F7" s="34">
        <f t="shared" si="4"/>
        <v>0</v>
      </c>
    </row>
    <row r="8">
      <c r="A8" s="31">
        <v>46241.0</v>
      </c>
      <c r="B8" s="34">
        <v>0.0</v>
      </c>
      <c r="C8" s="34">
        <f t="shared" si="1"/>
        <v>0</v>
      </c>
      <c r="D8" s="34">
        <f t="shared" si="2"/>
        <v>0</v>
      </c>
      <c r="E8" s="35">
        <f t="shared" si="3"/>
        <v>0</v>
      </c>
      <c r="F8" s="34">
        <f t="shared" si="4"/>
        <v>0</v>
      </c>
    </row>
    <row r="9">
      <c r="A9" s="31">
        <v>46242.0</v>
      </c>
      <c r="B9" s="34">
        <v>0.0</v>
      </c>
      <c r="C9" s="34">
        <f t="shared" si="1"/>
        <v>0</v>
      </c>
      <c r="D9" s="34">
        <f t="shared" si="2"/>
        <v>0</v>
      </c>
      <c r="E9" s="35">
        <f t="shared" si="3"/>
        <v>0</v>
      </c>
      <c r="F9" s="34">
        <f t="shared" si="4"/>
        <v>0</v>
      </c>
    </row>
    <row r="10">
      <c r="A10" s="31">
        <v>46243.0</v>
      </c>
      <c r="B10" s="34">
        <v>0.0</v>
      </c>
      <c r="C10" s="34">
        <f t="shared" si="1"/>
        <v>0</v>
      </c>
      <c r="D10" s="34">
        <f t="shared" si="2"/>
        <v>0</v>
      </c>
      <c r="E10" s="35">
        <f t="shared" si="3"/>
        <v>0</v>
      </c>
      <c r="F10" s="34">
        <f t="shared" si="4"/>
        <v>0</v>
      </c>
    </row>
    <row r="11">
      <c r="A11" s="31">
        <v>46244.0</v>
      </c>
      <c r="B11" s="34">
        <v>0.0</v>
      </c>
      <c r="C11" s="34">
        <f t="shared" si="1"/>
        <v>0</v>
      </c>
      <c r="D11" s="34">
        <f t="shared" si="2"/>
        <v>0</v>
      </c>
      <c r="E11" s="35">
        <f t="shared" si="3"/>
        <v>0</v>
      </c>
      <c r="F11" s="34">
        <f t="shared" si="4"/>
        <v>0</v>
      </c>
    </row>
    <row r="12">
      <c r="A12" s="31">
        <v>46245.0</v>
      </c>
      <c r="B12" s="34">
        <v>0.0</v>
      </c>
      <c r="C12" s="34">
        <f t="shared" si="1"/>
        <v>0</v>
      </c>
      <c r="D12" s="34">
        <f t="shared" si="2"/>
        <v>0</v>
      </c>
      <c r="E12" s="35">
        <f t="shared" si="3"/>
        <v>0</v>
      </c>
      <c r="F12" s="34">
        <f t="shared" si="4"/>
        <v>0</v>
      </c>
    </row>
    <row r="13">
      <c r="A13" s="31">
        <v>46246.0</v>
      </c>
      <c r="B13" s="34">
        <v>0.0</v>
      </c>
      <c r="C13" s="34">
        <f t="shared" si="1"/>
        <v>0</v>
      </c>
      <c r="D13" s="34">
        <f t="shared" si="2"/>
        <v>0</v>
      </c>
      <c r="E13" s="35">
        <f t="shared" si="3"/>
        <v>0</v>
      </c>
      <c r="F13" s="34">
        <f t="shared" si="4"/>
        <v>0</v>
      </c>
    </row>
    <row r="14">
      <c r="A14" s="31">
        <v>46247.0</v>
      </c>
      <c r="B14" s="34">
        <v>0.0</v>
      </c>
      <c r="C14" s="34">
        <f t="shared" si="1"/>
        <v>0</v>
      </c>
      <c r="D14" s="34">
        <f t="shared" si="2"/>
        <v>0</v>
      </c>
      <c r="E14" s="35">
        <f t="shared" si="3"/>
        <v>0</v>
      </c>
      <c r="F14" s="34">
        <f t="shared" si="4"/>
        <v>0</v>
      </c>
    </row>
    <row r="15">
      <c r="A15" s="31">
        <v>46248.0</v>
      </c>
      <c r="B15" s="34">
        <v>0.0</v>
      </c>
      <c r="C15" s="34">
        <f t="shared" si="1"/>
        <v>0</v>
      </c>
      <c r="D15" s="34">
        <f t="shared" si="2"/>
        <v>0</v>
      </c>
      <c r="E15" s="35">
        <f t="shared" si="3"/>
        <v>0</v>
      </c>
      <c r="F15" s="34">
        <f t="shared" si="4"/>
        <v>0</v>
      </c>
    </row>
    <row r="16">
      <c r="A16" s="31">
        <v>46249.0</v>
      </c>
      <c r="B16" s="34">
        <v>0.0</v>
      </c>
      <c r="C16" s="34">
        <f t="shared" si="1"/>
        <v>0</v>
      </c>
      <c r="D16" s="34">
        <f t="shared" si="2"/>
        <v>0</v>
      </c>
      <c r="E16" s="35">
        <f t="shared" si="3"/>
        <v>0</v>
      </c>
      <c r="F16" s="34">
        <f t="shared" si="4"/>
        <v>0</v>
      </c>
    </row>
    <row r="17">
      <c r="A17" s="31">
        <v>46250.0</v>
      </c>
      <c r="B17" s="34">
        <v>0.0</v>
      </c>
      <c r="C17" s="34">
        <f t="shared" si="1"/>
        <v>0</v>
      </c>
      <c r="D17" s="34">
        <f t="shared" si="2"/>
        <v>0</v>
      </c>
      <c r="E17" s="35">
        <f t="shared" si="3"/>
        <v>0</v>
      </c>
      <c r="F17" s="34">
        <f t="shared" si="4"/>
        <v>0</v>
      </c>
    </row>
    <row r="18">
      <c r="A18" s="31">
        <v>46251.0</v>
      </c>
      <c r="B18" s="34">
        <v>0.0</v>
      </c>
      <c r="C18" s="34">
        <f t="shared" si="1"/>
        <v>0</v>
      </c>
      <c r="D18" s="34">
        <f t="shared" si="2"/>
        <v>0</v>
      </c>
      <c r="E18" s="35">
        <f t="shared" si="3"/>
        <v>0</v>
      </c>
      <c r="F18" s="34">
        <f t="shared" si="4"/>
        <v>0</v>
      </c>
    </row>
    <row r="19">
      <c r="A19" s="31">
        <v>46252.0</v>
      </c>
      <c r="B19" s="34">
        <v>0.0</v>
      </c>
      <c r="C19" s="34">
        <f t="shared" si="1"/>
        <v>0</v>
      </c>
      <c r="D19" s="34">
        <f t="shared" si="2"/>
        <v>0</v>
      </c>
      <c r="E19" s="35">
        <f t="shared" si="3"/>
        <v>0</v>
      </c>
      <c r="F19" s="34">
        <f t="shared" si="4"/>
        <v>0</v>
      </c>
    </row>
    <row r="20">
      <c r="A20" s="31">
        <v>46253.0</v>
      </c>
      <c r="B20" s="34">
        <v>245.0</v>
      </c>
      <c r="C20" s="34">
        <f t="shared" si="1"/>
        <v>183.75</v>
      </c>
      <c r="D20" s="34">
        <f t="shared" si="2"/>
        <v>61.25</v>
      </c>
      <c r="E20" s="35">
        <f t="shared" si="3"/>
        <v>4.2875</v>
      </c>
      <c r="F20" s="34">
        <f t="shared" si="4"/>
        <v>56.9625</v>
      </c>
    </row>
    <row r="21">
      <c r="A21" s="31">
        <v>46254.0</v>
      </c>
      <c r="B21" s="34">
        <v>315.0</v>
      </c>
      <c r="C21" s="34">
        <f t="shared" si="1"/>
        <v>236.25</v>
      </c>
      <c r="D21" s="34">
        <f t="shared" si="2"/>
        <v>78.75</v>
      </c>
      <c r="E21" s="35">
        <f t="shared" si="3"/>
        <v>5.5125</v>
      </c>
      <c r="F21" s="34">
        <f t="shared" si="4"/>
        <v>73.2375</v>
      </c>
    </row>
    <row r="22">
      <c r="A22" s="31">
        <v>46255.0</v>
      </c>
      <c r="B22" s="34">
        <v>105.0</v>
      </c>
      <c r="C22" s="34">
        <f t="shared" si="1"/>
        <v>78.75</v>
      </c>
      <c r="D22" s="34">
        <f t="shared" si="2"/>
        <v>26.25</v>
      </c>
      <c r="E22" s="35">
        <f t="shared" si="3"/>
        <v>1.8375</v>
      </c>
      <c r="F22" s="34">
        <f t="shared" si="4"/>
        <v>24.4125</v>
      </c>
    </row>
    <row r="23">
      <c r="A23" s="31">
        <v>46256.0</v>
      </c>
      <c r="B23" s="34">
        <v>210.0</v>
      </c>
      <c r="C23" s="34">
        <f t="shared" si="1"/>
        <v>157.5</v>
      </c>
      <c r="D23" s="34">
        <f t="shared" si="2"/>
        <v>52.5</v>
      </c>
      <c r="E23" s="35">
        <f t="shared" si="3"/>
        <v>3.675</v>
      </c>
      <c r="F23" s="34">
        <f t="shared" si="4"/>
        <v>48.825</v>
      </c>
    </row>
    <row r="24">
      <c r="A24" s="31">
        <v>46257.0</v>
      </c>
      <c r="B24" s="34">
        <v>105.0</v>
      </c>
      <c r="C24" s="34">
        <f t="shared" si="1"/>
        <v>78.75</v>
      </c>
      <c r="D24" s="34">
        <f t="shared" si="2"/>
        <v>26.25</v>
      </c>
      <c r="E24" s="35">
        <f t="shared" si="3"/>
        <v>1.8375</v>
      </c>
      <c r="F24" s="34">
        <f t="shared" si="4"/>
        <v>24.4125</v>
      </c>
    </row>
    <row r="25">
      <c r="A25" s="31">
        <v>46258.0</v>
      </c>
      <c r="B25" s="34">
        <v>140.0</v>
      </c>
      <c r="C25" s="34">
        <f t="shared" si="1"/>
        <v>105</v>
      </c>
      <c r="D25" s="34">
        <f t="shared" si="2"/>
        <v>35</v>
      </c>
      <c r="E25" s="35">
        <f t="shared" si="3"/>
        <v>2.45</v>
      </c>
      <c r="F25" s="34">
        <f t="shared" si="4"/>
        <v>32.55</v>
      </c>
    </row>
    <row r="26">
      <c r="A26" s="31">
        <v>46259.0</v>
      </c>
      <c r="B26" s="34">
        <v>0.0</v>
      </c>
      <c r="C26" s="34">
        <f t="shared" si="1"/>
        <v>0</v>
      </c>
      <c r="D26" s="34">
        <f t="shared" si="2"/>
        <v>0</v>
      </c>
      <c r="E26" s="35">
        <f t="shared" si="3"/>
        <v>0</v>
      </c>
      <c r="F26" s="34">
        <f t="shared" si="4"/>
        <v>0</v>
      </c>
    </row>
    <row r="27">
      <c r="A27" s="31">
        <v>46260.0</v>
      </c>
      <c r="B27" s="34">
        <v>35.0</v>
      </c>
      <c r="C27" s="34">
        <f t="shared" si="1"/>
        <v>26.25</v>
      </c>
      <c r="D27" s="34">
        <f t="shared" si="2"/>
        <v>8.75</v>
      </c>
      <c r="E27" s="35">
        <f t="shared" si="3"/>
        <v>0.6125</v>
      </c>
      <c r="F27" s="34">
        <f t="shared" si="4"/>
        <v>8.1375</v>
      </c>
    </row>
    <row r="28">
      <c r="A28" s="31">
        <v>46261.0</v>
      </c>
      <c r="B28" s="34">
        <v>440.0</v>
      </c>
      <c r="C28" s="34">
        <f t="shared" si="1"/>
        <v>330</v>
      </c>
      <c r="D28" s="34">
        <f t="shared" si="2"/>
        <v>110</v>
      </c>
      <c r="E28" s="35">
        <f t="shared" si="3"/>
        <v>7.7</v>
      </c>
      <c r="F28" s="34">
        <f t="shared" si="4"/>
        <v>102.3</v>
      </c>
    </row>
    <row r="29">
      <c r="A29" s="31">
        <v>46262.0</v>
      </c>
      <c r="B29" s="34">
        <v>210.0</v>
      </c>
      <c r="C29" s="34">
        <f t="shared" si="1"/>
        <v>157.5</v>
      </c>
      <c r="D29" s="34">
        <f t="shared" si="2"/>
        <v>52.5</v>
      </c>
      <c r="E29" s="35">
        <f t="shared" si="3"/>
        <v>3.675</v>
      </c>
      <c r="F29" s="34">
        <f t="shared" si="4"/>
        <v>48.825</v>
      </c>
    </row>
    <row r="30">
      <c r="A30" s="31">
        <v>46263.0</v>
      </c>
      <c r="B30" s="34">
        <v>140.0</v>
      </c>
      <c r="C30" s="34">
        <f t="shared" si="1"/>
        <v>105</v>
      </c>
      <c r="D30" s="34">
        <f t="shared" si="2"/>
        <v>35</v>
      </c>
      <c r="E30" s="35">
        <f t="shared" si="3"/>
        <v>2.45</v>
      </c>
      <c r="F30" s="34">
        <f t="shared" si="4"/>
        <v>32.55</v>
      </c>
    </row>
    <row r="31">
      <c r="A31" s="31">
        <v>46264.0</v>
      </c>
      <c r="B31" s="38">
        <v>265.0</v>
      </c>
      <c r="C31" s="34">
        <f t="shared" si="1"/>
        <v>198.75</v>
      </c>
      <c r="D31" s="34">
        <f t="shared" si="2"/>
        <v>66.25</v>
      </c>
      <c r="E31" s="35">
        <f t="shared" si="3"/>
        <v>4.6375</v>
      </c>
      <c r="F31" s="34">
        <f t="shared" si="4"/>
        <v>61.6125</v>
      </c>
    </row>
    <row r="32">
      <c r="A32" s="31">
        <v>46265.0</v>
      </c>
      <c r="B32" s="38">
        <v>210.0</v>
      </c>
      <c r="C32" s="34">
        <f t="shared" si="1"/>
        <v>157.5</v>
      </c>
      <c r="D32" s="34">
        <f t="shared" si="2"/>
        <v>52.5</v>
      </c>
      <c r="E32" s="35">
        <f t="shared" si="3"/>
        <v>3.675</v>
      </c>
      <c r="F32" s="34">
        <f t="shared" si="4"/>
        <v>48.825</v>
      </c>
    </row>
    <row r="33">
      <c r="A33" s="28" t="s">
        <v>48</v>
      </c>
      <c r="B33" s="23">
        <f t="shared" ref="B33:F33" si="5">SUM(B2:B32)</f>
        <v>2455</v>
      </c>
      <c r="C33" s="23">
        <f t="shared" si="5"/>
        <v>1841.25</v>
      </c>
      <c r="D33" s="23">
        <f t="shared" si="5"/>
        <v>613.75</v>
      </c>
      <c r="E33" s="23">
        <f t="shared" si="5"/>
        <v>42.9625</v>
      </c>
      <c r="F33" s="23">
        <f t="shared" si="5"/>
        <v>570.7875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45" t="s">
        <v>51</v>
      </c>
      <c r="B1" s="28" t="s">
        <v>31</v>
      </c>
      <c r="C1" s="28" t="s">
        <v>52</v>
      </c>
      <c r="D1" s="28" t="s">
        <v>53</v>
      </c>
      <c r="E1" s="46" t="s">
        <v>54</v>
      </c>
      <c r="F1" s="28" t="s">
        <v>40</v>
      </c>
      <c r="G1" s="47" t="s">
        <v>55</v>
      </c>
      <c r="H1" s="47" t="s">
        <v>56</v>
      </c>
      <c r="I1" s="28" t="s">
        <v>57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8"/>
      <c r="B2" s="49" t="s">
        <v>0</v>
      </c>
      <c r="C2" s="50">
        <v>100710.0</v>
      </c>
      <c r="D2" s="50">
        <v>7478.0</v>
      </c>
      <c r="E2" s="50">
        <v>1345.0</v>
      </c>
      <c r="F2" s="34">
        <f>C2-D2-E2</f>
        <v>91887</v>
      </c>
      <c r="G2" s="50">
        <v>534.0</v>
      </c>
      <c r="H2" s="50">
        <v>107.0</v>
      </c>
      <c r="I2" s="50">
        <f>F2-G2-H2</f>
        <v>91246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8"/>
      <c r="B3" s="51"/>
      <c r="C3" s="51"/>
      <c r="D3" s="51"/>
      <c r="E3" s="51"/>
      <c r="F3" s="34"/>
      <c r="G3" s="51"/>
      <c r="H3" s="51"/>
      <c r="I3" s="52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8"/>
      <c r="B4" s="40" t="s">
        <v>48</v>
      </c>
      <c r="C4" s="23">
        <f t="shared" ref="C4:F4" si="1">SUM(C2:C3)</f>
        <v>100710</v>
      </c>
      <c r="D4" s="23">
        <f t="shared" si="1"/>
        <v>7478</v>
      </c>
      <c r="E4" s="23">
        <f t="shared" si="1"/>
        <v>1345</v>
      </c>
      <c r="F4" s="23">
        <f t="shared" si="1"/>
        <v>91887</v>
      </c>
      <c r="G4" s="41"/>
      <c r="H4" s="41"/>
      <c r="I4" s="23">
        <f>SUM(I2:I3)</f>
        <v>91246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5.25"/>
    <col customWidth="1" min="10" max="10" width="14.13"/>
  </cols>
  <sheetData>
    <row r="1">
      <c r="A1" s="28" t="s">
        <v>31</v>
      </c>
      <c r="B1" s="28" t="s">
        <v>58</v>
      </c>
      <c r="C1" s="28" t="s">
        <v>59</v>
      </c>
      <c r="D1" s="28" t="s">
        <v>60</v>
      </c>
      <c r="E1" s="28" t="s">
        <v>61</v>
      </c>
      <c r="F1" s="28" t="s">
        <v>39</v>
      </c>
      <c r="G1" s="53" t="s">
        <v>62</v>
      </c>
      <c r="H1" s="28" t="s">
        <v>40</v>
      </c>
      <c r="I1" s="28" t="s">
        <v>63</v>
      </c>
      <c r="J1" s="28" t="s">
        <v>57</v>
      </c>
      <c r="K1" s="53" t="s">
        <v>64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50">
        <v>46256.0</v>
      </c>
      <c r="B2" s="52" t="s">
        <v>3</v>
      </c>
      <c r="C2" s="52" t="s">
        <v>65</v>
      </c>
      <c r="D2" s="50">
        <v>5000.0</v>
      </c>
      <c r="E2" s="34">
        <f>D2*5%</f>
        <v>250</v>
      </c>
      <c r="F2" s="54">
        <v>0.0</v>
      </c>
      <c r="G2" s="50">
        <v>160.0</v>
      </c>
      <c r="H2" s="34">
        <f t="shared" ref="H2:H3" si="1">D2-E2-F2-G2</f>
        <v>4590</v>
      </c>
      <c r="I2" s="34">
        <f>D2*2%</f>
        <v>100</v>
      </c>
      <c r="J2" s="34">
        <f t="shared" ref="J2:J3" si="2">H2-I2</f>
        <v>4490</v>
      </c>
      <c r="K2" s="51" t="s">
        <v>66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50"/>
      <c r="B3" s="32" t="s">
        <v>3</v>
      </c>
      <c r="C3" s="32" t="s">
        <v>65</v>
      </c>
      <c r="D3" s="50">
        <v>3500.0</v>
      </c>
      <c r="E3" s="50">
        <v>0.0</v>
      </c>
      <c r="F3" s="38">
        <f>D3*1.75%</f>
        <v>61.25</v>
      </c>
      <c r="G3" s="50">
        <v>0.0</v>
      </c>
      <c r="H3" s="34">
        <f t="shared" si="1"/>
        <v>3438.75</v>
      </c>
      <c r="I3" s="50">
        <v>0.0</v>
      </c>
      <c r="J3" s="34">
        <f t="shared" si="2"/>
        <v>3438.75</v>
      </c>
      <c r="K3" s="51" t="s">
        <v>11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23" t="s">
        <v>48</v>
      </c>
      <c r="B4" s="41"/>
      <c r="C4" s="41"/>
      <c r="D4" s="23">
        <f t="shared" ref="D4:J4" si="3">SUM(D2:D3)</f>
        <v>8500</v>
      </c>
      <c r="E4" s="23">
        <f t="shared" si="3"/>
        <v>250</v>
      </c>
      <c r="F4" s="23">
        <f t="shared" si="3"/>
        <v>61.25</v>
      </c>
      <c r="G4" s="23">
        <f t="shared" si="3"/>
        <v>160</v>
      </c>
      <c r="H4" s="23">
        <f t="shared" si="3"/>
        <v>8028.75</v>
      </c>
      <c r="I4" s="23">
        <f t="shared" si="3"/>
        <v>100</v>
      </c>
      <c r="J4" s="23">
        <f t="shared" si="3"/>
        <v>7928.75</v>
      </c>
      <c r="K4" s="52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5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9.0"/>
  </cols>
  <sheetData>
    <row r="1">
      <c r="A1" s="44" t="s">
        <v>67</v>
      </c>
      <c r="B1" s="44" t="s">
        <v>68</v>
      </c>
      <c r="C1" s="44" t="s">
        <v>69</v>
      </c>
      <c r="D1" s="44" t="s">
        <v>70</v>
      </c>
      <c r="E1" s="28" t="s">
        <v>71</v>
      </c>
      <c r="F1" s="28" t="s">
        <v>39</v>
      </c>
      <c r="G1" s="53" t="s">
        <v>40</v>
      </c>
    </row>
    <row r="2">
      <c r="A2" s="17" t="s">
        <v>72</v>
      </c>
      <c r="B2" s="10" t="s">
        <v>73</v>
      </c>
      <c r="C2" s="17" t="s">
        <v>74</v>
      </c>
      <c r="D2" s="17" t="s">
        <v>75</v>
      </c>
      <c r="E2" s="50">
        <v>3150.0</v>
      </c>
      <c r="F2" s="38">
        <f t="shared" ref="F2:F3" si="1">E2*1.75%</f>
        <v>55.125</v>
      </c>
      <c r="G2" s="56">
        <f t="shared" ref="G2:G3" si="2">E2-F2</f>
        <v>3094.875</v>
      </c>
    </row>
    <row r="3">
      <c r="A3" s="57" t="s">
        <v>72</v>
      </c>
      <c r="B3" s="10" t="s">
        <v>73</v>
      </c>
      <c r="C3" s="57" t="s">
        <v>76</v>
      </c>
      <c r="D3" s="17" t="s">
        <v>77</v>
      </c>
      <c r="E3" s="50">
        <v>2800.0</v>
      </c>
      <c r="F3" s="38">
        <f t="shared" si="1"/>
        <v>49</v>
      </c>
      <c r="G3" s="56">
        <f t="shared" si="2"/>
        <v>2751</v>
      </c>
    </row>
    <row r="4">
      <c r="A4" s="58" t="s">
        <v>48</v>
      </c>
      <c r="B4" s="59"/>
      <c r="C4" s="59"/>
      <c r="D4" s="59"/>
      <c r="E4" s="60">
        <f t="shared" ref="E4:G4" si="3">SUM(E2:E3)</f>
        <v>5950</v>
      </c>
      <c r="F4" s="60">
        <f t="shared" si="3"/>
        <v>104.125</v>
      </c>
      <c r="G4" s="60">
        <f t="shared" si="3"/>
        <v>5845.875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25"/>
  </cols>
  <sheetData>
    <row r="1">
      <c r="A1" s="61" t="s">
        <v>78</v>
      </c>
      <c r="B1" s="61" t="s">
        <v>79</v>
      </c>
      <c r="C1" s="61" t="s">
        <v>60</v>
      </c>
      <c r="D1" s="62" t="s">
        <v>39</v>
      </c>
      <c r="E1" s="22" t="s">
        <v>40</v>
      </c>
    </row>
    <row r="2">
      <c r="A2" s="57" t="s">
        <v>3</v>
      </c>
      <c r="B2" s="57" t="s">
        <v>72</v>
      </c>
      <c r="C2" s="63">
        <v>6500.0</v>
      </c>
      <c r="D2" s="34">
        <f>C2*1.75%</f>
        <v>113.75</v>
      </c>
      <c r="E2" s="34">
        <f>C2-D2</f>
        <v>6386.25</v>
      </c>
    </row>
  </sheetData>
  <drawing r:id="rId1"/>
</worksheet>
</file>