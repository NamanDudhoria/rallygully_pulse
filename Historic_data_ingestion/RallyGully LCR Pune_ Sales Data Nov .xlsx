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</sheets>
  <definedNames/>
  <calcPr/>
</workbook>
</file>

<file path=xl/sharedStrings.xml><?xml version="1.0" encoding="utf-8"?>
<sst xmlns="http://schemas.openxmlformats.org/spreadsheetml/2006/main" count="91" uniqueCount="60">
  <si>
    <t>Date</t>
  </si>
  <si>
    <t>Link</t>
  </si>
  <si>
    <t>Helping Table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</si>
  <si>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</si>
  <si>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</si>
  <si>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</si>
  <si>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</si>
  <si>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</si>
  <si>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</si>
  <si>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Date: 20th - 30th Nov</t>
  </si>
  <si>
    <t>Particulars</t>
  </si>
  <si>
    <t>Amount</t>
  </si>
  <si>
    <t>Total Revenue</t>
  </si>
  <si>
    <t>Thursday</t>
  </si>
  <si>
    <t>Paid to Playo (₹)</t>
  </si>
  <si>
    <t>Commissions (₹)</t>
  </si>
  <si>
    <t>GST (₹)</t>
  </si>
  <si>
    <t>Net Revenue</t>
  </si>
  <si>
    <t>TDS (₹)</t>
  </si>
  <si>
    <t>TCS (₹)</t>
  </si>
  <si>
    <t>Net Cash Received</t>
  </si>
  <si>
    <t>Paid to Hudle</t>
  </si>
  <si>
    <t>Commisions (Including GST)</t>
  </si>
  <si>
    <t>20 - 30 Nov</t>
  </si>
  <si>
    <t>TDS</t>
  </si>
  <si>
    <t>TCS</t>
  </si>
  <si>
    <t>Friday</t>
  </si>
  <si>
    <t>1 - 30 Nov</t>
  </si>
  <si>
    <t>Saturday</t>
  </si>
  <si>
    <t>Offline</t>
  </si>
  <si>
    <t>Sunday</t>
  </si>
  <si>
    <t>Monday</t>
  </si>
  <si>
    <t>Tuesday</t>
  </si>
  <si>
    <t>Wednesday</t>
  </si>
  <si>
    <t>Rentals</t>
  </si>
  <si>
    <t>Total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</si>
  <si>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</si>
  <si>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</si>
  <si>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</si>
  <si>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</si>
  <si>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</si>
  <si>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</si>
  <si>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</si>
  <si>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</si>
  <si>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Community</t>
  </si>
  <si>
    <t>Courtly</t>
  </si>
  <si>
    <t>Sportomic</t>
  </si>
  <si>
    <t>Misfits Community</t>
  </si>
  <si>
    <t>Rallygully Community games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</si>
  <si>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</si>
  <si>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</si>
  <si>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</si>
  <si>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</si>
  <si>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</si>
  <si>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</si>
  <si>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</si>
  <si>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Paid to Khelomore (₹)</t>
  </si>
  <si>
    <t>Final Amount (₹)</t>
  </si>
  <si>
    <t>Rallygully</t>
  </si>
  <si>
    <t>Misfits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</si>
</sst>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&gt;9999999][$₹]##\,##\,##\,##0.00;[&gt;99999][$₹]##\,##\,##0.00;[$₹]##,##0.00"/>
    <numFmt numFmtId="165" formatCode="d mmm"/>
    <numFmt numFmtId="166" formatCode="[&gt;9999999][$₹]##\,##\,##\,##0;[&gt;99999][$₹]##\,##\,##0;[$₹]##,##0"/>
    <numFmt numFmtId="167" formatCode="dd-mm-yy"/>
    <numFmt numFmtId="168" formatCode="dd-mm-yy hh:mm"/>
    <numFmt numFmtId="169" formatCode="[$₹]#,##0"/>
    <numFmt numFmtId="170" formatCode="dd/mm/yy hh:mm"/>
    <numFmt numFmtId="171" formatCode="dd/mm/yy"/>
  </numFmts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b/>
      <color theme="1"/>
      <name val="Arial"/>
      <scheme val="minor"/>
    </font>
    <font/>
    <font>
      <b/>
      <sz val="10.0"/>
      <color rgb="FF000000"/>
      <name val="Arial"/>
    </font>
    <font>
      <sz val="10.0"/>
      <color rgb="FF000000"/>
      <name val="Arial"/>
    </font>
    <font>
      <b/>
      <u/>
      <sz val="10.0"/>
      <color rgb="FF0000FF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1" fillId="2" fontId="2" numFmtId="0" xfId="0" applyAlignment="1" applyBorder="1" applyFill="1" applyFont="1">
      <alignment horizontal="center" readingOrder="0" vertical="bottom"/>
    </xf>
    <xf borderId="3" fillId="0" fontId="5" numFmtId="0" xfId="0" applyAlignment="1" applyBorder="1" applyFont="1">
      <alignment horizontal="center"/>
    </xf>
    <xf borderId="0" fillId="2" fontId="2" numFmtId="0" xfId="0" applyAlignment="1" applyFill="1" applyFont="1">
      <alignment horizontal="center" vertical="bottom"/>
    </xf>
    <xf borderId="0" fillId="0" fontId="6" numFmtId="0" xfId="0" applyFont="1"/>
    <xf borderId="0" fillId="2" fontId="7" numFmtId="0" xfId="0" applyAlignment="1" applyFill="1" applyFont="1">
      <alignment horizontal="center" readingOrder="0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3" fillId="2" fontId="1" numFmtId="0" xfId="0" applyAlignment="1" applyBorder="1" applyFill="1" applyFont="1">
      <alignment horizontal="center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3" fillId="2" fontId="1" numFmtId="0" xfId="0" applyAlignment="1" applyBorder="1" applyFill="1" applyFont="1">
      <alignment horizontal="center" readingOrder="0"/>
    </xf>
    <xf borderId="0" fillId="0" fontId="8" numFmtId="166" xfId="0" applyAlignment="1" applyFont="1" applyNumberFormat="1">
      <alignment horizontal="right" vertical="bottom"/>
    </xf>
    <xf borderId="3" fillId="2" fontId="5" numFmtId="0" xfId="0" applyAlignment="1" applyBorder="1" applyFill="1" applyFont="1">
      <alignment horizontal="center"/>
    </xf>
    <xf borderId="0" fillId="0" fontId="8" numFmtId="0" xfId="0" applyAlignment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3" fillId="2" fontId="5" numFmtId="0" xfId="0" applyAlignment="1" applyBorder="1" applyFill="1" applyFont="1">
      <alignment horizontal="center" readingOrder="0"/>
    </xf>
    <xf borderId="3" fillId="0" fontId="9" numFmtId="0" xfId="0" applyBorder="1" applyFont="1"/>
    <xf borderId="3" fillId="0" fontId="10" numFmtId="164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readingOrder="0"/>
    </xf>
    <xf borderId="3" fillId="0" fontId="9" numFmtId="166" xfId="0" applyBorder="1" applyFont="1" applyNumberFormat="1"/>
    <xf borderId="3" fillId="0" fontId="10" numFmtId="164" xfId="0" applyAlignment="1" applyBorder="1" applyFont="1" applyNumberFormat="1">
      <alignment horizontal="right" readingOrder="0"/>
    </xf>
    <xf borderId="3" fillId="0" fontId="10" numFmtId="164" xfId="0" applyAlignment="1" applyBorder="1" applyFont="1" applyNumberFormat="1">
      <alignment readingOrder="0"/>
    </xf>
    <xf borderId="3" fillId="0" fontId="5" numFmtId="0" xfId="0" applyBorder="1" applyFont="1"/>
    <xf borderId="3" fillId="0" fontId="8" numFmtId="164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readingOrder="0"/>
    </xf>
    <xf borderId="0" fillId="0" fontId="8" numFmtId="164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3" fillId="0" fontId="10" numFmtId="164" xfId="0" applyAlignment="1" applyBorder="1" applyFont="1" applyNumberFormat="1">
      <alignment shrinkToFit="0" vertical="bottom" wrapText="0"/>
    </xf>
    <xf borderId="3" fillId="0" fontId="2" numFmtId="166" xfId="0" applyAlignment="1" applyBorder="1" applyFont="1" applyNumberFormat="1">
      <alignment horizontal="right" vertical="bottom"/>
    </xf>
    <xf borderId="0" fillId="0" fontId="10" numFmtId="0" xfId="0" applyFont="1"/>
    <xf borderId="3" fillId="0" fontId="10" numFmtId="0" xfId="0" applyBorder="1" applyFont="1"/>
    <xf borderId="3" fillId="0" fontId="6" numFmtId="0" xfId="0" applyBorder="1" applyFont="1"/>
    <xf borderId="3" fillId="0" fontId="1" numFmtId="164" xfId="0" applyBorder="1" applyFont="1" applyNumberFormat="1"/>
    <xf borderId="0" fillId="2" fontId="2" numFmtId="165" xfId="0" applyAlignment="1" applyFill="1" applyFont="1" applyNumberFormat="1">
      <alignment horizontal="center" vertical="bottom"/>
    </xf>
    <xf borderId="3" fillId="0" fontId="10" numFmtId="164" xfId="0" applyBorder="1" applyFont="1" applyNumberFormat="1"/>
    <xf borderId="0" fillId="2" fontId="8" numFmtId="0" xfId="0" applyAlignment="1" applyFill="1" applyFont="1">
      <alignment horizontal="center" vertical="bottom"/>
    </xf>
    <xf borderId="3" fillId="0" fontId="1" numFmtId="164" xfId="0" applyAlignment="1" applyBorder="1" applyFont="1" applyNumberFormat="1">
      <alignment horizontal="right"/>
    </xf>
    <xf borderId="3" fillId="0" fontId="8" numFmtId="166" xfId="0" applyAlignment="1" applyBorder="1" applyFont="1" applyNumberFormat="1">
      <alignment horizontal="right" vertical="bottom"/>
    </xf>
    <xf borderId="3" fillId="0" fontId="10" numFmtId="164" xfId="0" applyAlignment="1" applyBorder="1" applyFont="1" applyNumberFormat="1">
      <alignment horizontal="right"/>
    </xf>
    <xf borderId="0" fillId="2" fontId="8" numFmtId="9" xfId="0" applyAlignment="1" applyFill="1" applyFont="1" applyNumberFormat="1">
      <alignment horizontal="center" vertical="bottom"/>
    </xf>
    <xf borderId="0" fillId="2" fontId="2" numFmtId="166" xfId="0" applyAlignment="1" applyFill="1" applyFont="1" applyNumberFormat="1">
      <alignment horizontal="center" vertical="bottom"/>
    </xf>
    <xf borderId="3" fillId="0" fontId="8" numFmtId="166" xfId="0" applyAlignment="1" applyBorder="1" applyFont="1" applyNumberFormat="1">
      <alignment horizontal="right" readingOrder="0" vertical="bottom"/>
    </xf>
    <xf borderId="0" fillId="0" fontId="1" numFmtId="0" xfId="0" applyFont="1"/>
    <xf borderId="0" fillId="2" fontId="2" numFmtId="3" xfId="0" applyAlignment="1" applyFill="1" applyFont="1" applyNumberFormat="1">
      <alignment horizontal="center" vertical="bottom"/>
    </xf>
    <xf borderId="0" fillId="0" fontId="8" numFmtId="0" xfId="0" applyAlignment="1" applyFont="1">
      <alignment horizontal="right" vertical="bottom"/>
    </xf>
    <xf borderId="0" fillId="0" fontId="11" numFmtId="0" xfId="0" applyAlignment="1" applyFont="1">
      <alignment readingOrder="0" shrinkToFit="0" vertical="bottom" wrapText="0"/>
    </xf>
    <xf borderId="3" fillId="0" fontId="6" numFmtId="0" xfId="0" applyAlignment="1" applyBorder="1" applyFont="1">
      <alignment readingOrder="0"/>
    </xf>
    <xf borderId="0" fillId="0" fontId="3" numFmtId="0" xfId="0" applyFont="1"/>
    <xf borderId="0" fillId="0" fontId="11" numFmtId="167" xfId="0" applyAlignment="1" applyFont="1" applyNumberFormat="1">
      <alignment horizontal="righ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8" numFmtId="166" xfId="0" applyAlignment="1" applyFont="1" applyNumberFormat="1">
      <alignment readingOrder="0" vertical="bottom"/>
    </xf>
    <xf borderId="3" fillId="0" fontId="8" numFmtId="0" xfId="0" applyAlignment="1" applyBorder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vertical="bottom"/>
    </xf>
    <xf borderId="0" fillId="0" fontId="11" numFmtId="168" xfId="0" applyAlignment="1" applyFont="1" applyNumberFormat="1">
      <alignment horizontal="right" readingOrder="0" shrinkToFit="0" vertical="bottom" wrapText="0"/>
    </xf>
    <xf borderId="3" fillId="0" fontId="2" numFmtId="166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166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readingOrder="0" shrinkToFit="0" wrapText="1"/>
    </xf>
    <xf borderId="3" fillId="0" fontId="2" numFmtId="0" xfId="0" applyAlignment="1" applyBorder="1" applyFont="1">
      <alignment vertical="bottom"/>
    </xf>
    <xf borderId="3" fillId="0" fontId="5" numFmtId="166" xfId="0" applyAlignment="1" applyBorder="1" applyFont="1" applyNumberFormat="1">
      <alignment horizontal="right"/>
    </xf>
    <xf borderId="3" fillId="0" fontId="8" numFmtId="0" xfId="0" applyAlignment="1" applyBorder="1" applyFont="1">
      <alignment shrinkToFit="0" vertical="bottom" wrapText="1"/>
    </xf>
    <xf borderId="3" fillId="0" fontId="2" numFmtId="169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11" numFmtId="170" xfId="0" applyAlignment="1" applyFont="1" applyNumberFormat="1">
      <alignment readingOrder="0" shrinkToFit="0" vertical="bottom" wrapText="0"/>
    </xf>
    <xf borderId="0" fillId="0" fontId="12" numFmtId="0" xfId="0" applyFont="1"/>
    <xf borderId="3" fillId="0" fontId="12" numFmtId="0" xfId="0" applyBorder="1" applyFont="1"/>
    <xf borderId="3" fillId="0" fontId="13" numFmtId="164" xfId="0" applyBorder="1" applyFont="1" applyNumberFormat="1"/>
    <xf borderId="3" fillId="0" fontId="12" numFmtId="164" xfId="0" applyBorder="1" applyFont="1" applyNumberFormat="1"/>
    <xf borderId="0" fillId="0" fontId="11" numFmtId="171" xfId="0" applyAlignment="1" applyFont="1" applyNumberFormat="1">
      <alignment readingOrder="0" shrinkToFit="0" vertical="bottom" wrapText="0"/>
    </xf>
    <xf borderId="0" fillId="0" fontId="14" numFmtId="0" xfId="0" applyFont="1"/>
    <xf borderId="0" fillId="0" fontId="13" numFmtId="0" xfId="0" applyAlignment="1" applyFont="1">
      <alignment horizontal="right"/>
    </xf>
    <xf borderId="3" fillId="0" fontId="8" numFmtId="166" xfId="0" applyAlignment="1" applyBorder="1" applyFont="1" applyNumberFormat="1">
      <alignment vertical="bottom"/>
    </xf>
    <xf borderId="3" fillId="0" fontId="8" numFmtId="3" xfId="0" applyAlignment="1" applyBorder="1" applyFont="1" applyNumberFormat="1">
      <alignment horizontal="right" vertical="bottom"/>
    </xf>
    <xf borderId="3" fillId="0" fontId="8" numFmtId="4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cOmxwwsynRu2D6yOxCEl0-u_xBGbHjb2dvqz-i-zpI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3" width="19.0"/>
    <col customWidth="1" min="4" max="5" width="12.63"/>
    <col customWidth="1" min="9" max="9" width="23.25"/>
    <col customWidth="1" min="22" max="22" width="21.5"/>
  </cols>
  <sheetData>
    <row r="1" ht="15.75" customHeight="1">
      <c r="A1" s="1"/>
      <c r="B1" s="2"/>
      <c r="C1" s="2"/>
      <c r="V1" s="5" t="s">
        <v>2</v>
      </c>
      <c r="W1" s="6"/>
    </row>
    <row r="2" ht="15.75" customHeight="1">
      <c r="A2" s="1"/>
      <c r="B2" s="7" t="s">
        <v>9</v>
      </c>
      <c r="C2" s="6"/>
      <c r="V2" s="8" t="s">
        <v>10</v>
      </c>
      <c r="W2" s="8" t="s">
        <v>11</v>
      </c>
    </row>
    <row r="3" ht="15.75" customHeight="1">
      <c r="A3" s="10"/>
      <c r="B3" s="8" t="s">
        <v>10</v>
      </c>
      <c r="C3" s="8" t="s">
        <v>11</v>
      </c>
      <c r="F3" s="13"/>
      <c r="V3" s="25" t="str">
        <f t="shared" ref="V3:W3" si="1">B4</f>
        <v>Offline</v>
      </c>
      <c r="W3" s="29">
        <f t="shared" si="1"/>
        <v>24225</v>
      </c>
    </row>
    <row r="4" ht="15.75" customHeight="1">
      <c r="A4" s="10"/>
      <c r="B4" s="32" t="s">
        <v>29</v>
      </c>
      <c r="C4" s="38">
        <f>SUM(C5,C6,C7,C18, C8)</f>
        <v>24225</v>
      </c>
      <c r="F4" s="13"/>
      <c r="V4" s="25" t="str">
        <f t="shared" ref="V4:W4" si="2">B9</f>
        <v>Online: Third Party Platform</v>
      </c>
      <c r="W4" s="29">
        <f t="shared" si="2"/>
        <v>15900</v>
      </c>
    </row>
    <row r="5" ht="15.75" customHeight="1" outlineLevel="1">
      <c r="A5" s="10"/>
      <c r="B5" s="41" t="s">
        <v>34</v>
      </c>
      <c r="C5" s="47">
        <f>'Offline &amp; RG Community'!G13</f>
        <v>6225</v>
      </c>
      <c r="F5" s="13"/>
      <c r="V5" s="25" t="str">
        <f t="shared" ref="V5:W5" si="3">#REF!</f>
        <v>#REF!</v>
      </c>
      <c r="W5" s="25" t="str">
        <f t="shared" si="3"/>
        <v>#REF!</v>
      </c>
    </row>
    <row r="6" ht="15.75" customHeight="1" outlineLevel="1">
      <c r="A6" s="10"/>
      <c r="B6" s="41" t="s">
        <v>36</v>
      </c>
      <c r="C6" s="51">
        <v>0.0</v>
      </c>
      <c r="F6" s="13"/>
      <c r="V6" s="25" t="str">
        <f t="shared" ref="V6:W6" si="4">B19</f>
        <v>Memberships</v>
      </c>
      <c r="W6" s="29">
        <f t="shared" si="4"/>
        <v>0</v>
      </c>
    </row>
    <row r="7" ht="15.75" customHeight="1" outlineLevel="1">
      <c r="A7" s="10"/>
      <c r="B7" s="41" t="s">
        <v>37</v>
      </c>
      <c r="C7" s="51">
        <v>0.0</v>
      </c>
      <c r="F7" s="13"/>
      <c r="V7" s="25" t="str">
        <f t="shared" ref="V7:W7" si="5">B20</f>
        <v>Corporate Events</v>
      </c>
      <c r="W7" s="29">
        <f t="shared" si="5"/>
        <v>0</v>
      </c>
    </row>
    <row r="8" ht="15.75" customHeight="1" outlineLevel="1">
      <c r="A8" s="10"/>
      <c r="B8" s="56" t="s">
        <v>38</v>
      </c>
      <c r="C8" s="51">
        <f>'Offline &amp; RG Community'!E13</f>
        <v>18000</v>
      </c>
      <c r="F8" s="13"/>
      <c r="V8" s="25" t="str">
        <f t="shared" ref="V8:W8" si="6">B21</f>
        <v>Brand Activation</v>
      </c>
      <c r="W8" s="29">
        <f t="shared" si="6"/>
        <v>0</v>
      </c>
    </row>
    <row r="9" ht="15.75" customHeight="1">
      <c r="A9" s="10"/>
      <c r="B9" s="32" t="s">
        <v>39</v>
      </c>
      <c r="C9" s="38">
        <f>sum(C10:C17)</f>
        <v>15900</v>
      </c>
      <c r="F9" s="13"/>
      <c r="V9" s="25" t="str">
        <f t="shared" ref="V9:W9" si="7">B22</f>
        <v>Other Income</v>
      </c>
      <c r="W9" s="29">
        <f t="shared" si="7"/>
        <v>0</v>
      </c>
    </row>
    <row r="10" ht="15.75" customHeight="1" outlineLevel="1">
      <c r="A10" s="10"/>
      <c r="B10" s="63" t="s">
        <v>40</v>
      </c>
      <c r="C10" s="47">
        <f>Hudle!C8</f>
        <v>0</v>
      </c>
      <c r="F10" s="13"/>
    </row>
    <row r="11" ht="15.75" customHeight="1" outlineLevel="1">
      <c r="A11" s="10"/>
      <c r="B11" s="63" t="s">
        <v>41</v>
      </c>
      <c r="C11" s="47">
        <f>Playo!C5</f>
        <v>8025</v>
      </c>
      <c r="F11" s="13"/>
    </row>
    <row r="12" ht="15.75" customHeight="1" outlineLevel="1">
      <c r="A12" s="10"/>
      <c r="B12" s="63" t="s">
        <v>42</v>
      </c>
      <c r="C12" s="51">
        <v>0.0</v>
      </c>
      <c r="F12" s="13"/>
    </row>
    <row r="13" ht="15.75" customHeight="1" outlineLevel="1">
      <c r="A13" s="10"/>
      <c r="B13" s="63" t="s">
        <v>43</v>
      </c>
      <c r="C13" s="51">
        <f>Khelomore!C3</f>
        <v>7875</v>
      </c>
      <c r="F13" s="13"/>
    </row>
    <row r="14" ht="15.75" customHeight="1">
      <c r="A14" s="10"/>
      <c r="B14" s="66" t="s">
        <v>44</v>
      </c>
      <c r="C14" s="68">
        <f>sum(C15:C18)</f>
        <v>0</v>
      </c>
      <c r="F14" s="13"/>
    </row>
    <row r="15" ht="15.75" customHeight="1" outlineLevel="1">
      <c r="A15" s="10"/>
      <c r="B15" s="23" t="s">
        <v>45</v>
      </c>
      <c r="C15" s="51">
        <v>0.0</v>
      </c>
      <c r="F15" s="13"/>
    </row>
    <row r="16" ht="15.75" customHeight="1" outlineLevel="1">
      <c r="A16" s="10"/>
      <c r="B16" s="23" t="s">
        <v>46</v>
      </c>
      <c r="C16" s="51">
        <v>0.0</v>
      </c>
      <c r="F16" s="13"/>
    </row>
    <row r="17" ht="15.75" customHeight="1" outlineLevel="1">
      <c r="A17" s="10"/>
      <c r="B17" s="23" t="s">
        <v>47</v>
      </c>
      <c r="C17" s="51">
        <v>0.0</v>
      </c>
      <c r="F17" s="13"/>
    </row>
    <row r="18" ht="15.75" customHeight="1" outlineLevel="1">
      <c r="A18" s="10"/>
      <c r="B18" s="23" t="s">
        <v>48</v>
      </c>
      <c r="C18" s="47">
        <f>'Offline &amp; RG Community'!F13</f>
        <v>0</v>
      </c>
      <c r="F18" s="13"/>
      <c r="V18" s="25"/>
      <c r="W18" s="25"/>
    </row>
    <row r="19" ht="15.75" customHeight="1">
      <c r="A19" s="10"/>
      <c r="B19" s="69" t="s">
        <v>49</v>
      </c>
      <c r="C19" s="47">
        <v>0.0</v>
      </c>
      <c r="F19" s="13"/>
    </row>
    <row r="20" ht="15.75" customHeight="1">
      <c r="A20" s="10"/>
      <c r="B20" s="69" t="s">
        <v>50</v>
      </c>
      <c r="C20" s="47">
        <v>0.0</v>
      </c>
      <c r="F20" s="13"/>
    </row>
    <row r="21" ht="15.75" customHeight="1">
      <c r="A21" s="10"/>
      <c r="B21" s="69" t="s">
        <v>51</v>
      </c>
      <c r="C21" s="47">
        <v>0.0</v>
      </c>
      <c r="F21" s="13"/>
    </row>
    <row r="22" ht="15.75" customHeight="1">
      <c r="A22" s="10"/>
      <c r="B22" s="70" t="s">
        <v>52</v>
      </c>
      <c r="C22" s="71">
        <v>0.0</v>
      </c>
      <c r="D22" s="72"/>
      <c r="E22" s="72"/>
      <c r="F22" s="72"/>
      <c r="G22" s="72"/>
      <c r="H22" s="72"/>
      <c r="I22" s="72"/>
    </row>
    <row r="23" ht="15.75" customHeight="1">
      <c r="A23" s="10"/>
      <c r="B23" s="73" t="s">
        <v>53</v>
      </c>
      <c r="C23" s="74">
        <f>sum(C4,C9,C19,C20,,C22)</f>
        <v>40125</v>
      </c>
      <c r="F23" s="13"/>
    </row>
    <row r="24" ht="15.75" customHeight="1">
      <c r="A24" s="10"/>
      <c r="B24" s="75" t="s">
        <v>54</v>
      </c>
      <c r="C24" s="74">
        <f>'Offline &amp; RG Community'!H13 + Playo!F5 + Khelomore!E3</f>
        <v>38878.12</v>
      </c>
      <c r="F24" s="13"/>
    </row>
    <row r="25" ht="15.75" customHeight="1">
      <c r="B25" s="73" t="s">
        <v>55</v>
      </c>
      <c r="C25" s="76">
        <f>C24/1.18</f>
        <v>32947.55932</v>
      </c>
      <c r="F25" s="7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>
      <c r="I999" s="69" t="s">
        <v>29</v>
      </c>
      <c r="J999" s="38">
        <f t="shared" ref="J999:M999" si="8">SUM(J1000,J1001,J1002,J1003)</f>
        <v>0</v>
      </c>
      <c r="K999" s="38">
        <f t="shared" si="8"/>
        <v>0</v>
      </c>
      <c r="L999" s="38">
        <f t="shared" si="8"/>
        <v>0</v>
      </c>
      <c r="M999" s="38">
        <f t="shared" si="8"/>
        <v>8715</v>
      </c>
    </row>
    <row r="1000" ht="15.75" customHeight="1">
      <c r="I1000" s="63" t="s">
        <v>34</v>
      </c>
      <c r="J1000" s="86"/>
      <c r="K1000" s="86"/>
      <c r="L1000" s="86"/>
      <c r="M1000" s="47">
        <v>5535.0</v>
      </c>
    </row>
    <row r="1001" ht="15.75" customHeight="1">
      <c r="I1001" s="63" t="s">
        <v>36</v>
      </c>
      <c r="J1001" s="86"/>
      <c r="K1001" s="86"/>
      <c r="L1001" s="86"/>
      <c r="M1001" s="47">
        <v>0.0</v>
      </c>
    </row>
    <row r="1002" ht="15.75" customHeight="1">
      <c r="I1002" s="63" t="s">
        <v>37</v>
      </c>
      <c r="J1002" s="47">
        <v>0.0</v>
      </c>
      <c r="K1002" s="47">
        <v>0.0</v>
      </c>
      <c r="L1002" s="86"/>
      <c r="M1002" s="47">
        <v>0.0</v>
      </c>
    </row>
    <row r="1003" ht="15.75" customHeight="1">
      <c r="I1003" s="63" t="s">
        <v>38</v>
      </c>
      <c r="J1003" s="47">
        <v>0.0</v>
      </c>
      <c r="K1003" s="86"/>
      <c r="L1003" s="86"/>
      <c r="M1003" s="47">
        <v>3180.0</v>
      </c>
    </row>
    <row r="1004" ht="15.75" customHeight="1">
      <c r="I1004" s="69" t="s">
        <v>39</v>
      </c>
      <c r="J1004" s="38">
        <f t="shared" ref="J1004:M1004" si="9">sum(J1005:J1008)</f>
        <v>0</v>
      </c>
      <c r="K1004" s="38">
        <f t="shared" si="9"/>
        <v>0</v>
      </c>
      <c r="L1004" s="38">
        <f t="shared" si="9"/>
        <v>0</v>
      </c>
      <c r="M1004" s="38">
        <f t="shared" si="9"/>
        <v>31660</v>
      </c>
    </row>
    <row r="1005" ht="15.75" customHeight="1">
      <c r="I1005" s="63" t="s">
        <v>40</v>
      </c>
      <c r="J1005" s="86"/>
      <c r="K1005" s="86"/>
      <c r="L1005" s="86"/>
      <c r="M1005" s="87">
        <v>29780.0</v>
      </c>
    </row>
    <row r="1006" ht="15.75" customHeight="1">
      <c r="I1006" s="63" t="s">
        <v>41</v>
      </c>
      <c r="J1006" s="86"/>
      <c r="K1006" s="86"/>
      <c r="L1006" s="86"/>
      <c r="M1006" s="88">
        <v>1280.0</v>
      </c>
    </row>
    <row r="1007" ht="15.75" customHeight="1">
      <c r="I1007" s="63" t="s">
        <v>42</v>
      </c>
      <c r="J1007" s="47">
        <v>0.0</v>
      </c>
      <c r="K1007" s="47">
        <v>0.0</v>
      </c>
      <c r="L1007" s="47">
        <v>0.0</v>
      </c>
      <c r="M1007" s="47">
        <v>0.0</v>
      </c>
    </row>
    <row r="1008" ht="15.75" customHeight="1">
      <c r="I1008" s="63" t="s">
        <v>43</v>
      </c>
      <c r="J1008" s="47">
        <v>0.0</v>
      </c>
      <c r="K1008" s="86"/>
      <c r="L1008" s="86"/>
      <c r="M1008" s="88">
        <v>600.0</v>
      </c>
    </row>
    <row r="1009" ht="15.75" customHeight="1">
      <c r="I1009" s="69" t="s">
        <v>44</v>
      </c>
      <c r="J1009" s="38">
        <f t="shared" ref="J1009:M1009" si="10">SUM(J1010,J1011)</f>
        <v>0</v>
      </c>
      <c r="K1009" s="38">
        <f t="shared" si="10"/>
        <v>0</v>
      </c>
      <c r="L1009" s="38">
        <f t="shared" si="10"/>
        <v>0</v>
      </c>
      <c r="M1009" s="38">
        <f t="shared" si="10"/>
        <v>11360</v>
      </c>
    </row>
    <row r="1010" ht="15.75" customHeight="1">
      <c r="I1010" s="63" t="s">
        <v>58</v>
      </c>
      <c r="J1010" s="86"/>
      <c r="K1010" s="86"/>
      <c r="L1010" s="86"/>
      <c r="M1010" s="47">
        <v>8070.0</v>
      </c>
    </row>
    <row r="1011" ht="15.75" customHeight="1">
      <c r="I1011" s="63" t="s">
        <v>59</v>
      </c>
      <c r="J1011" s="47">
        <v>0.0</v>
      </c>
      <c r="K1011" s="47">
        <v>0.0</v>
      </c>
      <c r="L1011" s="86"/>
      <c r="M1011" s="88">
        <v>3290.0</v>
      </c>
    </row>
    <row r="1012" ht="15.75" customHeight="1">
      <c r="I1012" s="69" t="s">
        <v>49</v>
      </c>
      <c r="J1012" s="47">
        <v>0.0</v>
      </c>
      <c r="K1012" s="86"/>
      <c r="L1012" s="47">
        <v>0.0</v>
      </c>
      <c r="M1012" s="47">
        <v>0.0</v>
      </c>
    </row>
    <row r="1013" ht="15.75" customHeight="1">
      <c r="I1013" s="69" t="s">
        <v>50</v>
      </c>
      <c r="J1013" s="47">
        <v>0.0</v>
      </c>
      <c r="K1013" s="47">
        <v>0.0</v>
      </c>
      <c r="L1013" s="47">
        <v>0.0</v>
      </c>
      <c r="M1013" s="47">
        <v>0.0</v>
      </c>
    </row>
    <row r="1014" ht="15.75" customHeight="1">
      <c r="I1014" s="69" t="s">
        <v>51</v>
      </c>
      <c r="J1014" s="47">
        <v>0.0</v>
      </c>
      <c r="K1014" s="47">
        <v>0.0</v>
      </c>
      <c r="L1014" s="47">
        <v>0.0</v>
      </c>
      <c r="M1014" s="47">
        <v>0.0</v>
      </c>
    </row>
    <row r="1015" ht="15.75" customHeight="1">
      <c r="I1015" s="69" t="s">
        <v>52</v>
      </c>
      <c r="J1015" s="47">
        <v>0.0</v>
      </c>
      <c r="K1015" s="47">
        <v>0.0</v>
      </c>
      <c r="L1015" s="47">
        <v>0.0</v>
      </c>
      <c r="M1015" s="47">
        <v>18000.0</v>
      </c>
    </row>
    <row r="1016" ht="15.75" customHeight="1">
      <c r="I1016" s="89" t="s">
        <v>53</v>
      </c>
      <c r="J1016" s="90">
        <f t="shared" ref="J1016:M1016" si="11">SUM(J999,J1004,J1009,J1012,J1013,J1014,J1015)</f>
        <v>0</v>
      </c>
      <c r="K1016" s="90">
        <f t="shared" si="11"/>
        <v>0</v>
      </c>
      <c r="L1016" s="90">
        <f t="shared" si="11"/>
        <v>0</v>
      </c>
      <c r="M1016" s="90">
        <f t="shared" si="11"/>
        <v>69735</v>
      </c>
    </row>
  </sheetData>
  <mergeCells count="2">
    <mergeCell ref="V1:W1"/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2.63"/>
  </cols>
  <sheetData>
    <row r="1" ht="15.75" customHeight="1">
      <c r="A1" s="3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9" t="s">
        <v>12</v>
      </c>
    </row>
    <row r="2" ht="15.75" customHeight="1">
      <c r="A2" s="12">
        <v>45981.0</v>
      </c>
      <c r="B2" s="14" t="s">
        <v>13</v>
      </c>
      <c r="C2" s="16">
        <v>2.0</v>
      </c>
      <c r="D2" s="17">
        <v>0.2</v>
      </c>
      <c r="E2" s="18">
        <v>1000.0</v>
      </c>
      <c r="F2" s="20">
        <v>0.0</v>
      </c>
      <c r="G2" s="20">
        <v>0.0</v>
      </c>
      <c r="H2" s="18">
        <f t="shared" ref="H2:H13" si="1">SUM(E2:G2)</f>
        <v>1000</v>
      </c>
    </row>
    <row r="3" ht="15.75" customHeight="1">
      <c r="A3" s="12">
        <v>45982.0</v>
      </c>
      <c r="B3" s="14" t="s">
        <v>26</v>
      </c>
      <c r="C3" s="16">
        <v>1.0</v>
      </c>
      <c r="D3" s="17">
        <v>0.2</v>
      </c>
      <c r="E3" s="18">
        <v>500.0</v>
      </c>
      <c r="F3" s="20">
        <v>0.0</v>
      </c>
      <c r="G3" s="20">
        <v>0.0</v>
      </c>
      <c r="H3" s="18">
        <f t="shared" si="1"/>
        <v>500</v>
      </c>
    </row>
    <row r="4" ht="15.75" customHeight="1">
      <c r="A4" s="12">
        <v>45983.0</v>
      </c>
      <c r="B4" s="14" t="s">
        <v>28</v>
      </c>
      <c r="C4" s="16">
        <v>4.0</v>
      </c>
      <c r="D4" s="17">
        <v>0.2</v>
      </c>
      <c r="E4" s="20">
        <v>3000.0</v>
      </c>
      <c r="F4" s="20">
        <v>0.0</v>
      </c>
      <c r="G4" s="20">
        <v>600.0</v>
      </c>
      <c r="H4" s="18">
        <f t="shared" si="1"/>
        <v>3600</v>
      </c>
    </row>
    <row r="5" ht="15.75" customHeight="1">
      <c r="A5" s="12">
        <v>45984.0</v>
      </c>
      <c r="B5" s="14" t="s">
        <v>30</v>
      </c>
      <c r="C5" s="16">
        <v>0.0</v>
      </c>
      <c r="D5" s="17">
        <v>0.2</v>
      </c>
      <c r="E5" s="20">
        <v>0.0</v>
      </c>
      <c r="F5" s="20">
        <v>0.0</v>
      </c>
      <c r="G5" s="20">
        <v>625.0</v>
      </c>
      <c r="H5" s="18">
        <f t="shared" si="1"/>
        <v>625</v>
      </c>
    </row>
    <row r="6" ht="15.75" customHeight="1">
      <c r="A6" s="12">
        <v>45985.0</v>
      </c>
      <c r="B6" s="14" t="s">
        <v>31</v>
      </c>
      <c r="C6" s="16">
        <v>2.0</v>
      </c>
      <c r="D6" s="17">
        <v>0.2</v>
      </c>
      <c r="E6" s="20">
        <v>2100.0</v>
      </c>
      <c r="F6" s="20">
        <v>0.0</v>
      </c>
      <c r="G6" s="20">
        <v>350.0</v>
      </c>
      <c r="H6" s="18">
        <f t="shared" si="1"/>
        <v>2450</v>
      </c>
    </row>
    <row r="7" ht="15.75" customHeight="1">
      <c r="A7" s="12">
        <v>45986.0</v>
      </c>
      <c r="B7" s="14" t="s">
        <v>32</v>
      </c>
      <c r="C7" s="16">
        <v>1.0</v>
      </c>
      <c r="D7" s="17">
        <v>0.2</v>
      </c>
      <c r="E7" s="20">
        <v>600.0</v>
      </c>
      <c r="F7" s="20">
        <v>0.0</v>
      </c>
      <c r="G7" s="20">
        <v>150.0</v>
      </c>
      <c r="H7" s="18">
        <f t="shared" si="1"/>
        <v>750</v>
      </c>
    </row>
    <row r="8" ht="15.75" customHeight="1">
      <c r="A8" s="12">
        <v>45987.0</v>
      </c>
      <c r="B8" s="14" t="s">
        <v>33</v>
      </c>
      <c r="C8" s="36">
        <v>5.0</v>
      </c>
      <c r="D8" s="17">
        <v>0.2</v>
      </c>
      <c r="E8" s="20">
        <v>2900.0</v>
      </c>
      <c r="F8" s="20">
        <v>0.0</v>
      </c>
      <c r="G8" s="20">
        <v>1350.0</v>
      </c>
      <c r="H8" s="18">
        <f t="shared" si="1"/>
        <v>4250</v>
      </c>
    </row>
    <row r="9" ht="15.75" customHeight="1">
      <c r="A9" s="12">
        <v>45988.0</v>
      </c>
      <c r="B9" s="14" t="s">
        <v>13</v>
      </c>
      <c r="C9" s="16">
        <v>3.0</v>
      </c>
      <c r="D9" s="17">
        <v>0.2</v>
      </c>
      <c r="E9" s="18">
        <v>2300.0</v>
      </c>
      <c r="F9" s="20">
        <v>0.0</v>
      </c>
      <c r="G9" s="20">
        <v>550.0</v>
      </c>
      <c r="H9" s="18">
        <f t="shared" si="1"/>
        <v>2850</v>
      </c>
    </row>
    <row r="10" ht="15.75" customHeight="1">
      <c r="A10" s="12">
        <v>45989.0</v>
      </c>
      <c r="B10" s="14" t="s">
        <v>26</v>
      </c>
      <c r="C10" s="36">
        <v>0.0</v>
      </c>
      <c r="D10" s="17">
        <v>0.2</v>
      </c>
      <c r="E10" s="18">
        <v>0.0</v>
      </c>
      <c r="F10" s="20">
        <v>0.0</v>
      </c>
      <c r="G10" s="20">
        <v>0.0</v>
      </c>
      <c r="H10" s="18">
        <f t="shared" si="1"/>
        <v>0</v>
      </c>
    </row>
    <row r="11" ht="15.75" customHeight="1">
      <c r="A11" s="12">
        <v>45990.0</v>
      </c>
      <c r="B11" s="14" t="s">
        <v>28</v>
      </c>
      <c r="C11" s="36">
        <v>5.5</v>
      </c>
      <c r="D11" s="17">
        <v>0.2</v>
      </c>
      <c r="E11" s="18">
        <v>3100.0</v>
      </c>
      <c r="F11" s="20">
        <v>0.0</v>
      </c>
      <c r="G11" s="20">
        <v>1750.0</v>
      </c>
      <c r="H11" s="18">
        <f t="shared" si="1"/>
        <v>4850</v>
      </c>
    </row>
    <row r="12" ht="15.75" customHeight="1">
      <c r="A12" s="12">
        <v>45991.0</v>
      </c>
      <c r="B12" s="14" t="s">
        <v>30</v>
      </c>
      <c r="C12" s="36">
        <v>4.5</v>
      </c>
      <c r="D12" s="17">
        <v>0.2</v>
      </c>
      <c r="E12" s="18">
        <v>2500.0</v>
      </c>
      <c r="F12" s="20">
        <v>0.0</v>
      </c>
      <c r="G12" s="20">
        <v>850.0</v>
      </c>
      <c r="H12" s="18">
        <f t="shared" si="1"/>
        <v>3350</v>
      </c>
    </row>
    <row r="13" ht="15.75" customHeight="1">
      <c r="A13" s="43" t="s">
        <v>35</v>
      </c>
      <c r="B13" s="45"/>
      <c r="C13" s="4">
        <f>SUM(C1:C12)</f>
        <v>28</v>
      </c>
      <c r="D13" s="49"/>
      <c r="E13" s="50">
        <f t="shared" ref="E13:G13" si="2">SUM(E1:E12)</f>
        <v>18000</v>
      </c>
      <c r="F13" s="50">
        <f t="shared" si="2"/>
        <v>0</v>
      </c>
      <c r="G13" s="50">
        <f t="shared" si="2"/>
        <v>6225</v>
      </c>
      <c r="H13" s="53">
        <f t="shared" si="1"/>
        <v>24225</v>
      </c>
    </row>
    <row r="14" ht="15.75" customHeight="1">
      <c r="A14" s="12"/>
      <c r="B14" s="14"/>
      <c r="C14" s="16"/>
      <c r="D14" s="17"/>
      <c r="E14" s="20"/>
      <c r="F14" s="20"/>
      <c r="G14" s="20"/>
      <c r="H14" s="54"/>
    </row>
    <row r="15" ht="15.75" customHeight="1">
      <c r="A15" s="12"/>
      <c r="B15" s="14"/>
      <c r="C15" s="16"/>
      <c r="D15" s="17"/>
      <c r="E15" s="20"/>
      <c r="F15" s="20"/>
      <c r="G15" s="20"/>
      <c r="H15" s="54"/>
    </row>
    <row r="16" ht="15.75" customHeight="1">
      <c r="A16" s="12"/>
      <c r="B16" s="14"/>
      <c r="C16" s="16"/>
      <c r="D16" s="17"/>
      <c r="E16" s="20"/>
      <c r="F16" s="20"/>
      <c r="G16" s="20"/>
      <c r="H16" s="54"/>
    </row>
    <row r="17" ht="15.75" customHeight="1">
      <c r="A17" s="12"/>
      <c r="B17" s="14"/>
      <c r="C17" s="16"/>
      <c r="D17" s="17"/>
      <c r="E17" s="20"/>
      <c r="F17" s="20"/>
      <c r="G17" s="20"/>
      <c r="H17" s="54"/>
    </row>
    <row r="18" ht="15.75" customHeight="1">
      <c r="A18" s="12"/>
      <c r="B18" s="14"/>
      <c r="C18" s="16"/>
      <c r="D18" s="17"/>
      <c r="E18" s="20"/>
      <c r="F18" s="20"/>
      <c r="G18" s="20"/>
      <c r="H18" s="54"/>
    </row>
    <row r="19" ht="15.75" customHeight="1">
      <c r="A19" s="12"/>
      <c r="B19" s="14"/>
      <c r="C19" s="16"/>
      <c r="D19" s="17"/>
      <c r="E19" s="20"/>
      <c r="F19" s="20"/>
      <c r="G19" s="20"/>
      <c r="H19" s="54"/>
    </row>
    <row r="20" ht="15.75" customHeight="1">
      <c r="A20" s="12"/>
      <c r="B20" s="14"/>
      <c r="C20" s="16"/>
      <c r="D20" s="17"/>
      <c r="E20" s="57"/>
      <c r="F20" s="57"/>
      <c r="G20" s="57"/>
      <c r="H20" s="57"/>
    </row>
    <row r="21" ht="15.75" customHeight="1">
      <c r="A21" s="12"/>
      <c r="B21" s="14"/>
      <c r="C21" s="16"/>
      <c r="D21" s="17"/>
      <c r="E21" s="20"/>
      <c r="F21" s="20"/>
      <c r="G21" s="20"/>
    </row>
    <row r="22" ht="15.75" customHeight="1">
      <c r="A22" s="12"/>
      <c r="B22" s="14"/>
      <c r="C22" s="16"/>
      <c r="D22" s="17"/>
      <c r="E22" s="20"/>
      <c r="F22" s="20"/>
      <c r="G22" s="20"/>
    </row>
    <row r="23" ht="15.75" customHeight="1">
      <c r="A23" s="12"/>
      <c r="B23" s="14"/>
      <c r="C23" s="16"/>
      <c r="D23" s="17"/>
      <c r="E23" s="20"/>
      <c r="F23" s="20"/>
      <c r="G23" s="20"/>
    </row>
    <row r="24" ht="15.75" customHeight="1">
      <c r="A24" s="12"/>
      <c r="B24" s="14"/>
      <c r="C24" s="16"/>
      <c r="D24" s="17"/>
      <c r="E24" s="20"/>
      <c r="F24" s="20"/>
      <c r="G24" s="20"/>
    </row>
    <row r="25" ht="15.75" customHeight="1">
      <c r="A25" s="12"/>
      <c r="B25" s="14"/>
      <c r="C25" s="16"/>
      <c r="D25" s="17"/>
      <c r="E25" s="20"/>
      <c r="F25" s="20"/>
      <c r="G25" s="20"/>
    </row>
    <row r="26" ht="15.75" customHeight="1">
      <c r="A26" s="12"/>
      <c r="B26" s="14"/>
      <c r="C26" s="16"/>
      <c r="D26" s="17"/>
      <c r="E26" s="20"/>
      <c r="F26" s="20"/>
      <c r="G26" s="20"/>
    </row>
    <row r="27" ht="15.75" customHeight="1">
      <c r="A27" s="12"/>
      <c r="B27" s="14"/>
      <c r="C27" s="16"/>
      <c r="D27" s="17"/>
      <c r="E27" s="20"/>
      <c r="F27" s="20"/>
      <c r="G27" s="20"/>
    </row>
    <row r="28" ht="15.75" customHeight="1">
      <c r="A28" s="12"/>
      <c r="B28" s="14"/>
      <c r="C28" s="22"/>
      <c r="D28" s="17"/>
      <c r="E28" s="62"/>
      <c r="F28" s="62"/>
      <c r="G28" s="20"/>
    </row>
    <row r="29" ht="15.75" customHeight="1">
      <c r="A29" s="12"/>
      <c r="B29" s="14"/>
      <c r="C29" s="16"/>
      <c r="D29" s="17"/>
      <c r="E29" s="20"/>
      <c r="F29" s="20"/>
      <c r="G29" s="20"/>
    </row>
    <row r="30" ht="15.75" customHeight="1">
      <c r="A30" s="12"/>
      <c r="B30" s="14"/>
      <c r="C30" s="16"/>
      <c r="D30" s="17"/>
      <c r="E30" s="20"/>
      <c r="F30" s="20"/>
      <c r="G30" s="20"/>
    </row>
    <row r="31" ht="15.75" customHeight="1">
      <c r="A31" s="12"/>
      <c r="B31" s="14"/>
      <c r="C31" s="16"/>
      <c r="D31" s="17"/>
      <c r="E31" s="20"/>
      <c r="F31" s="20"/>
      <c r="G31" s="20"/>
    </row>
    <row r="32" ht="15.75" customHeight="1">
      <c r="A32" s="64"/>
      <c r="B32" s="14"/>
      <c r="C32" s="22"/>
      <c r="D32" s="17"/>
      <c r="E32" s="22"/>
      <c r="F32" s="22"/>
      <c r="G32" s="22"/>
      <c r="H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5.5"/>
    <col customWidth="1" min="3" max="3" width="12.63"/>
    <col customWidth="1" min="4" max="4" width="23.88"/>
    <col customWidth="1" min="5" max="5" width="13.75"/>
    <col customWidth="1" min="6" max="7" width="12.63"/>
    <col customWidth="1" min="8" max="8" width="16.88"/>
  </cols>
  <sheetData>
    <row r="1" ht="15.75" customHeight="1">
      <c r="A1" s="11" t="s">
        <v>1</v>
      </c>
      <c r="B1" s="21" t="s">
        <v>0</v>
      </c>
      <c r="C1" s="21" t="s">
        <v>21</v>
      </c>
      <c r="D1" s="21" t="s">
        <v>22</v>
      </c>
      <c r="E1" s="24" t="s">
        <v>17</v>
      </c>
      <c r="F1" s="21" t="s">
        <v>24</v>
      </c>
      <c r="G1" s="21" t="s">
        <v>25</v>
      </c>
      <c r="H1" s="24" t="s">
        <v>20</v>
      </c>
      <c r="I1" s="10"/>
    </row>
    <row r="2" ht="15.75" customHeight="1">
      <c r="A2" s="28"/>
      <c r="B2" s="23" t="s">
        <v>27</v>
      </c>
      <c r="C2" s="30">
        <v>0.0</v>
      </c>
      <c r="D2" s="31"/>
      <c r="E2" s="33"/>
      <c r="F2" s="31"/>
      <c r="G2" s="30"/>
      <c r="H2" s="30"/>
    </row>
    <row r="3" ht="15.75" customHeight="1">
      <c r="A3" s="28"/>
      <c r="B3" s="34"/>
      <c r="C3" s="30"/>
      <c r="D3" s="31"/>
      <c r="E3" s="33"/>
      <c r="F3" s="31"/>
      <c r="G3" s="30"/>
      <c r="H3" s="30"/>
    </row>
    <row r="4" ht="15.75" customHeight="1">
      <c r="A4" s="28"/>
      <c r="B4" s="34"/>
      <c r="C4" s="30"/>
      <c r="D4" s="30"/>
      <c r="E4" s="31"/>
      <c r="F4" s="31"/>
      <c r="G4" s="30"/>
      <c r="H4" s="30"/>
    </row>
    <row r="5" ht="15.75" customHeight="1">
      <c r="A5" s="28"/>
      <c r="B5" s="34"/>
      <c r="C5" s="30"/>
      <c r="D5" s="30"/>
      <c r="E5" s="31"/>
      <c r="F5" s="31"/>
      <c r="G5" s="30"/>
      <c r="H5" s="30"/>
    </row>
    <row r="6" ht="15.75" customHeight="1">
      <c r="A6" s="28"/>
      <c r="B6" s="34"/>
      <c r="C6" s="30"/>
      <c r="D6" s="30"/>
      <c r="E6" s="31"/>
      <c r="F6" s="30"/>
      <c r="G6" s="30"/>
      <c r="H6" s="30"/>
    </row>
    <row r="7" ht="15.75" customHeight="1">
      <c r="A7" s="22"/>
      <c r="B7" s="23"/>
      <c r="C7" s="30"/>
      <c r="D7" s="30"/>
      <c r="E7" s="31"/>
      <c r="F7" s="30"/>
      <c r="G7" s="30"/>
      <c r="H7" s="30"/>
    </row>
    <row r="8" ht="15.75" customHeight="1">
      <c r="A8" s="39"/>
      <c r="B8" s="40"/>
      <c r="C8" s="46">
        <f>SUM(C2:C7)</f>
        <v>0</v>
      </c>
      <c r="D8" s="48"/>
      <c r="E8" s="46">
        <f>SUM(E2:E7)</f>
        <v>0</v>
      </c>
      <c r="F8" s="48"/>
      <c r="G8" s="30"/>
      <c r="H8" s="46">
        <f>SUM(H2:H7)</f>
        <v>0</v>
      </c>
    </row>
    <row r="9" ht="15.75" customHeight="1">
      <c r="C9" s="52"/>
      <c r="H9" s="5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</row>
    <row r="16" ht="15.75" customHeight="1">
      <c r="A16" s="55"/>
      <c r="B16" s="55"/>
      <c r="C16" s="55"/>
      <c r="D16" s="55"/>
      <c r="E16" s="58"/>
      <c r="F16" s="58"/>
      <c r="G16" s="55"/>
      <c r="H16" s="55"/>
      <c r="I16" s="55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60"/>
      <c r="AB16" s="55"/>
      <c r="AC16" s="55"/>
      <c r="AD16" s="61"/>
      <c r="AE16" s="59"/>
      <c r="AF16" s="55"/>
      <c r="AG16" s="55"/>
      <c r="AH16" s="60"/>
      <c r="AI16" s="60"/>
      <c r="AJ16" s="55"/>
      <c r="AL16" s="55"/>
      <c r="AM16" s="55"/>
      <c r="AN16" s="55"/>
      <c r="AP16" s="60"/>
      <c r="AQ16" s="60"/>
      <c r="AR16" s="60"/>
      <c r="AS16" s="60"/>
      <c r="AT16" s="60"/>
      <c r="AU16" s="60"/>
      <c r="AV16" s="59"/>
    </row>
    <row r="17" ht="15.75" customHeight="1">
      <c r="A17" s="55"/>
      <c r="B17" s="55"/>
      <c r="C17" s="55"/>
      <c r="D17" s="55"/>
      <c r="E17" s="58"/>
      <c r="F17" s="58"/>
      <c r="G17" s="55"/>
      <c r="H17" s="55"/>
      <c r="I17" s="55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B17" s="55"/>
      <c r="AC17" s="55"/>
      <c r="AD17" s="61"/>
      <c r="AE17" s="59"/>
      <c r="AF17" s="55"/>
      <c r="AG17" s="55"/>
      <c r="AH17" s="60"/>
      <c r="AI17" s="60"/>
      <c r="AJ17" s="55"/>
      <c r="AL17" s="55"/>
      <c r="AM17" s="55"/>
      <c r="AN17" s="55"/>
      <c r="AP17" s="60"/>
      <c r="AQ17" s="60"/>
      <c r="AR17" s="60"/>
      <c r="AS17" s="60"/>
      <c r="AT17" s="60"/>
      <c r="AU17" s="60"/>
      <c r="AV17" s="59"/>
    </row>
    <row r="18" ht="15.75" customHeight="1">
      <c r="A18" s="55"/>
      <c r="B18" s="55"/>
      <c r="C18" s="55"/>
      <c r="D18" s="55"/>
      <c r="E18" s="58"/>
      <c r="F18" s="58"/>
      <c r="G18" s="55"/>
      <c r="H18" s="55"/>
      <c r="I18" s="55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5"/>
      <c r="AB18" s="55"/>
      <c r="AC18" s="55"/>
      <c r="AD18" s="61"/>
      <c r="AE18" s="59"/>
      <c r="AF18" s="60"/>
      <c r="AG18" s="55"/>
      <c r="AH18" s="65"/>
      <c r="AI18" s="61"/>
      <c r="AJ18" s="55"/>
      <c r="AK18" s="55"/>
      <c r="AL18" s="60"/>
      <c r="AM18" s="60"/>
      <c r="AN18" s="60"/>
      <c r="AO18" s="59"/>
      <c r="AP18" s="59"/>
      <c r="AQ18" s="59"/>
      <c r="AR18" s="60"/>
      <c r="AS18" s="59"/>
      <c r="AT18" s="60"/>
      <c r="AU18" s="60"/>
      <c r="AV18" s="59"/>
    </row>
    <row r="19" ht="15.75" customHeight="1">
      <c r="A19" s="55"/>
      <c r="B19" s="55"/>
      <c r="C19" s="55"/>
      <c r="D19" s="55"/>
      <c r="E19" s="58"/>
      <c r="F19" s="58"/>
      <c r="G19" s="55"/>
      <c r="H19" s="55"/>
      <c r="I19" s="55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60"/>
      <c r="AB19" s="55"/>
      <c r="AC19" s="55"/>
      <c r="AD19" s="61"/>
      <c r="AE19" s="59"/>
      <c r="AF19" s="60"/>
      <c r="AG19" s="55"/>
      <c r="AH19" s="60"/>
      <c r="AI19" s="60"/>
      <c r="AJ19" s="55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59"/>
    </row>
    <row r="20" ht="15.75" customHeight="1">
      <c r="A20" s="55"/>
      <c r="B20" s="55"/>
      <c r="C20" s="55"/>
      <c r="D20" s="55"/>
      <c r="E20" s="58"/>
      <c r="F20" s="58"/>
      <c r="G20" s="55"/>
      <c r="H20" s="55"/>
      <c r="I20" s="55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5"/>
      <c r="AB20" s="55"/>
      <c r="AC20" s="55"/>
      <c r="AD20" s="61"/>
      <c r="AE20" s="59"/>
      <c r="AF20" s="60"/>
      <c r="AG20" s="55"/>
      <c r="AH20" s="65"/>
      <c r="AI20" s="67"/>
      <c r="AJ20" s="55"/>
      <c r="AK20" s="55"/>
      <c r="AL20" s="60"/>
      <c r="AM20" s="60"/>
      <c r="AN20" s="60"/>
      <c r="AO20" s="59"/>
      <c r="AP20" s="59"/>
      <c r="AQ20" s="59"/>
      <c r="AR20" s="60"/>
      <c r="AS20" s="59"/>
      <c r="AT20" s="60"/>
      <c r="AU20" s="60"/>
      <c r="AV20" s="59"/>
    </row>
    <row r="21" ht="15.75" customHeight="1">
      <c r="A21" s="55"/>
      <c r="B21" s="55"/>
      <c r="C21" s="55"/>
      <c r="D21" s="55"/>
      <c r="E21" s="58"/>
      <c r="F21" s="58"/>
      <c r="G21" s="55"/>
      <c r="H21" s="55"/>
      <c r="I21" s="55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5"/>
      <c r="AB21" s="55"/>
      <c r="AC21" s="55"/>
      <c r="AD21" s="61"/>
      <c r="AE21" s="59"/>
      <c r="AF21" s="60"/>
      <c r="AG21" s="55"/>
      <c r="AH21" s="65"/>
      <c r="AI21" s="67"/>
      <c r="AJ21" s="55"/>
      <c r="AK21" s="55"/>
      <c r="AL21" s="60"/>
      <c r="AM21" s="60"/>
      <c r="AN21" s="60"/>
      <c r="AO21" s="59"/>
      <c r="AP21" s="59"/>
      <c r="AQ21" s="59"/>
      <c r="AR21" s="60"/>
      <c r="AS21" s="59"/>
      <c r="AT21" s="60"/>
      <c r="AU21" s="60"/>
      <c r="AV21" s="59"/>
    </row>
    <row r="22" ht="15.75" customHeight="1">
      <c r="A22" s="55"/>
      <c r="B22" s="55"/>
      <c r="C22" s="55"/>
      <c r="D22" s="55"/>
      <c r="E22" s="58"/>
      <c r="F22" s="58"/>
      <c r="G22" s="55"/>
      <c r="H22" s="55"/>
      <c r="I22" s="55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5"/>
      <c r="AB22" s="55"/>
      <c r="AC22" s="55"/>
      <c r="AD22" s="61"/>
      <c r="AE22" s="59"/>
      <c r="AF22" s="60"/>
      <c r="AG22" s="55"/>
      <c r="AH22" s="65"/>
      <c r="AI22" s="67"/>
      <c r="AJ22" s="55"/>
      <c r="AL22" s="60"/>
      <c r="AM22" s="60"/>
      <c r="AN22" s="60"/>
      <c r="AO22" s="59"/>
      <c r="AP22" s="59"/>
      <c r="AQ22" s="59"/>
      <c r="AR22" s="60"/>
      <c r="AS22" s="59"/>
      <c r="AT22" s="60"/>
      <c r="AU22" s="60"/>
      <c r="AV22" s="59"/>
    </row>
    <row r="23" ht="15.75" customHeight="1">
      <c r="A23" s="55"/>
      <c r="B23" s="55"/>
      <c r="C23" s="55"/>
      <c r="D23" s="55"/>
      <c r="E23" s="58"/>
      <c r="F23" s="58"/>
      <c r="G23" s="55"/>
      <c r="H23" s="55"/>
      <c r="I23" s="55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5"/>
      <c r="AB23" s="55"/>
      <c r="AC23" s="55"/>
      <c r="AD23" s="61"/>
      <c r="AE23" s="59"/>
      <c r="AF23" s="60"/>
      <c r="AG23" s="55"/>
      <c r="AH23" s="65"/>
      <c r="AI23" s="67"/>
      <c r="AJ23" s="55"/>
      <c r="AK23" s="55"/>
      <c r="AL23" s="60"/>
      <c r="AM23" s="60"/>
      <c r="AN23" s="60"/>
      <c r="AO23" s="59"/>
      <c r="AP23" s="59"/>
      <c r="AQ23" s="59"/>
      <c r="AR23" s="60"/>
      <c r="AS23" s="59"/>
      <c r="AT23" s="60"/>
      <c r="AU23" s="60"/>
      <c r="AV23" s="59"/>
    </row>
    <row r="24" ht="15.75" customHeight="1">
      <c r="A24" s="55"/>
      <c r="B24" s="55"/>
      <c r="C24" s="55"/>
      <c r="D24" s="55"/>
      <c r="E24" s="58"/>
      <c r="F24" s="58"/>
      <c r="G24" s="55"/>
      <c r="H24" s="55"/>
      <c r="I24" s="55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5"/>
      <c r="AB24" s="55"/>
      <c r="AC24" s="55"/>
      <c r="AD24" s="61"/>
      <c r="AE24" s="59"/>
      <c r="AF24" s="60"/>
      <c r="AG24" s="55"/>
      <c r="AH24" s="65"/>
      <c r="AI24" s="67"/>
      <c r="AJ24" s="55"/>
      <c r="AK24" s="55"/>
      <c r="AL24" s="60"/>
      <c r="AM24" s="60"/>
      <c r="AN24" s="60"/>
      <c r="AO24" s="59"/>
      <c r="AP24" s="59"/>
      <c r="AQ24" s="59"/>
      <c r="AR24" s="60"/>
      <c r="AS24" s="59"/>
      <c r="AT24" s="60"/>
      <c r="AU24" s="60"/>
      <c r="AV24" s="59"/>
    </row>
    <row r="25" ht="15.75" customHeight="1">
      <c r="A25" s="55"/>
      <c r="B25" s="55"/>
      <c r="C25" s="55"/>
      <c r="D25" s="55"/>
      <c r="E25" s="58"/>
      <c r="F25" s="58"/>
      <c r="G25" s="55"/>
      <c r="H25" s="55"/>
      <c r="I25" s="55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5"/>
      <c r="AB25" s="55"/>
      <c r="AC25" s="55"/>
      <c r="AD25" s="61"/>
      <c r="AE25" s="59"/>
      <c r="AF25" s="60"/>
      <c r="AG25" s="55"/>
      <c r="AH25" s="65"/>
      <c r="AI25" s="67"/>
      <c r="AJ25" s="55"/>
      <c r="AK25" s="55"/>
      <c r="AM25" s="60"/>
      <c r="AN25" s="60"/>
      <c r="AO25" s="59"/>
      <c r="AP25" s="59"/>
      <c r="AQ25" s="59"/>
      <c r="AR25" s="60"/>
      <c r="AS25" s="59"/>
      <c r="AT25" s="60"/>
      <c r="AU25" s="60"/>
      <c r="AV25" s="59"/>
    </row>
    <row r="26" ht="15.75" customHeight="1">
      <c r="A26" s="55"/>
      <c r="B26" s="55"/>
      <c r="C26" s="55"/>
      <c r="D26" s="55"/>
      <c r="E26" s="58"/>
      <c r="F26" s="58"/>
      <c r="G26" s="55"/>
      <c r="H26" s="55"/>
      <c r="I26" s="55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5"/>
      <c r="AB26" s="55"/>
      <c r="AC26" s="55"/>
      <c r="AD26" s="61"/>
      <c r="AE26" s="59"/>
      <c r="AF26" s="55"/>
      <c r="AG26" s="55"/>
      <c r="AH26" s="60"/>
      <c r="AI26" s="60"/>
      <c r="AJ26" s="55"/>
      <c r="AK26" s="55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59"/>
    </row>
    <row r="27" ht="15.75" customHeight="1">
      <c r="A27" s="55"/>
      <c r="B27" s="55"/>
      <c r="C27" s="55"/>
      <c r="D27" s="55"/>
      <c r="E27" s="58"/>
      <c r="F27" s="58"/>
      <c r="G27" s="55"/>
      <c r="H27" s="55"/>
      <c r="I27" s="55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60"/>
      <c r="AB27" s="55"/>
      <c r="AC27" s="55"/>
      <c r="AD27" s="61"/>
      <c r="AE27" s="59"/>
      <c r="AF27" s="60"/>
      <c r="AG27" s="55"/>
      <c r="AH27" s="60"/>
      <c r="AI27" s="60"/>
      <c r="AJ27" s="55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59"/>
    </row>
    <row r="28" ht="15.75" customHeight="1">
      <c r="A28" s="55"/>
      <c r="B28" s="55"/>
      <c r="C28" s="55"/>
      <c r="D28" s="55"/>
      <c r="E28" s="58"/>
      <c r="F28" s="58"/>
      <c r="G28" s="55"/>
      <c r="H28" s="55"/>
      <c r="I28" s="55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5"/>
      <c r="AB28" s="55"/>
      <c r="AC28" s="55"/>
      <c r="AD28" s="61"/>
      <c r="AE28" s="59"/>
      <c r="AF28" s="60"/>
      <c r="AG28" s="55"/>
      <c r="AH28" s="65"/>
      <c r="AI28" s="61"/>
      <c r="AJ28" s="55"/>
      <c r="AK28" s="55"/>
      <c r="AL28" s="60"/>
      <c r="AM28" s="60"/>
      <c r="AN28" s="60"/>
      <c r="AO28" s="59"/>
      <c r="AP28" s="59"/>
      <c r="AQ28" s="59"/>
      <c r="AR28" s="60"/>
      <c r="AS28" s="59"/>
      <c r="AT28" s="60"/>
      <c r="AU28" s="60"/>
      <c r="AV28" s="59"/>
    </row>
    <row r="29" ht="15.75" customHeight="1">
      <c r="A29" s="55"/>
      <c r="B29" s="55"/>
      <c r="C29" s="55"/>
      <c r="D29" s="55"/>
      <c r="E29" s="58"/>
      <c r="F29" s="58"/>
      <c r="G29" s="55"/>
      <c r="H29" s="55"/>
      <c r="I29" s="55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5"/>
      <c r="AB29" s="55"/>
      <c r="AC29" s="55"/>
      <c r="AD29" s="61"/>
      <c r="AE29" s="59"/>
      <c r="AF29" s="60"/>
      <c r="AG29" s="55"/>
      <c r="AH29" s="65"/>
      <c r="AI29" s="61"/>
      <c r="AJ29" s="55"/>
      <c r="AK29" s="55"/>
      <c r="AM29" s="60"/>
      <c r="AN29" s="60"/>
      <c r="AO29" s="59"/>
      <c r="AP29" s="59"/>
      <c r="AQ29" s="59"/>
      <c r="AR29" s="60"/>
      <c r="AS29" s="59"/>
      <c r="AT29" s="60"/>
      <c r="AU29" s="60"/>
      <c r="AV29" s="59"/>
    </row>
    <row r="30" ht="15.75" customHeight="1">
      <c r="A30" s="55"/>
      <c r="B30" s="55"/>
      <c r="C30" s="55"/>
      <c r="D30" s="55"/>
      <c r="E30" s="58"/>
      <c r="F30" s="58"/>
      <c r="G30" s="55"/>
      <c r="H30" s="55"/>
      <c r="I30" s="55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5"/>
      <c r="AB30" s="55"/>
      <c r="AC30" s="55"/>
      <c r="AD30" s="61"/>
      <c r="AE30" s="59"/>
      <c r="AF30" s="60"/>
      <c r="AG30" s="55"/>
      <c r="AH30" s="65"/>
      <c r="AI30" s="61"/>
      <c r="AJ30" s="55"/>
      <c r="AK30" s="60"/>
      <c r="AL30" s="60"/>
      <c r="AM30" s="60"/>
      <c r="AN30" s="60"/>
      <c r="AO30" s="59"/>
      <c r="AP30" s="59"/>
      <c r="AQ30" s="59"/>
      <c r="AR30" s="60"/>
      <c r="AS30" s="59"/>
      <c r="AT30" s="60"/>
      <c r="AU30" s="60"/>
      <c r="AV30" s="59"/>
    </row>
    <row r="31" ht="15.75" customHeight="1">
      <c r="A31" s="55"/>
      <c r="B31" s="55"/>
      <c r="C31" s="55"/>
      <c r="D31" s="55"/>
      <c r="E31" s="58"/>
      <c r="F31" s="58"/>
      <c r="G31" s="55"/>
      <c r="H31" s="55"/>
      <c r="I31" s="55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5"/>
      <c r="AB31" s="55"/>
      <c r="AC31" s="55"/>
      <c r="AD31" s="61"/>
      <c r="AE31" s="59"/>
      <c r="AF31" s="60"/>
      <c r="AG31" s="55"/>
      <c r="AH31" s="65"/>
      <c r="AI31" s="61"/>
      <c r="AJ31" s="55"/>
      <c r="AK31" s="55"/>
      <c r="AL31" s="60"/>
      <c r="AM31" s="60"/>
      <c r="AN31" s="60"/>
      <c r="AO31" s="59"/>
      <c r="AP31" s="59"/>
      <c r="AQ31" s="59"/>
      <c r="AR31" s="60"/>
      <c r="AS31" s="59"/>
      <c r="AT31" s="60"/>
      <c r="AU31" s="60"/>
      <c r="AV31" s="59"/>
    </row>
    <row r="32" ht="15.75" customHeight="1">
      <c r="A32" s="55"/>
      <c r="B32" s="55"/>
      <c r="C32" s="55"/>
      <c r="D32" s="55"/>
      <c r="E32" s="58"/>
      <c r="F32" s="58"/>
      <c r="G32" s="55"/>
      <c r="H32" s="55"/>
      <c r="I32" s="55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60"/>
      <c r="AB32" s="55"/>
      <c r="AC32" s="55"/>
      <c r="AD32" s="67"/>
      <c r="AE32" s="59"/>
      <c r="AF32" s="55"/>
      <c r="AG32" s="55"/>
      <c r="AH32" s="60"/>
      <c r="AI32" s="60"/>
      <c r="AJ32" s="55"/>
      <c r="AL32" s="55"/>
      <c r="AM32" s="55"/>
      <c r="AN32" s="55"/>
      <c r="AP32" s="60"/>
      <c r="AQ32" s="60"/>
      <c r="AR32" s="60"/>
      <c r="AS32" s="60"/>
      <c r="AT32" s="60"/>
      <c r="AU32" s="60"/>
      <c r="AV32" s="59"/>
    </row>
    <row r="33" ht="15.75" customHeight="1">
      <c r="A33" s="55"/>
      <c r="B33" s="55"/>
      <c r="C33" s="55"/>
      <c r="D33" s="55"/>
      <c r="E33" s="58"/>
      <c r="F33" s="58"/>
      <c r="G33" s="55"/>
      <c r="H33" s="55"/>
      <c r="I33" s="55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60"/>
      <c r="AB33" s="55"/>
      <c r="AC33" s="55"/>
      <c r="AD33" s="67"/>
      <c r="AE33" s="59"/>
      <c r="AF33" s="60"/>
      <c r="AG33" s="55"/>
      <c r="AH33" s="60"/>
      <c r="AI33" s="60"/>
      <c r="AJ33" s="55"/>
      <c r="AK33" s="60"/>
      <c r="AL33" s="55"/>
      <c r="AM33" s="55"/>
      <c r="AN33" s="55"/>
      <c r="AP33" s="60"/>
      <c r="AQ33" s="60"/>
      <c r="AR33" s="60"/>
      <c r="AS33" s="60"/>
      <c r="AT33" s="60"/>
      <c r="AU33" s="60"/>
      <c r="AV33" s="59"/>
    </row>
    <row r="34" ht="15.75" customHeight="1">
      <c r="A34" s="55"/>
      <c r="B34" s="55"/>
      <c r="C34" s="55"/>
      <c r="D34" s="55"/>
      <c r="E34" s="58"/>
      <c r="F34" s="58"/>
      <c r="G34" s="55"/>
      <c r="H34" s="55"/>
      <c r="I34" s="55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5"/>
      <c r="AB34" s="55"/>
      <c r="AC34" s="55"/>
      <c r="AD34" s="61"/>
      <c r="AE34" s="59"/>
      <c r="AF34" s="60"/>
      <c r="AG34" s="55"/>
      <c r="AH34" s="65"/>
      <c r="AI34" s="67"/>
      <c r="AJ34" s="55"/>
      <c r="AK34" s="55"/>
      <c r="AL34" s="60"/>
      <c r="AM34" s="60"/>
      <c r="AN34" s="60"/>
      <c r="AO34" s="59"/>
      <c r="AP34" s="59"/>
      <c r="AQ34" s="59"/>
      <c r="AR34" s="60"/>
      <c r="AS34" s="59"/>
      <c r="AT34" s="60"/>
      <c r="AU34" s="60"/>
      <c r="AV34" s="59"/>
    </row>
    <row r="35" ht="15.75" customHeight="1">
      <c r="A35" s="55"/>
      <c r="B35" s="55"/>
      <c r="C35" s="55"/>
      <c r="D35" s="55"/>
      <c r="E35" s="58"/>
      <c r="F35" s="58"/>
      <c r="G35" s="55"/>
      <c r="H35" s="55"/>
      <c r="I35" s="55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5"/>
      <c r="AB35" s="55"/>
      <c r="AC35" s="55"/>
      <c r="AD35" s="61"/>
      <c r="AE35" s="59"/>
      <c r="AF35" s="60"/>
      <c r="AG35" s="55"/>
      <c r="AH35" s="65"/>
      <c r="AI35" s="61"/>
      <c r="AJ35" s="55"/>
      <c r="AK35" s="55"/>
      <c r="AL35" s="60"/>
      <c r="AM35" s="60"/>
      <c r="AN35" s="60"/>
      <c r="AO35" s="59"/>
      <c r="AP35" s="59"/>
      <c r="AQ35" s="59"/>
      <c r="AR35" s="60"/>
      <c r="AS35" s="59"/>
      <c r="AT35" s="60"/>
      <c r="AU35" s="60"/>
      <c r="AV35" s="59"/>
    </row>
    <row r="36" ht="15.75" customHeight="1">
      <c r="A36" s="55"/>
      <c r="B36" s="55"/>
      <c r="C36" s="55"/>
      <c r="D36" s="55"/>
      <c r="E36" s="58"/>
      <c r="F36" s="58"/>
      <c r="G36" s="55"/>
      <c r="H36" s="55"/>
      <c r="I36" s="55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60"/>
      <c r="AB36" s="55"/>
      <c r="AC36" s="55"/>
      <c r="AD36" s="61"/>
      <c r="AE36" s="59"/>
      <c r="AF36" s="60"/>
      <c r="AG36" s="55"/>
      <c r="AH36" s="60"/>
      <c r="AI36" s="60"/>
      <c r="AJ36" s="55"/>
      <c r="AL36" s="55"/>
      <c r="AM36" s="55"/>
      <c r="AN36" s="55"/>
      <c r="AP36" s="60"/>
      <c r="AQ36" s="60"/>
      <c r="AR36" s="60"/>
      <c r="AS36" s="60"/>
      <c r="AT36" s="60"/>
      <c r="AU36" s="60"/>
      <c r="AV36" s="59"/>
    </row>
    <row r="37" ht="15.75" customHeight="1">
      <c r="A37" s="55"/>
      <c r="B37" s="55"/>
      <c r="C37" s="55"/>
      <c r="D37" s="55"/>
      <c r="E37" s="58"/>
      <c r="F37" s="58"/>
      <c r="G37" s="55"/>
      <c r="H37" s="55"/>
      <c r="I37" s="55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60"/>
      <c r="AB37" s="55"/>
      <c r="AC37" s="55"/>
      <c r="AD37" s="61"/>
      <c r="AE37" s="59"/>
      <c r="AF37" s="60"/>
      <c r="AG37" s="55"/>
      <c r="AH37" s="60"/>
      <c r="AI37" s="60"/>
      <c r="AJ37" s="55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59"/>
    </row>
    <row r="38" ht="15.75" customHeight="1">
      <c r="A38" s="55"/>
      <c r="B38" s="55"/>
      <c r="C38" s="55"/>
      <c r="D38" s="55"/>
      <c r="E38" s="58"/>
      <c r="F38" s="58"/>
      <c r="G38" s="55"/>
      <c r="H38" s="55"/>
      <c r="I38" s="55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5"/>
      <c r="AB38" s="55"/>
      <c r="AC38" s="55"/>
      <c r="AD38" s="61"/>
      <c r="AE38" s="59"/>
      <c r="AF38" s="60"/>
      <c r="AG38" s="55"/>
      <c r="AH38" s="65"/>
      <c r="AI38" s="61"/>
      <c r="AJ38" s="55"/>
      <c r="AK38" s="55"/>
      <c r="AL38" s="60"/>
      <c r="AM38" s="60"/>
      <c r="AN38" s="60"/>
      <c r="AO38" s="59"/>
      <c r="AP38" s="59"/>
      <c r="AQ38" s="59"/>
      <c r="AR38" s="60"/>
      <c r="AS38" s="59"/>
      <c r="AT38" s="60"/>
      <c r="AU38" s="60"/>
      <c r="AV38" s="59"/>
    </row>
    <row r="39" ht="15.75" customHeight="1">
      <c r="A39" s="55"/>
      <c r="B39" s="55"/>
      <c r="C39" s="55"/>
      <c r="D39" s="55"/>
      <c r="E39" s="58"/>
      <c r="F39" s="58"/>
      <c r="G39" s="55"/>
      <c r="H39" s="55"/>
      <c r="I39" s="55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5"/>
      <c r="AB39" s="55"/>
      <c r="AC39" s="55"/>
      <c r="AD39" s="61"/>
      <c r="AE39" s="59"/>
      <c r="AF39" s="60"/>
      <c r="AG39" s="55"/>
      <c r="AH39" s="65"/>
      <c r="AI39" s="67"/>
      <c r="AJ39" s="55"/>
      <c r="AK39" s="60"/>
      <c r="AL39" s="60"/>
      <c r="AM39" s="60"/>
      <c r="AN39" s="60"/>
      <c r="AO39" s="59"/>
      <c r="AP39" s="59"/>
      <c r="AQ39" s="59"/>
      <c r="AR39" s="60"/>
      <c r="AS39" s="59"/>
      <c r="AT39" s="60"/>
      <c r="AU39" s="60"/>
      <c r="AV39" s="59"/>
    </row>
    <row r="40" ht="15.75" customHeight="1">
      <c r="A40" s="55"/>
      <c r="B40" s="55"/>
      <c r="C40" s="55"/>
      <c r="D40" s="55"/>
      <c r="E40" s="58"/>
      <c r="F40" s="58"/>
      <c r="G40" s="55"/>
      <c r="H40" s="55"/>
      <c r="I40" s="55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5"/>
      <c r="AB40" s="55"/>
      <c r="AC40" s="55"/>
      <c r="AD40" s="61"/>
      <c r="AE40" s="59"/>
      <c r="AF40" s="60"/>
      <c r="AG40" s="55"/>
      <c r="AH40" s="65"/>
      <c r="AI40" s="67"/>
      <c r="AJ40" s="55"/>
      <c r="AK40" s="55"/>
      <c r="AL40" s="60"/>
      <c r="AM40" s="60"/>
      <c r="AN40" s="60"/>
      <c r="AO40" s="59"/>
      <c r="AP40" s="59"/>
      <c r="AQ40" s="59"/>
      <c r="AR40" s="60"/>
      <c r="AS40" s="59"/>
      <c r="AT40" s="60"/>
      <c r="AU40" s="60"/>
      <c r="AV40" s="59"/>
    </row>
    <row r="41" ht="15.75" customHeight="1">
      <c r="A41" s="55"/>
      <c r="B41" s="55"/>
      <c r="C41" s="55"/>
      <c r="D41" s="55"/>
      <c r="E41" s="58"/>
      <c r="F41" s="58"/>
      <c r="G41" s="55"/>
      <c r="H41" s="55"/>
      <c r="I41" s="55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5"/>
      <c r="AB41" s="55"/>
      <c r="AC41" s="55"/>
      <c r="AD41" s="61"/>
      <c r="AE41" s="59"/>
      <c r="AF41" s="60"/>
      <c r="AG41" s="55"/>
      <c r="AH41" s="65"/>
      <c r="AI41" s="67"/>
      <c r="AJ41" s="55"/>
      <c r="AK41" s="55"/>
      <c r="AM41" s="60"/>
      <c r="AN41" s="60"/>
      <c r="AO41" s="59"/>
      <c r="AP41" s="59"/>
      <c r="AQ41" s="59"/>
      <c r="AR41" s="60"/>
      <c r="AS41" s="59"/>
      <c r="AT41" s="60"/>
      <c r="AU41" s="60"/>
      <c r="AV41" s="59"/>
    </row>
    <row r="42" ht="15.75" customHeight="1">
      <c r="A42" s="55"/>
      <c r="B42" s="55"/>
      <c r="C42" s="55"/>
      <c r="D42" s="55"/>
      <c r="E42" s="58"/>
      <c r="F42" s="58"/>
      <c r="G42" s="55"/>
      <c r="H42" s="55"/>
      <c r="I42" s="55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5"/>
      <c r="AB42" s="55"/>
      <c r="AC42" s="55"/>
      <c r="AD42" s="61"/>
      <c r="AE42" s="59"/>
      <c r="AF42" s="60"/>
      <c r="AG42" s="55"/>
      <c r="AH42" s="65"/>
      <c r="AI42" s="61"/>
      <c r="AJ42" s="55"/>
      <c r="AK42" s="55"/>
      <c r="AL42" s="60"/>
      <c r="AM42" s="60"/>
      <c r="AN42" s="60"/>
      <c r="AO42" s="59"/>
      <c r="AP42" s="59"/>
      <c r="AQ42" s="59"/>
      <c r="AR42" s="60"/>
      <c r="AS42" s="59"/>
      <c r="AT42" s="60"/>
      <c r="AU42" s="60"/>
      <c r="AV42" s="59"/>
    </row>
    <row r="43" ht="15.75" customHeight="1">
      <c r="A43" s="55"/>
      <c r="B43" s="55"/>
      <c r="C43" s="55"/>
      <c r="D43" s="55"/>
      <c r="E43" s="58"/>
      <c r="F43" s="58"/>
      <c r="G43" s="55"/>
      <c r="H43" s="55"/>
      <c r="I43" s="55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5"/>
      <c r="AB43" s="55"/>
      <c r="AC43" s="55"/>
      <c r="AD43" s="61"/>
      <c r="AE43" s="59"/>
      <c r="AF43" s="60"/>
      <c r="AG43" s="55"/>
      <c r="AH43" s="65"/>
      <c r="AI43" s="78"/>
      <c r="AJ43" s="55"/>
      <c r="AK43" s="55"/>
      <c r="AM43" s="60"/>
      <c r="AN43" s="60"/>
      <c r="AO43" s="59"/>
      <c r="AP43" s="59"/>
      <c r="AQ43" s="59"/>
      <c r="AR43" s="60"/>
      <c r="AS43" s="59"/>
      <c r="AT43" s="60"/>
      <c r="AU43" s="60"/>
      <c r="AV43" s="59"/>
    </row>
    <row r="44" ht="15.75" customHeight="1">
      <c r="A44" s="55"/>
      <c r="B44" s="55"/>
      <c r="C44" s="55"/>
      <c r="D44" s="55"/>
      <c r="E44" s="58"/>
      <c r="F44" s="58"/>
      <c r="G44" s="55"/>
      <c r="H44" s="55"/>
      <c r="I44" s="55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60"/>
      <c r="AB44" s="55"/>
      <c r="AC44" s="55"/>
      <c r="AD44" s="61"/>
      <c r="AE44" s="59"/>
      <c r="AF44" s="60"/>
      <c r="AG44" s="55"/>
      <c r="AH44" s="60"/>
      <c r="AI44" s="60"/>
      <c r="AJ44" s="55"/>
      <c r="AL44" s="55"/>
      <c r="AM44" s="55"/>
      <c r="AN44" s="55"/>
      <c r="AP44" s="60"/>
      <c r="AQ44" s="60"/>
      <c r="AR44" s="60"/>
      <c r="AS44" s="60"/>
      <c r="AT44" s="60"/>
      <c r="AU44" s="60"/>
      <c r="AV44" s="59"/>
    </row>
    <row r="45" ht="15.75" customHeight="1">
      <c r="A45" s="55"/>
      <c r="B45" s="55"/>
      <c r="C45" s="55"/>
      <c r="D45" s="55"/>
      <c r="E45" s="58"/>
      <c r="F45" s="58"/>
      <c r="G45" s="55"/>
      <c r="H45" s="55"/>
      <c r="I45" s="55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5"/>
      <c r="AB45" s="55"/>
      <c r="AC45" s="55"/>
      <c r="AD45" s="61"/>
      <c r="AE45" s="59"/>
      <c r="AF45" s="60"/>
      <c r="AG45" s="55"/>
      <c r="AH45" s="65"/>
      <c r="AI45" s="78"/>
      <c r="AJ45" s="55"/>
      <c r="AK45" s="55"/>
      <c r="AL45" s="60"/>
      <c r="AM45" s="60"/>
      <c r="AN45" s="60"/>
      <c r="AO45" s="59"/>
      <c r="AP45" s="59"/>
      <c r="AQ45" s="59"/>
      <c r="AR45" s="60"/>
      <c r="AS45" s="59"/>
      <c r="AT45" s="60"/>
      <c r="AU45" s="60"/>
      <c r="AV45" s="59"/>
    </row>
    <row r="46" ht="15.75" customHeight="1">
      <c r="A46" s="55"/>
      <c r="B46" s="55"/>
      <c r="C46" s="55"/>
      <c r="D46" s="55"/>
      <c r="E46" s="58"/>
      <c r="F46" s="58"/>
      <c r="G46" s="55"/>
      <c r="H46" s="55"/>
      <c r="I46" s="55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5"/>
      <c r="AB46" s="55"/>
      <c r="AC46" s="55"/>
      <c r="AD46" s="61"/>
      <c r="AE46" s="59"/>
      <c r="AF46" s="60"/>
      <c r="AG46" s="55"/>
      <c r="AH46" s="65"/>
      <c r="AI46" s="78"/>
      <c r="AJ46" s="55"/>
      <c r="AK46" s="55"/>
      <c r="AL46" s="60"/>
      <c r="AM46" s="60"/>
      <c r="AN46" s="60"/>
      <c r="AO46" s="59"/>
      <c r="AP46" s="59"/>
      <c r="AQ46" s="59"/>
      <c r="AR46" s="60"/>
      <c r="AS46" s="59"/>
      <c r="AT46" s="60"/>
      <c r="AU46" s="60"/>
      <c r="AV46" s="59"/>
    </row>
    <row r="47" ht="15.75" customHeight="1">
      <c r="A47" s="55"/>
      <c r="B47" s="55"/>
      <c r="C47" s="55"/>
      <c r="D47" s="55"/>
      <c r="E47" s="58"/>
      <c r="F47" s="58"/>
      <c r="G47" s="55"/>
      <c r="H47" s="55"/>
      <c r="I47" s="55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5"/>
      <c r="AB47" s="55"/>
      <c r="AC47" s="55"/>
      <c r="AD47" s="61"/>
      <c r="AE47" s="59"/>
      <c r="AF47" s="60"/>
      <c r="AG47" s="55"/>
      <c r="AH47" s="65"/>
      <c r="AI47" s="78"/>
      <c r="AJ47" s="55"/>
      <c r="AK47" s="60"/>
      <c r="AL47" s="60"/>
      <c r="AM47" s="60"/>
      <c r="AN47" s="60"/>
      <c r="AO47" s="59"/>
      <c r="AP47" s="59"/>
      <c r="AQ47" s="59"/>
      <c r="AR47" s="60"/>
      <c r="AS47" s="59"/>
      <c r="AT47" s="60"/>
      <c r="AU47" s="60"/>
      <c r="AV47" s="59"/>
    </row>
    <row r="48" ht="15.75" customHeight="1">
      <c r="A48" s="55"/>
      <c r="B48" s="55"/>
      <c r="C48" s="55"/>
      <c r="D48" s="55"/>
      <c r="E48" s="58"/>
      <c r="F48" s="58"/>
      <c r="G48" s="55"/>
      <c r="H48" s="55"/>
      <c r="I48" s="55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5"/>
      <c r="AB48" s="55"/>
      <c r="AC48" s="55"/>
      <c r="AD48" s="61"/>
      <c r="AE48" s="59"/>
      <c r="AF48" s="60"/>
      <c r="AG48" s="55"/>
      <c r="AH48" s="65"/>
      <c r="AI48" s="78"/>
      <c r="AJ48" s="55"/>
      <c r="AK48" s="55"/>
      <c r="AL48" s="60"/>
      <c r="AM48" s="60"/>
      <c r="AN48" s="60"/>
      <c r="AO48" s="59"/>
      <c r="AP48" s="59"/>
      <c r="AQ48" s="59"/>
      <c r="AR48" s="60"/>
      <c r="AS48" s="59"/>
      <c r="AT48" s="60"/>
      <c r="AU48" s="60"/>
      <c r="AV48" s="59"/>
    </row>
    <row r="49" ht="15.75" customHeight="1">
      <c r="A49" s="55"/>
      <c r="B49" s="55"/>
      <c r="C49" s="55"/>
      <c r="D49" s="55"/>
      <c r="E49" s="58"/>
      <c r="F49" s="58"/>
      <c r="G49" s="55"/>
      <c r="H49" s="55"/>
      <c r="I49" s="55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5"/>
      <c r="AB49" s="55"/>
      <c r="AC49" s="55"/>
      <c r="AD49" s="61"/>
      <c r="AE49" s="59"/>
      <c r="AF49" s="60"/>
      <c r="AG49" s="55"/>
      <c r="AH49" s="65"/>
      <c r="AI49" s="78"/>
      <c r="AJ49" s="55"/>
      <c r="AK49" s="55"/>
      <c r="AL49" s="60"/>
      <c r="AM49" s="60"/>
      <c r="AN49" s="60"/>
      <c r="AO49" s="59"/>
      <c r="AP49" s="59"/>
      <c r="AQ49" s="59"/>
      <c r="AR49" s="60"/>
      <c r="AS49" s="59"/>
      <c r="AT49" s="60"/>
      <c r="AU49" s="60"/>
      <c r="AV49" s="59"/>
    </row>
    <row r="50" ht="15.75" customHeight="1">
      <c r="A50" s="55"/>
      <c r="B50" s="55"/>
      <c r="C50" s="55"/>
      <c r="D50" s="55"/>
      <c r="E50" s="83"/>
      <c r="F50" s="83"/>
      <c r="G50" s="55"/>
      <c r="H50" s="55"/>
      <c r="I50" s="55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5"/>
      <c r="AB50" s="55"/>
      <c r="AC50" s="55"/>
      <c r="AD50" s="78"/>
      <c r="AE50" s="59"/>
      <c r="AF50" s="60"/>
      <c r="AG50" s="55"/>
      <c r="AH50" s="65"/>
      <c r="AI50" s="78"/>
      <c r="AJ50" s="55"/>
      <c r="AK50" s="60"/>
      <c r="AL50" s="60"/>
      <c r="AM50" s="60"/>
      <c r="AN50" s="60"/>
      <c r="AO50" s="59"/>
      <c r="AP50" s="59"/>
      <c r="AQ50" s="59"/>
      <c r="AR50" s="60"/>
      <c r="AS50" s="59"/>
      <c r="AT50" s="60"/>
      <c r="AU50" s="60"/>
      <c r="AV50" s="59"/>
    </row>
    <row r="51" ht="15.75" customHeight="1">
      <c r="A51" s="55"/>
      <c r="B51" s="55"/>
      <c r="C51" s="55"/>
      <c r="D51" s="55"/>
      <c r="E51" s="83"/>
      <c r="F51" s="83"/>
      <c r="G51" s="55"/>
      <c r="H51" s="55"/>
      <c r="I51" s="55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5"/>
      <c r="AB51" s="55"/>
      <c r="AC51" s="55"/>
      <c r="AD51" s="78"/>
      <c r="AE51" s="59"/>
      <c r="AF51" s="60"/>
      <c r="AG51" s="55"/>
      <c r="AH51" s="65"/>
      <c r="AI51" s="78"/>
      <c r="AJ51" s="55"/>
      <c r="AK51" s="60"/>
      <c r="AL51" s="60"/>
      <c r="AM51" s="60"/>
      <c r="AN51" s="60"/>
      <c r="AO51" s="59"/>
      <c r="AP51" s="59"/>
      <c r="AQ51" s="59"/>
      <c r="AR51" s="60"/>
      <c r="AS51" s="59"/>
      <c r="AT51" s="60"/>
      <c r="AU51" s="60"/>
      <c r="AV51" s="59"/>
    </row>
    <row r="52" ht="15.75" customHeight="1">
      <c r="A52" s="55"/>
      <c r="B52" s="55"/>
      <c r="C52" s="55"/>
      <c r="D52" s="55"/>
      <c r="E52" s="58"/>
      <c r="F52" s="58"/>
      <c r="G52" s="55"/>
      <c r="H52" s="55"/>
      <c r="I52" s="55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5"/>
      <c r="AB52" s="55"/>
      <c r="AC52" s="55"/>
      <c r="AD52" s="61"/>
      <c r="AE52" s="59"/>
      <c r="AF52" s="60"/>
      <c r="AG52" s="55"/>
      <c r="AH52" s="65"/>
      <c r="AI52" s="78"/>
      <c r="AJ52" s="55"/>
      <c r="AK52" s="60"/>
      <c r="AL52" s="60"/>
      <c r="AM52" s="60"/>
      <c r="AN52" s="60"/>
      <c r="AO52" s="59"/>
      <c r="AP52" s="59"/>
      <c r="AQ52" s="59"/>
      <c r="AR52" s="60"/>
      <c r="AS52" s="59"/>
      <c r="AT52" s="60"/>
      <c r="AU52" s="60"/>
      <c r="AV52" s="59"/>
    </row>
    <row r="53" ht="15.75" customHeight="1">
      <c r="A53" s="55"/>
      <c r="B53" s="55"/>
      <c r="C53" s="55"/>
      <c r="D53" s="55"/>
      <c r="E53" s="83"/>
      <c r="F53" s="83"/>
      <c r="G53" s="55"/>
      <c r="H53" s="55"/>
      <c r="I53" s="55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5"/>
      <c r="AB53" s="55"/>
      <c r="AC53" s="55"/>
      <c r="AD53" s="78"/>
      <c r="AE53" s="59"/>
      <c r="AF53" s="60"/>
      <c r="AG53" s="55"/>
      <c r="AH53" s="65"/>
      <c r="AI53" s="78"/>
      <c r="AJ53" s="55"/>
      <c r="AK53" s="55"/>
      <c r="AM53" s="60"/>
      <c r="AN53" s="60"/>
      <c r="AO53" s="59"/>
      <c r="AP53" s="59"/>
      <c r="AQ53" s="59"/>
      <c r="AR53" s="60"/>
      <c r="AS53" s="59"/>
      <c r="AT53" s="60"/>
      <c r="AU53" s="60"/>
      <c r="AV53" s="59"/>
    </row>
    <row r="54" ht="15.75" customHeight="1">
      <c r="A54" s="55"/>
      <c r="B54" s="55"/>
      <c r="C54" s="55"/>
      <c r="D54" s="55"/>
      <c r="E54" s="83"/>
      <c r="F54" s="83"/>
      <c r="G54" s="55"/>
      <c r="H54" s="55"/>
      <c r="I54" s="55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5"/>
      <c r="AB54" s="55"/>
      <c r="AC54" s="55"/>
      <c r="AD54" s="78"/>
      <c r="AE54" s="59"/>
      <c r="AF54" s="60"/>
      <c r="AG54" s="55"/>
      <c r="AH54" s="65"/>
      <c r="AI54" s="78"/>
      <c r="AJ54" s="55"/>
      <c r="AK54" s="55"/>
      <c r="AL54" s="60"/>
      <c r="AM54" s="60"/>
      <c r="AN54" s="60"/>
      <c r="AO54" s="59"/>
      <c r="AP54" s="59"/>
      <c r="AQ54" s="59"/>
      <c r="AR54" s="60"/>
      <c r="AS54" s="59"/>
      <c r="AT54" s="60"/>
      <c r="AU54" s="60"/>
      <c r="AV54" s="59"/>
    </row>
    <row r="55" ht="15.75" customHeight="1">
      <c r="A55" s="55"/>
      <c r="B55" s="55"/>
      <c r="C55" s="55"/>
      <c r="D55" s="55"/>
      <c r="E55" s="83"/>
      <c r="F55" s="83"/>
      <c r="G55" s="55"/>
      <c r="H55" s="55"/>
      <c r="I55" s="55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5"/>
      <c r="AB55" s="55"/>
      <c r="AC55" s="55"/>
      <c r="AD55" s="78"/>
      <c r="AE55" s="59"/>
      <c r="AF55" s="60"/>
      <c r="AG55" s="55"/>
      <c r="AH55" s="65"/>
      <c r="AI55" s="78"/>
      <c r="AJ55" s="55"/>
      <c r="AK55" s="55"/>
      <c r="AL55" s="60"/>
      <c r="AM55" s="60"/>
      <c r="AN55" s="60"/>
      <c r="AO55" s="59"/>
      <c r="AP55" s="59"/>
      <c r="AQ55" s="59"/>
      <c r="AR55" s="60"/>
      <c r="AS55" s="59"/>
      <c r="AT55" s="60"/>
      <c r="AU55" s="60"/>
      <c r="AV55" s="59"/>
    </row>
    <row r="56" ht="15.75" customHeight="1">
      <c r="A56" s="55"/>
      <c r="B56" s="55"/>
      <c r="C56" s="55"/>
      <c r="D56" s="55"/>
      <c r="E56" s="83"/>
      <c r="F56" s="83"/>
      <c r="G56" s="55"/>
      <c r="H56" s="55"/>
      <c r="I56" s="55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5"/>
      <c r="AB56" s="55"/>
      <c r="AC56" s="55"/>
      <c r="AD56" s="78"/>
      <c r="AE56" s="59"/>
      <c r="AF56" s="60"/>
      <c r="AG56" s="55"/>
      <c r="AH56" s="65"/>
      <c r="AI56" s="78"/>
      <c r="AJ56" s="55"/>
      <c r="AK56" s="55"/>
      <c r="AM56" s="60"/>
      <c r="AN56" s="60"/>
      <c r="AO56" s="59"/>
      <c r="AP56" s="59"/>
      <c r="AQ56" s="59"/>
      <c r="AR56" s="60"/>
      <c r="AS56" s="59"/>
      <c r="AT56" s="60"/>
      <c r="AU56" s="60"/>
      <c r="AV56" s="59"/>
    </row>
    <row r="57" ht="15.75" customHeight="1">
      <c r="A57" s="55"/>
      <c r="B57" s="55"/>
      <c r="C57" s="55"/>
      <c r="D57" s="55"/>
      <c r="E57" s="83"/>
      <c r="F57" s="83"/>
      <c r="G57" s="55"/>
      <c r="H57" s="55"/>
      <c r="I57" s="55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5"/>
      <c r="AB57" s="55"/>
      <c r="AC57" s="55"/>
      <c r="AD57" s="78"/>
      <c r="AE57" s="59"/>
      <c r="AF57" s="60"/>
      <c r="AG57" s="55"/>
      <c r="AH57" s="65"/>
      <c r="AI57" s="78"/>
      <c r="AJ57" s="55"/>
      <c r="AK57" s="55"/>
      <c r="AL57" s="60"/>
      <c r="AM57" s="60"/>
      <c r="AN57" s="60"/>
      <c r="AO57" s="59"/>
      <c r="AP57" s="59"/>
      <c r="AQ57" s="59"/>
      <c r="AR57" s="60"/>
      <c r="AS57" s="59"/>
      <c r="AT57" s="60"/>
      <c r="AU57" s="60"/>
      <c r="AV57" s="59"/>
    </row>
    <row r="58" ht="15.75" customHeight="1">
      <c r="A58" s="55"/>
      <c r="B58" s="55"/>
      <c r="C58" s="55"/>
      <c r="D58" s="55"/>
      <c r="E58" s="83"/>
      <c r="F58" s="83"/>
      <c r="G58" s="55"/>
      <c r="H58" s="55"/>
      <c r="I58" s="55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5"/>
      <c r="AB58" s="55"/>
      <c r="AC58" s="55"/>
      <c r="AD58" s="78"/>
      <c r="AE58" s="59"/>
      <c r="AF58" s="60"/>
      <c r="AG58" s="55"/>
      <c r="AH58" s="65"/>
      <c r="AI58" s="78"/>
      <c r="AJ58" s="55"/>
      <c r="AK58" s="55"/>
      <c r="AM58" s="60"/>
      <c r="AN58" s="60"/>
      <c r="AO58" s="59"/>
      <c r="AP58" s="59"/>
      <c r="AQ58" s="59"/>
      <c r="AR58" s="60"/>
      <c r="AS58" s="59"/>
      <c r="AT58" s="60"/>
      <c r="AU58" s="60"/>
      <c r="AV58" s="59"/>
    </row>
    <row r="59" ht="15.75" customHeight="1">
      <c r="A59" s="55"/>
      <c r="B59" s="55"/>
      <c r="C59" s="55"/>
      <c r="D59" s="55"/>
      <c r="E59" s="83"/>
      <c r="F59" s="83"/>
      <c r="G59" s="55"/>
      <c r="H59" s="55"/>
      <c r="I59" s="55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5"/>
      <c r="AB59" s="55"/>
      <c r="AC59" s="55"/>
      <c r="AD59" s="78"/>
      <c r="AE59" s="59"/>
      <c r="AF59" s="60"/>
      <c r="AG59" s="55"/>
      <c r="AH59" s="65"/>
      <c r="AI59" s="78"/>
      <c r="AJ59" s="55"/>
      <c r="AK59" s="55"/>
      <c r="AL59" s="60"/>
      <c r="AM59" s="60"/>
      <c r="AN59" s="60"/>
      <c r="AO59" s="59"/>
      <c r="AP59" s="59"/>
      <c r="AQ59" s="59"/>
      <c r="AR59" s="60"/>
      <c r="AS59" s="59"/>
      <c r="AT59" s="60"/>
      <c r="AU59" s="60"/>
      <c r="AV59" s="59"/>
    </row>
    <row r="60" ht="15.75" customHeight="1">
      <c r="A60" s="55"/>
      <c r="B60" s="55"/>
      <c r="C60" s="55"/>
      <c r="D60" s="55"/>
      <c r="E60" s="83"/>
      <c r="F60" s="83"/>
      <c r="G60" s="55"/>
      <c r="H60" s="55"/>
      <c r="I60" s="55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5"/>
      <c r="AB60" s="55"/>
      <c r="AC60" s="55"/>
      <c r="AD60" s="78"/>
      <c r="AE60" s="59"/>
      <c r="AF60" s="60"/>
      <c r="AG60" s="55"/>
      <c r="AH60" s="65"/>
      <c r="AI60" s="78"/>
      <c r="AJ60" s="55"/>
      <c r="AK60" s="55"/>
      <c r="AL60" s="60"/>
      <c r="AM60" s="60"/>
      <c r="AN60" s="60"/>
      <c r="AO60" s="59"/>
      <c r="AP60" s="59"/>
      <c r="AQ60" s="59"/>
      <c r="AR60" s="60"/>
      <c r="AS60" s="59"/>
      <c r="AT60" s="60"/>
      <c r="AU60" s="60"/>
      <c r="AV60" s="59"/>
    </row>
    <row r="61" ht="15.75" customHeight="1">
      <c r="A61" s="55"/>
      <c r="B61" s="55"/>
      <c r="C61" s="55"/>
      <c r="D61" s="55"/>
      <c r="E61" s="83"/>
      <c r="F61" s="83"/>
      <c r="G61" s="55"/>
      <c r="H61" s="55"/>
      <c r="I61" s="55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5"/>
      <c r="AB61" s="55"/>
      <c r="AC61" s="55"/>
      <c r="AD61" s="78"/>
      <c r="AE61" s="59"/>
      <c r="AF61" s="60"/>
      <c r="AG61" s="55"/>
      <c r="AH61" s="65"/>
      <c r="AI61" s="78"/>
      <c r="AJ61" s="55"/>
      <c r="AK61" s="55"/>
      <c r="AL61" s="60"/>
      <c r="AM61" s="60"/>
      <c r="AN61" s="60"/>
      <c r="AO61" s="59"/>
      <c r="AP61" s="59"/>
      <c r="AQ61" s="59"/>
      <c r="AR61" s="60"/>
      <c r="AS61" s="59"/>
      <c r="AT61" s="60"/>
      <c r="AU61" s="60"/>
      <c r="AV61" s="59"/>
    </row>
    <row r="62" ht="15.75" customHeight="1">
      <c r="A62" s="55"/>
      <c r="B62" s="55"/>
      <c r="C62" s="55"/>
      <c r="D62" s="55"/>
      <c r="E62" s="58"/>
      <c r="F62" s="58"/>
      <c r="G62" s="55"/>
      <c r="H62" s="55"/>
      <c r="I62" s="55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5"/>
      <c r="AB62" s="55"/>
      <c r="AC62" s="55"/>
      <c r="AD62" s="61"/>
      <c r="AE62" s="59"/>
      <c r="AF62" s="60"/>
      <c r="AG62" s="55"/>
      <c r="AH62" s="65"/>
      <c r="AI62" s="78"/>
      <c r="AJ62" s="55"/>
      <c r="AK62" s="55"/>
      <c r="AL62" s="60"/>
      <c r="AM62" s="60"/>
      <c r="AN62" s="60"/>
      <c r="AO62" s="59"/>
      <c r="AP62" s="59"/>
      <c r="AQ62" s="59"/>
      <c r="AR62" s="60"/>
      <c r="AS62" s="59"/>
      <c r="AT62" s="60"/>
      <c r="AU62" s="60"/>
      <c r="AV62" s="59"/>
    </row>
    <row r="63" ht="15.75" customHeight="1">
      <c r="A63" s="55"/>
      <c r="B63" s="55"/>
      <c r="C63" s="55"/>
      <c r="D63" s="55"/>
      <c r="E63" s="58"/>
      <c r="F63" s="58"/>
      <c r="G63" s="55"/>
      <c r="H63" s="55"/>
      <c r="I63" s="55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60"/>
      <c r="AB63" s="55"/>
      <c r="AC63" s="55"/>
      <c r="AD63" s="61"/>
      <c r="AE63" s="59"/>
      <c r="AF63" s="55"/>
      <c r="AG63" s="55"/>
      <c r="AH63" s="60"/>
      <c r="AI63" s="60"/>
      <c r="AJ63" s="55"/>
      <c r="AL63" s="55"/>
      <c r="AM63" s="55"/>
      <c r="AN63" s="55"/>
      <c r="AP63" s="60"/>
      <c r="AQ63" s="60"/>
      <c r="AR63" s="60"/>
      <c r="AS63" s="60"/>
      <c r="AT63" s="60"/>
      <c r="AU63" s="60"/>
      <c r="AV63" s="59"/>
    </row>
    <row r="64" ht="15.75" customHeight="1">
      <c r="A64" s="55"/>
      <c r="B64" s="55"/>
      <c r="C64" s="55"/>
      <c r="D64" s="55"/>
      <c r="E64" s="83"/>
      <c r="F64" s="83"/>
      <c r="G64" s="55"/>
      <c r="H64" s="55"/>
      <c r="I64" s="55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60"/>
      <c r="AB64" s="55"/>
      <c r="AC64" s="55"/>
      <c r="AD64" s="78"/>
      <c r="AE64" s="59"/>
      <c r="AF64" s="55"/>
      <c r="AG64" s="55"/>
      <c r="AH64" s="60"/>
      <c r="AI64" s="60"/>
      <c r="AJ64" s="55"/>
      <c r="AL64" s="55"/>
      <c r="AM64" s="55"/>
      <c r="AN64" s="55"/>
      <c r="AP64" s="60"/>
      <c r="AQ64" s="60"/>
      <c r="AR64" s="60"/>
      <c r="AS64" s="60"/>
      <c r="AT64" s="60"/>
      <c r="AU64" s="60"/>
      <c r="AV64" s="59"/>
    </row>
    <row r="65" ht="15.75" customHeight="1">
      <c r="A65" s="55"/>
      <c r="B65" s="55"/>
      <c r="C65" s="55"/>
      <c r="D65" s="55"/>
      <c r="E65" s="83"/>
      <c r="F65" s="83"/>
      <c r="G65" s="55"/>
      <c r="H65" s="55"/>
      <c r="I65" s="55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5"/>
      <c r="AB65" s="55"/>
      <c r="AC65" s="55"/>
      <c r="AD65" s="78"/>
      <c r="AE65" s="59"/>
      <c r="AF65" s="60"/>
      <c r="AG65" s="55"/>
      <c r="AH65" s="65"/>
      <c r="AI65" s="78"/>
      <c r="AJ65" s="55"/>
      <c r="AK65" s="55"/>
      <c r="AL65" s="60"/>
      <c r="AM65" s="60"/>
      <c r="AN65" s="60"/>
      <c r="AO65" s="59"/>
      <c r="AP65" s="59"/>
      <c r="AQ65" s="59"/>
      <c r="AR65" s="60"/>
      <c r="AS65" s="59"/>
      <c r="AT65" s="60"/>
      <c r="AU65" s="60"/>
      <c r="AV65" s="59"/>
    </row>
    <row r="66" ht="15.75" customHeight="1">
      <c r="A66" s="55"/>
      <c r="B66" s="55"/>
      <c r="C66" s="55"/>
      <c r="D66" s="55"/>
      <c r="E66" s="83"/>
      <c r="F66" s="83"/>
      <c r="G66" s="55"/>
      <c r="H66" s="55"/>
      <c r="I66" s="55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5"/>
      <c r="AB66" s="55"/>
      <c r="AC66" s="55"/>
      <c r="AD66" s="78"/>
      <c r="AE66" s="59"/>
      <c r="AF66" s="60"/>
      <c r="AG66" s="55"/>
      <c r="AH66" s="65"/>
      <c r="AI66" s="78"/>
      <c r="AJ66" s="55"/>
      <c r="AK66" s="55"/>
      <c r="AL66" s="60"/>
      <c r="AM66" s="60"/>
      <c r="AN66" s="60"/>
      <c r="AO66" s="59"/>
      <c r="AP66" s="59"/>
      <c r="AQ66" s="59"/>
      <c r="AR66" s="60"/>
      <c r="AS66" s="59"/>
      <c r="AT66" s="60"/>
      <c r="AU66" s="60"/>
      <c r="AV66" s="59"/>
    </row>
    <row r="67" ht="15.75" customHeight="1">
      <c r="A67" s="55"/>
      <c r="B67" s="55"/>
      <c r="C67" s="55"/>
      <c r="D67" s="55"/>
      <c r="E67" s="83"/>
      <c r="F67" s="83"/>
      <c r="G67" s="55"/>
      <c r="H67" s="55"/>
      <c r="I67" s="55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5"/>
      <c r="AB67" s="55"/>
      <c r="AC67" s="55"/>
      <c r="AD67" s="78"/>
      <c r="AE67" s="59"/>
      <c r="AF67" s="60"/>
      <c r="AG67" s="55"/>
      <c r="AH67" s="65"/>
      <c r="AI67" s="78"/>
      <c r="AJ67" s="55"/>
      <c r="AK67" s="55"/>
      <c r="AL67" s="60"/>
      <c r="AM67" s="60"/>
      <c r="AN67" s="60"/>
      <c r="AO67" s="59"/>
      <c r="AP67" s="59"/>
      <c r="AQ67" s="59"/>
      <c r="AR67" s="60"/>
      <c r="AS67" s="59"/>
      <c r="AT67" s="60"/>
      <c r="AU67" s="60"/>
      <c r="AV67" s="59"/>
    </row>
    <row r="68" ht="15.75" customHeight="1">
      <c r="A68" s="55"/>
      <c r="B68" s="55"/>
      <c r="C68" s="55"/>
      <c r="D68" s="55"/>
      <c r="E68" s="83"/>
      <c r="F68" s="83"/>
      <c r="G68" s="55"/>
      <c r="H68" s="55"/>
      <c r="I68" s="55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5"/>
      <c r="AB68" s="55"/>
      <c r="AC68" s="55"/>
      <c r="AD68" s="78"/>
      <c r="AE68" s="59"/>
      <c r="AF68" s="60"/>
      <c r="AG68" s="55"/>
      <c r="AH68" s="65"/>
      <c r="AI68" s="78"/>
      <c r="AJ68" s="55"/>
      <c r="AK68" s="55"/>
      <c r="AL68" s="60"/>
      <c r="AM68" s="60"/>
      <c r="AN68" s="60"/>
      <c r="AO68" s="59"/>
      <c r="AP68" s="59"/>
      <c r="AQ68" s="59"/>
      <c r="AR68" s="60"/>
      <c r="AS68" s="59"/>
      <c r="AT68" s="60"/>
      <c r="AU68" s="60"/>
      <c r="AV68" s="59"/>
    </row>
    <row r="69" ht="15.75" customHeight="1">
      <c r="A69" s="55"/>
      <c r="B69" s="55"/>
      <c r="C69" s="55"/>
      <c r="D69" s="55"/>
      <c r="E69" s="83"/>
      <c r="F69" s="83"/>
      <c r="G69" s="55"/>
      <c r="H69" s="55"/>
      <c r="I69" s="55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5"/>
      <c r="AB69" s="55"/>
      <c r="AC69" s="55"/>
      <c r="AD69" s="78"/>
      <c r="AE69" s="59"/>
      <c r="AF69" s="60"/>
      <c r="AG69" s="55"/>
      <c r="AH69" s="65"/>
      <c r="AI69" s="78"/>
      <c r="AJ69" s="55"/>
      <c r="AK69" s="55"/>
      <c r="AM69" s="60"/>
      <c r="AN69" s="60"/>
      <c r="AO69" s="59"/>
      <c r="AP69" s="59"/>
      <c r="AQ69" s="59"/>
      <c r="AR69" s="60"/>
      <c r="AS69" s="59"/>
      <c r="AT69" s="60"/>
      <c r="AU69" s="60"/>
      <c r="AV69" s="59"/>
    </row>
    <row r="70" ht="15.75" customHeight="1">
      <c r="A70" s="55"/>
      <c r="B70" s="55"/>
      <c r="C70" s="55"/>
      <c r="D70" s="55"/>
      <c r="E70" s="83"/>
      <c r="F70" s="83"/>
      <c r="G70" s="55"/>
      <c r="H70" s="55"/>
      <c r="I70" s="55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5"/>
      <c r="AB70" s="55"/>
      <c r="AC70" s="55"/>
      <c r="AD70" s="78"/>
      <c r="AE70" s="59"/>
      <c r="AF70" s="60"/>
      <c r="AG70" s="55"/>
      <c r="AH70" s="65"/>
      <c r="AI70" s="78"/>
      <c r="AJ70" s="55"/>
      <c r="AK70" s="55"/>
      <c r="AL70" s="60"/>
      <c r="AM70" s="60"/>
      <c r="AN70" s="60"/>
      <c r="AO70" s="59"/>
      <c r="AP70" s="59"/>
      <c r="AQ70" s="59"/>
      <c r="AR70" s="60"/>
      <c r="AS70" s="59"/>
      <c r="AT70" s="60"/>
      <c r="AU70" s="60"/>
      <c r="AV70" s="59"/>
    </row>
    <row r="71" ht="15.75" customHeight="1">
      <c r="A71" s="55"/>
      <c r="B71" s="55"/>
      <c r="C71" s="55"/>
      <c r="D71" s="55"/>
      <c r="E71" s="83"/>
      <c r="F71" s="83"/>
      <c r="G71" s="55"/>
      <c r="H71" s="55"/>
      <c r="I71" s="55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5"/>
      <c r="AB71" s="55"/>
      <c r="AC71" s="55"/>
      <c r="AD71" s="78"/>
      <c r="AE71" s="59"/>
      <c r="AF71" s="60"/>
      <c r="AG71" s="55"/>
      <c r="AH71" s="65"/>
      <c r="AI71" s="78"/>
      <c r="AJ71" s="55"/>
      <c r="AK71" s="55"/>
      <c r="AM71" s="60"/>
      <c r="AN71" s="60"/>
      <c r="AO71" s="59"/>
      <c r="AP71" s="59"/>
      <c r="AQ71" s="59"/>
      <c r="AR71" s="60"/>
      <c r="AS71" s="59"/>
      <c r="AT71" s="60"/>
      <c r="AU71" s="60"/>
      <c r="AV71" s="59"/>
    </row>
    <row r="72" ht="15.75" customHeight="1">
      <c r="A72" s="55"/>
      <c r="B72" s="55"/>
      <c r="C72" s="55"/>
      <c r="D72" s="55"/>
      <c r="E72" s="83"/>
      <c r="F72" s="83"/>
      <c r="G72" s="55"/>
      <c r="H72" s="55"/>
      <c r="I72" s="55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60"/>
      <c r="AB72" s="55"/>
      <c r="AC72" s="55"/>
      <c r="AD72" s="78"/>
      <c r="AE72" s="59"/>
      <c r="AF72" s="60"/>
      <c r="AG72" s="55"/>
      <c r="AH72" s="60"/>
      <c r="AI72" s="60"/>
      <c r="AJ72" s="55"/>
      <c r="AL72" s="55"/>
      <c r="AM72" s="55"/>
      <c r="AN72" s="55"/>
      <c r="AP72" s="60"/>
      <c r="AQ72" s="60"/>
      <c r="AR72" s="60"/>
      <c r="AS72" s="60"/>
      <c r="AT72" s="60"/>
      <c r="AU72" s="60"/>
      <c r="AV72" s="59"/>
    </row>
    <row r="73" ht="15.75" customHeight="1">
      <c r="A73" s="55"/>
      <c r="B73" s="55"/>
      <c r="C73" s="55"/>
      <c r="D73" s="55"/>
      <c r="E73" s="83"/>
      <c r="F73" s="83"/>
      <c r="G73" s="55"/>
      <c r="H73" s="55"/>
      <c r="I73" s="55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5"/>
      <c r="AB73" s="55"/>
      <c r="AC73" s="55"/>
      <c r="AD73" s="78"/>
      <c r="AE73" s="59"/>
      <c r="AF73" s="60"/>
      <c r="AG73" s="55"/>
      <c r="AH73" s="65"/>
      <c r="AI73" s="78"/>
      <c r="AJ73" s="55"/>
      <c r="AK73" s="55"/>
      <c r="AM73" s="60"/>
      <c r="AN73" s="60"/>
      <c r="AO73" s="59"/>
      <c r="AP73" s="59"/>
      <c r="AQ73" s="59"/>
      <c r="AR73" s="60"/>
      <c r="AS73" s="59"/>
      <c r="AT73" s="60"/>
      <c r="AU73" s="60"/>
      <c r="AV73" s="59"/>
    </row>
    <row r="74" ht="15.75" customHeight="1">
      <c r="A74" s="55"/>
      <c r="B74" s="55"/>
      <c r="C74" s="55"/>
      <c r="D74" s="55"/>
      <c r="E74" s="83"/>
      <c r="F74" s="83"/>
      <c r="G74" s="55"/>
      <c r="H74" s="55"/>
      <c r="I74" s="55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5"/>
      <c r="AB74" s="55"/>
      <c r="AC74" s="55"/>
      <c r="AD74" s="78"/>
      <c r="AE74" s="59"/>
      <c r="AF74" s="60"/>
      <c r="AG74" s="55"/>
      <c r="AH74" s="65"/>
      <c r="AI74" s="78"/>
      <c r="AJ74" s="55"/>
      <c r="AK74" s="55"/>
      <c r="AL74" s="60"/>
      <c r="AM74" s="60"/>
      <c r="AN74" s="60"/>
      <c r="AO74" s="59"/>
      <c r="AP74" s="59"/>
      <c r="AQ74" s="59"/>
      <c r="AR74" s="60"/>
      <c r="AS74" s="59"/>
      <c r="AT74" s="60"/>
      <c r="AU74" s="60"/>
      <c r="AV74" s="59"/>
    </row>
    <row r="75" ht="15.75" customHeight="1">
      <c r="A75" s="55"/>
      <c r="B75" s="55"/>
      <c r="C75" s="55"/>
      <c r="D75" s="55"/>
      <c r="E75" s="83"/>
      <c r="F75" s="83"/>
      <c r="G75" s="55"/>
      <c r="H75" s="55"/>
      <c r="I75" s="55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5"/>
      <c r="AB75" s="55"/>
      <c r="AC75" s="55"/>
      <c r="AD75" s="78"/>
      <c r="AE75" s="59"/>
      <c r="AF75" s="60"/>
      <c r="AG75" s="55"/>
      <c r="AH75" s="65"/>
      <c r="AI75" s="78"/>
      <c r="AJ75" s="55"/>
      <c r="AK75" s="55"/>
      <c r="AL75" s="60"/>
      <c r="AM75" s="60"/>
      <c r="AN75" s="60"/>
      <c r="AO75" s="59"/>
      <c r="AP75" s="59"/>
      <c r="AQ75" s="59"/>
      <c r="AR75" s="60"/>
      <c r="AS75" s="59"/>
      <c r="AT75" s="60"/>
      <c r="AU75" s="60"/>
      <c r="AV75" s="59"/>
    </row>
    <row r="76" ht="15.75" customHeight="1">
      <c r="A76" s="55"/>
      <c r="B76" s="55"/>
      <c r="C76" s="55"/>
      <c r="D76" s="55"/>
      <c r="E76" s="83"/>
      <c r="F76" s="83"/>
      <c r="G76" s="55"/>
      <c r="H76" s="55"/>
      <c r="I76" s="55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5"/>
      <c r="AB76" s="55"/>
      <c r="AC76" s="55"/>
      <c r="AD76" s="78"/>
      <c r="AE76" s="59"/>
      <c r="AF76" s="60"/>
      <c r="AG76" s="55"/>
      <c r="AH76" s="65"/>
      <c r="AI76" s="78"/>
      <c r="AJ76" s="55"/>
      <c r="AK76" s="60"/>
      <c r="AL76" s="60"/>
      <c r="AM76" s="60"/>
      <c r="AN76" s="60"/>
      <c r="AO76" s="59"/>
      <c r="AP76" s="59"/>
      <c r="AQ76" s="59"/>
      <c r="AR76" s="60"/>
      <c r="AS76" s="59"/>
      <c r="AT76" s="60"/>
      <c r="AU76" s="60"/>
      <c r="AV76" s="5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J16:AK16"/>
    <mergeCell ref="AN16:AO16"/>
    <mergeCell ref="AJ17:AK17"/>
    <mergeCell ref="AN17:AO17"/>
    <mergeCell ref="AJ22:AK22"/>
    <mergeCell ref="AK25:AL25"/>
    <mergeCell ref="AK29:AL29"/>
    <mergeCell ref="AJ32:AK32"/>
    <mergeCell ref="AN32:AO32"/>
    <mergeCell ref="AN33:AO33"/>
    <mergeCell ref="AJ36:AK36"/>
    <mergeCell ref="AN36:AO36"/>
    <mergeCell ref="AK41:AL41"/>
    <mergeCell ref="AK43:AL43"/>
    <mergeCell ref="AN63:AO63"/>
    <mergeCell ref="AN64:AO64"/>
    <mergeCell ref="AK69:AL69"/>
    <mergeCell ref="AK71:AL71"/>
    <mergeCell ref="AJ72:AK72"/>
    <mergeCell ref="AN72:AO72"/>
    <mergeCell ref="AK73:AL73"/>
    <mergeCell ref="AJ44:AK44"/>
    <mergeCell ref="AN44:AO44"/>
    <mergeCell ref="AK53:AL53"/>
    <mergeCell ref="AK56:AL56"/>
    <mergeCell ref="AK58:AL58"/>
    <mergeCell ref="AJ63:AK63"/>
    <mergeCell ref="AJ64:AK64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3.25"/>
    <col customWidth="1" min="3" max="3" width="14.0"/>
    <col customWidth="1" min="4" max="4" width="15.38"/>
    <col customWidth="1" min="5" max="8" width="12.63"/>
    <col customWidth="1" min="9" max="9" width="18.38"/>
  </cols>
  <sheetData>
    <row r="1" ht="15.75" customHeight="1">
      <c r="A1" s="11" t="s">
        <v>1</v>
      </c>
      <c r="B1" s="15" t="s">
        <v>0</v>
      </c>
      <c r="C1" s="15" t="s">
        <v>14</v>
      </c>
      <c r="D1" s="15" t="s">
        <v>15</v>
      </c>
      <c r="E1" s="15" t="s">
        <v>16</v>
      </c>
      <c r="F1" s="19" t="s">
        <v>17</v>
      </c>
      <c r="G1" s="15" t="s">
        <v>18</v>
      </c>
      <c r="H1" s="15" t="s">
        <v>19</v>
      </c>
      <c r="I1" s="19" t="s">
        <v>20</v>
      </c>
    </row>
    <row r="2" ht="15.75" customHeight="1">
      <c r="A2" s="22"/>
      <c r="B2" s="23" t="s">
        <v>23</v>
      </c>
      <c r="C2" s="26">
        <v>8025.0</v>
      </c>
      <c r="D2" s="27">
        <v>468.75</v>
      </c>
      <c r="E2" s="27">
        <v>84.38</v>
      </c>
      <c r="F2" s="33">
        <f>C2-D2-E2</f>
        <v>7471.87</v>
      </c>
      <c r="G2" s="27">
        <v>8.03</v>
      </c>
      <c r="H2" s="35">
        <v>0.0</v>
      </c>
      <c r="I2" s="27">
        <v>7463.84</v>
      </c>
    </row>
    <row r="3" ht="15.75" customHeight="1">
      <c r="A3" s="28"/>
      <c r="B3" s="34"/>
      <c r="C3" s="37"/>
      <c r="D3" s="37"/>
      <c r="E3" s="37"/>
      <c r="F3" s="37"/>
      <c r="G3" s="37"/>
      <c r="H3" s="37"/>
      <c r="I3" s="37"/>
    </row>
    <row r="4" ht="15.75" customHeight="1">
      <c r="A4" s="28"/>
      <c r="B4" s="34"/>
      <c r="C4" s="31"/>
      <c r="D4" s="31"/>
      <c r="E4" s="31"/>
      <c r="F4" s="37"/>
      <c r="G4" s="31"/>
      <c r="H4" s="31"/>
      <c r="I4" s="31"/>
    </row>
    <row r="5" ht="15.75" customHeight="1">
      <c r="A5" s="39"/>
      <c r="B5" s="40"/>
      <c r="C5" s="42">
        <f>SUM(C2:C3)</f>
        <v>8025</v>
      </c>
      <c r="D5" s="44"/>
      <c r="E5" s="44"/>
      <c r="F5" s="42">
        <f>SUM(F2:F4)</f>
        <v>7471.87</v>
      </c>
      <c r="G5" s="44"/>
      <c r="H5" s="44"/>
      <c r="I5" s="42">
        <f>SUM(I2:I3)</f>
        <v>7463.84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</cols>
  <sheetData>
    <row r="1" ht="15.75" customHeight="1">
      <c r="A1" s="11" t="s">
        <v>1</v>
      </c>
      <c r="B1" s="15" t="s">
        <v>0</v>
      </c>
      <c r="C1" s="15" t="s">
        <v>56</v>
      </c>
      <c r="D1" s="15" t="s">
        <v>15</v>
      </c>
      <c r="E1" s="15" t="s">
        <v>57</v>
      </c>
      <c r="F1" s="39"/>
      <c r="G1" s="39"/>
      <c r="H1" s="39"/>
      <c r="I1" s="39"/>
      <c r="J1" s="39"/>
    </row>
    <row r="2" ht="15.75" customHeight="1">
      <c r="A2" s="28"/>
      <c r="B2" s="23" t="s">
        <v>23</v>
      </c>
      <c r="C2" s="30">
        <v>7875.0</v>
      </c>
      <c r="D2" s="30">
        <v>393.75</v>
      </c>
      <c r="E2" s="30">
        <v>7181.25</v>
      </c>
      <c r="F2" s="39"/>
      <c r="G2" s="39"/>
      <c r="H2" s="39"/>
      <c r="I2" s="39"/>
      <c r="J2" s="39"/>
    </row>
    <row r="3" ht="15.75" customHeight="1">
      <c r="A3" s="79"/>
      <c r="B3" s="80"/>
      <c r="C3" s="81">
        <f>SUM(C2)</f>
        <v>7875</v>
      </c>
      <c r="D3" s="82"/>
      <c r="E3" s="81">
        <f>SUM(E2)</f>
        <v>7181.25</v>
      </c>
      <c r="F3" s="84"/>
      <c r="G3" s="85"/>
      <c r="H3" s="84"/>
      <c r="I3" s="85"/>
      <c r="J3" s="85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