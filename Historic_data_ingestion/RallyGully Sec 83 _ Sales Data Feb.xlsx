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Membership" sheetId="6" r:id="rId10"/>
    <sheet state="visible" name="Corporate Events" sheetId="7" r:id="rId11"/>
  </sheets>
  <definedNames/>
  <calcPr/>
</workbook>
</file>

<file path=xl/sharedStrings.xml><?xml version="1.0" encoding="utf-8"?>
<sst xmlns="http://schemas.openxmlformats.org/spreadsheetml/2006/main" count="152" uniqueCount="81">
  <si>
    <t>Link</t>
  </si>
  <si>
    <t>Date: 1 - 28 Feb</t>
  </si>
  <si>
    <t>Date</t>
  </si>
  <si>
    <t>Day</t>
  </si>
  <si>
    <t>Offline booking hours</t>
  </si>
  <si>
    <t>Discount Given</t>
  </si>
  <si>
    <t>Booking Revenue</t>
  </si>
  <si>
    <t>Particulars</t>
  </si>
  <si>
    <t>Community Revenue</t>
  </si>
  <si>
    <t xml:space="preserve">Paddle Rental </t>
  </si>
  <si>
    <t>Total Revenue</t>
  </si>
  <si>
    <t>Amount</t>
  </si>
  <si>
    <t>Offline</t>
  </si>
  <si>
    <t>Sunday</t>
  </si>
  <si>
    <t>Paid to Hudle</t>
  </si>
  <si>
    <t>Commisions (Including GST)</t>
  </si>
  <si>
    <t>Net Revenue</t>
  </si>
  <si>
    <t>TDS</t>
  </si>
  <si>
    <t>TCS</t>
  </si>
  <si>
    <t>30% and 20%</t>
  </si>
  <si>
    <t>Paid to Playo (₹)</t>
  </si>
  <si>
    <t>Commissions (₹)</t>
  </si>
  <si>
    <t>GST (₹)</t>
  </si>
  <si>
    <t>TDS (₹)</t>
  </si>
  <si>
    <t>TCS (₹)</t>
  </si>
  <si>
    <t>Final Amount (₹)</t>
  </si>
  <si>
    <t>Rentals</t>
  </si>
  <si>
    <t>Monday</t>
  </si>
  <si>
    <t>Tuesday</t>
  </si>
  <si>
    <t>F&amp;B</t>
  </si>
  <si>
    <t>12 - 15 Feb</t>
  </si>
  <si>
    <t>Product Sales</t>
  </si>
  <si>
    <t>Wednesday</t>
  </si>
  <si>
    <t>Thursday</t>
  </si>
  <si>
    <t>Bookings</t>
  </si>
  <si>
    <t>Friday</t>
  </si>
  <si>
    <t>Online: Third Party Platform</t>
  </si>
  <si>
    <t>Saturday</t>
  </si>
  <si>
    <t>16 - 28 Feb</t>
  </si>
  <si>
    <t>Hudle</t>
  </si>
  <si>
    <t>Total</t>
  </si>
  <si>
    <t>Playo</t>
  </si>
  <si>
    <t>District</t>
  </si>
  <si>
    <t>Khelomore</t>
  </si>
  <si>
    <t>Zplys</t>
  </si>
  <si>
    <t>Community</t>
  </si>
  <si>
    <t>Courtly (Organized by RallyGully)</t>
  </si>
  <si>
    <t>Sportomic (Organized by RallyGully)</t>
  </si>
  <si>
    <t xml:space="preserve">Rallygully Community games </t>
  </si>
  <si>
    <t>Misfits Community</t>
  </si>
  <si>
    <t>Memberships</t>
  </si>
  <si>
    <t>Coaching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</si>
  <si>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</si>
  <si>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</si>
  <si>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</si>
  <si>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</si>
  <si>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</si>
  <si>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</si>
  <si>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Member Name</t>
  </si>
  <si>
    <t>Sports Type</t>
  </si>
  <si>
    <t>Membership Type</t>
  </si>
  <si>
    <t>Start Date</t>
  </si>
  <si>
    <t>Amount Collected</t>
  </si>
  <si>
    <t>Paid to District</t>
  </si>
  <si>
    <t>Name</t>
  </si>
  <si>
    <t>Type</t>
  </si>
  <si>
    <t>GST on Commission</t>
  </si>
  <si>
    <t>Deliverables</t>
  </si>
  <si>
    <t>Indian School of hospitality</t>
  </si>
  <si>
    <t>Feb</t>
  </si>
  <si>
    <t>DONALDSON INDIA FILTER SYSTEMS PVT LTD</t>
  </si>
  <si>
    <t>Team Event</t>
  </si>
  <si>
    <t>Pickleball</t>
  </si>
  <si>
    <t>4 hours of Courts</t>
  </si>
  <si>
    <t>Pickle &amp; Box</t>
  </si>
  <si>
    <t>1 - 15 Feb</t>
  </si>
  <si>
    <t>Collab</t>
  </si>
  <si>
    <t>Shivam</t>
  </si>
  <si>
    <t>Box Cricket</t>
  </si>
  <si>
    <t>Ritesh</t>
  </si>
  <si>
    <t>Pro Pack (30)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</si>
</sst>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"/>
    <numFmt numFmtId="165" formatCode="[$₹]#,##0.00"/>
    <numFmt numFmtId="166" formatCode="[&gt;9999999][$₹]##\,##\,##\,##0.00;[&gt;99999][$₹]##\,##\,##0.00;[$₹]##,##0.00"/>
    <numFmt numFmtId="167" formatCode="[&gt;9999999][$₹]##\,##\,##\,##0;[&gt;99999][$₹]##\,##\,##0;[$₹]##,##0"/>
  </numFmts>
  <fonts count="12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/>
    <font>
      <sz val="10.0"/>
      <color rgb="FF000000"/>
      <name val="Arial"/>
    </font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color theme="1"/>
      <name val="Arial"/>
      <scheme val="minor"/>
    </font>
    <font>
      <b/>
      <u/>
      <color rgb="FF0000FF"/>
      <name val="Arial"/>
    </font>
    <font>
      <b/>
      <sz val="11.0"/>
      <color theme="1"/>
      <name val="Calibri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2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0" fillId="0" fontId="4" numFmtId="0" xfId="0" applyFont="1"/>
    <xf borderId="2" fillId="0" fontId="2" numFmtId="0" xfId="0" applyAlignment="1" applyBorder="1" applyFont="1">
      <alignment horizontal="center" vertical="bottom"/>
    </xf>
    <xf borderId="2" fillId="2" fontId="2" numFmtId="0" xfId="0" applyAlignment="1" applyBorder="1" applyFill="1" applyFont="1">
      <alignment horizontal="center" vertical="bottom"/>
    </xf>
    <xf borderId="2" fillId="0" fontId="5" numFmtId="164" xfId="0" applyAlignment="1" applyBorder="1" applyFont="1" applyNumberFormat="1">
      <alignment horizontal="right" vertical="bottom"/>
    </xf>
    <xf borderId="2" fillId="2" fontId="6" numFmtId="0" xfId="0" applyAlignment="1" applyBorder="1" applyFill="1" applyFont="1">
      <alignment horizontal="center" readingOrder="0" vertical="bottom"/>
    </xf>
    <xf borderId="2" fillId="0" fontId="2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2" fillId="0" fontId="5" numFmtId="0" xfId="0" applyAlignment="1" applyBorder="1" applyFont="1">
      <alignment horizontal="right" readingOrder="0" vertical="bottom"/>
    </xf>
    <xf borderId="2" fillId="2" fontId="7" numFmtId="165" xfId="0" applyAlignment="1" applyBorder="1" applyFill="1" applyFont="1" applyNumberFormat="1">
      <alignment horizontal="center" readingOrder="0" vertical="bottom"/>
    </xf>
    <xf borderId="2" fillId="0" fontId="5" numFmtId="9" xfId="0" applyAlignment="1" applyBorder="1" applyFont="1" applyNumberFormat="1">
      <alignment horizontal="right" vertical="bottom"/>
    </xf>
    <xf borderId="2" fillId="2" fontId="2" numFmtId="165" xfId="0" applyAlignment="1" applyBorder="1" applyFill="1" applyFont="1" applyNumberFormat="1">
      <alignment horizontal="center" vertical="bottom"/>
    </xf>
    <xf borderId="2" fillId="0" fontId="5" numFmtId="0" xfId="0" applyAlignment="1" applyBorder="1" applyFont="1">
      <alignment vertical="bottom"/>
    </xf>
    <xf borderId="2" fillId="0" fontId="5" numFmtId="164" xfId="0" applyAlignment="1" applyBorder="1" applyFont="1" applyNumberFormat="1">
      <alignment readingOrder="0" vertical="bottom"/>
    </xf>
    <xf borderId="2" fillId="0" fontId="5" numFmtId="166" xfId="0" applyAlignment="1" applyBorder="1" applyFont="1" applyNumberFormat="1">
      <alignment horizontal="right" readingOrder="0" vertical="bottom"/>
    </xf>
    <xf borderId="2" fillId="3" fontId="5" numFmtId="165" xfId="0" applyAlignment="1" applyBorder="1" applyFill="1" applyFont="1" applyNumberFormat="1">
      <alignment vertical="bottom"/>
    </xf>
    <xf borderId="2" fillId="3" fontId="5" numFmtId="164" xfId="0" applyAlignment="1" applyBorder="1" applyFill="1" applyFont="1" applyNumberFormat="1">
      <alignment readingOrder="0" vertical="bottom"/>
    </xf>
    <xf borderId="2" fillId="3" fontId="5" numFmtId="165" xfId="0" applyAlignment="1" applyBorder="1" applyFill="1" applyFont="1" applyNumberFormat="1">
      <alignment horizontal="right" readingOrder="0" vertical="bottom"/>
    </xf>
    <xf borderId="2" fillId="0" fontId="2" numFmtId="167" xfId="0" applyAlignment="1" applyBorder="1" applyFont="1" applyNumberFormat="1">
      <alignment horizontal="right" vertical="bottom"/>
    </xf>
    <xf borderId="2" fillId="0" fontId="5" numFmtId="0" xfId="0" applyAlignment="1" applyBorder="1" applyFont="1">
      <alignment horizontal="right" vertical="bottom"/>
    </xf>
    <xf borderId="2" fillId="0" fontId="5" numFmtId="166" xfId="0" applyAlignment="1" applyBorder="1" applyFont="1" applyNumberFormat="1">
      <alignment horizontal="right" vertical="bottom"/>
    </xf>
    <xf borderId="2" fillId="0" fontId="5" numFmtId="3" xfId="0" applyAlignment="1" applyBorder="1" applyFont="1" applyNumberFormat="1">
      <alignment horizontal="right" readingOrder="0" vertical="bottom"/>
    </xf>
    <xf borderId="2" fillId="0" fontId="5" numFmtId="165" xfId="0" applyAlignment="1" applyBorder="1" applyFont="1" applyNumberFormat="1">
      <alignment horizontal="right" readingOrder="0" vertical="bottom"/>
    </xf>
    <xf borderId="2" fillId="0" fontId="5" numFmtId="3" xfId="0" applyAlignment="1" applyBorder="1" applyFont="1" applyNumberFormat="1">
      <alignment horizontal="right" vertical="bottom"/>
    </xf>
    <xf borderId="2" fillId="0" fontId="5" numFmtId="167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2" fillId="0" fontId="5" numFmtId="167" xfId="0" applyAlignment="1" applyBorder="1" applyFont="1" applyNumberFormat="1">
      <alignment horizontal="right" readingOrder="0" vertical="bottom"/>
    </xf>
    <xf borderId="2" fillId="0" fontId="5" numFmtId="166" xfId="0" applyAlignment="1" applyBorder="1" applyFont="1" applyNumberFormat="1">
      <alignment readingOrder="0" vertical="bottom"/>
    </xf>
    <xf borderId="2" fillId="3" fontId="5" numFmtId="165" xfId="0" applyAlignment="1" applyBorder="1" applyFill="1" applyFont="1" applyNumberFormat="1">
      <alignment horizontal="right" vertical="bottom"/>
    </xf>
    <xf borderId="0" fillId="0" fontId="8" numFmtId="0" xfId="0" applyAlignment="1" applyFont="1">
      <alignment readingOrder="0"/>
    </xf>
    <xf borderId="2" fillId="0" fontId="5" numFmtId="165" xfId="0" applyAlignment="1" applyBorder="1" applyFont="1" applyNumberFormat="1">
      <alignment readingOrder="0" vertical="bottom"/>
    </xf>
    <xf borderId="2" fillId="2" fontId="2" numFmtId="0" xfId="0" applyAlignment="1" applyBorder="1" applyFill="1" applyFont="1">
      <alignment readingOrder="0" vertical="bottom"/>
    </xf>
    <xf borderId="2" fillId="2" fontId="2" numFmtId="166" xfId="0" applyAlignment="1" applyBorder="1" applyFill="1" applyFont="1" applyNumberFormat="1">
      <alignment horizontal="right" vertical="bottom"/>
    </xf>
    <xf borderId="2" fillId="2" fontId="2" numFmtId="4" xfId="0" applyAlignment="1" applyBorder="1" applyFill="1" applyFont="1" applyNumberFormat="1">
      <alignment horizontal="right" vertical="bottom"/>
    </xf>
    <xf borderId="2" fillId="2" fontId="5" numFmtId="0" xfId="0" applyAlignment="1" applyBorder="1" applyFill="1" applyFont="1">
      <alignment vertical="bottom"/>
    </xf>
    <xf borderId="2" fillId="2" fontId="5" numFmtId="4" xfId="0" applyAlignment="1" applyBorder="1" applyFill="1" applyFont="1" applyNumberFormat="1">
      <alignment vertical="bottom"/>
    </xf>
    <xf borderId="2" fillId="0" fontId="5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2" fillId="0" fontId="5" numFmtId="0" xfId="0" applyAlignment="1" applyBorder="1" applyFont="1">
      <alignment horizontal="right" vertical="bottom"/>
    </xf>
    <xf borderId="2" fillId="2" fontId="5" numFmtId="165" xfId="0" applyAlignment="1" applyBorder="1" applyFill="1" applyFont="1" applyNumberFormat="1">
      <alignment vertical="bottom"/>
    </xf>
    <xf borderId="2" fillId="0" fontId="2" numFmtId="167" xfId="0" applyAlignment="1" applyBorder="1" applyFont="1" applyNumberFormat="1">
      <alignment horizontal="right" readingOrder="0" vertical="bottom"/>
    </xf>
    <xf borderId="2" fillId="0" fontId="5" numFmtId="0" xfId="0" applyAlignment="1" applyBorder="1" applyFont="1">
      <alignment vertical="bottom"/>
    </xf>
    <xf borderId="0" fillId="0" fontId="2" numFmtId="166" xfId="0" applyAlignment="1" applyFont="1" applyNumberFormat="1">
      <alignment horizontal="right" vertical="bottom"/>
    </xf>
    <xf borderId="4" fillId="0" fontId="2" numFmtId="0" xfId="0" applyAlignment="1" applyBorder="1" applyFont="1">
      <alignment vertical="bottom"/>
    </xf>
    <xf borderId="4" fillId="0" fontId="5" numFmtId="167" xfId="0" applyAlignment="1" applyBorder="1" applyFont="1" applyNumberFormat="1">
      <alignment horizontal="right" readingOrder="0" vertical="bottom"/>
    </xf>
    <xf borderId="2" fillId="0" fontId="5" numFmtId="0" xfId="0" applyAlignment="1" applyBorder="1" applyFont="1">
      <alignment shrinkToFit="0" vertical="bottom" wrapText="1"/>
    </xf>
    <xf borderId="2" fillId="0" fontId="2" numFmtId="165" xfId="0" applyAlignment="1" applyBorder="1" applyFont="1" applyNumberFormat="1">
      <alignment horizontal="right" vertical="bottom"/>
    </xf>
    <xf borderId="0" fillId="2" fontId="9" numFmtId="165" xfId="0" applyAlignment="1" applyFill="1" applyFont="1" applyNumberFormat="1">
      <alignment horizontal="center" readingOrder="0" vertical="bottom"/>
    </xf>
    <xf borderId="2" fillId="2" fontId="2" numFmtId="0" xfId="0" applyAlignment="1" applyBorder="1" applyFill="1" applyFont="1">
      <alignment horizontal="center" readingOrder="0" vertical="bottom"/>
    </xf>
    <xf borderId="2" fillId="2" fontId="2" numFmtId="0" xfId="0" applyAlignment="1" applyBorder="1" applyFill="1" applyFont="1">
      <alignment horizontal="right" vertical="bottom"/>
    </xf>
    <xf borderId="0" fillId="2" fontId="10" numFmtId="165" xfId="0" applyAlignment="1" applyFill="1" applyFont="1" applyNumberFormat="1">
      <alignment vertical="bottom"/>
    </xf>
    <xf borderId="2" fillId="0" fontId="8" numFmtId="0" xfId="0" applyAlignment="1" applyBorder="1" applyFont="1">
      <alignment readingOrder="0"/>
    </xf>
    <xf borderId="0" fillId="2" fontId="2" numFmtId="165" xfId="0" applyAlignment="1" applyFill="1" applyFont="1" applyNumberFormat="1">
      <alignment horizontal="center" vertical="bottom"/>
    </xf>
    <xf borderId="2" fillId="0" fontId="5" numFmtId="165" xfId="0" applyAlignment="1" applyBorder="1" applyFont="1" applyNumberFormat="1">
      <alignment horizontal="right" vertical="bottom"/>
    </xf>
    <xf borderId="2" fillId="2" fontId="2" numFmtId="0" xfId="0" applyAlignment="1" applyBorder="1" applyFill="1" applyFont="1">
      <alignment vertical="bottom"/>
    </xf>
    <xf borderId="2" fillId="2" fontId="5" numFmtId="165" xfId="0" applyAlignment="1" applyBorder="1" applyFill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0" fontId="5" numFmtId="165" xfId="0" applyAlignment="1" applyFont="1" applyNumberFormat="1">
      <alignment vertical="bottom"/>
    </xf>
    <xf borderId="2" fillId="0" fontId="8" numFmtId="164" xfId="0" applyAlignment="1" applyBorder="1" applyFont="1" applyNumberFormat="1">
      <alignment readingOrder="0"/>
    </xf>
    <xf borderId="2" fillId="0" fontId="8" numFmtId="165" xfId="0" applyAlignment="1" applyBorder="1" applyFont="1" applyNumberFormat="1">
      <alignment readingOrder="0"/>
    </xf>
    <xf borderId="2" fillId="0" fontId="5" numFmtId="166" xfId="0" applyAlignment="1" applyBorder="1" applyFont="1" applyNumberFormat="1">
      <alignment vertical="bottom"/>
    </xf>
    <xf borderId="0" fillId="0" fontId="5" numFmtId="3" xfId="0" applyAlignment="1" applyFont="1" applyNumberFormat="1">
      <alignment vertical="bottom"/>
    </xf>
    <xf borderId="0" fillId="0" fontId="5" numFmtId="164" xfId="0" applyAlignment="1" applyFont="1" applyNumberFormat="1">
      <alignment horizontal="right" vertical="bottom"/>
    </xf>
    <xf borderId="2" fillId="0" fontId="5" numFmtId="0" xfId="0" applyAlignment="1" applyBorder="1" applyFont="1">
      <alignment horizontal="center" vertical="bottom"/>
    </xf>
    <xf borderId="0" fillId="2" fontId="11" numFmtId="0" xfId="0" applyAlignment="1" applyFill="1" applyFont="1">
      <alignment readingOrder="0"/>
    </xf>
    <xf borderId="0" fillId="2" fontId="11" numFmtId="0" xfId="0" applyFill="1" applyFont="1"/>
    <xf borderId="2" fillId="2" fontId="2" numFmtId="165" xfId="0" applyAlignment="1" applyBorder="1" applyFill="1" applyFont="1" applyNumberFormat="1">
      <alignment vertical="bottom"/>
    </xf>
    <xf borderId="0" fillId="2" fontId="11" numFmtId="165" xfId="0" applyFill="1" applyFont="1" applyNumberForma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2" fillId="2" fontId="2" numFmtId="165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xk7gy76L2v7KKZ6RRsTl84ZzxWBkrlqRhMb17IrlM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fvaRkPg7hhThd1patetasweQyGsxXNjOhhz2BsXI3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j_T_3MCIe8POWPi3gjtCqbSy5rI8PZ8wj-nh5nqC4k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12.63"/>
    <col customWidth="1" min="2" max="2" width="32.0"/>
    <col customWidth="1" min="3" max="4" width="12.63"/>
  </cols>
  <sheetData>
    <row r="1" ht="15.75" customHeight="1">
      <c r="A1" s="1"/>
    </row>
    <row r="2" ht="15.75" customHeight="1">
      <c r="B2" s="2" t="s">
        <v>1</v>
      </c>
      <c r="C2" s="4"/>
    </row>
    <row r="3" ht="15.75" customHeight="1">
      <c r="A3" s="5"/>
      <c r="B3" s="6" t="s">
        <v>7</v>
      </c>
      <c r="C3" s="6" t="s">
        <v>11</v>
      </c>
    </row>
    <row r="4" ht="15.75" customHeight="1">
      <c r="A4" s="5"/>
      <c r="B4" s="10" t="s">
        <v>12</v>
      </c>
      <c r="C4" s="22">
        <f>SUM(C5,C6,C7,C8)</f>
        <v>120420</v>
      </c>
    </row>
    <row r="5" ht="15.75" customHeight="1" outlineLevel="1">
      <c r="A5" s="5"/>
      <c r="B5" s="16" t="s">
        <v>26</v>
      </c>
      <c r="C5" s="28">
        <f>'Offline &amp; RG Community'!G30</f>
        <v>10250</v>
      </c>
    </row>
    <row r="6" ht="15.75" customHeight="1" outlineLevel="1">
      <c r="A6" s="5"/>
      <c r="B6" s="16" t="s">
        <v>29</v>
      </c>
      <c r="C6" s="30">
        <v>0.0</v>
      </c>
    </row>
    <row r="7" ht="15.75" customHeight="1" outlineLevel="1">
      <c r="A7" s="5"/>
      <c r="B7" s="16" t="s">
        <v>31</v>
      </c>
      <c r="C7" s="30">
        <f>0</f>
        <v>0</v>
      </c>
    </row>
    <row r="8" ht="15.75" customHeight="1" outlineLevel="1">
      <c r="A8" s="5"/>
      <c r="B8" s="16" t="s">
        <v>34</v>
      </c>
      <c r="C8" s="28">
        <f>'Offline &amp; RG Community'!E30</f>
        <v>110170</v>
      </c>
    </row>
    <row r="9" ht="15.75" customHeight="1">
      <c r="A9" s="5"/>
      <c r="B9" s="10" t="s">
        <v>36</v>
      </c>
      <c r="C9" s="22">
        <f>SUM(C10:C14)</f>
        <v>41060</v>
      </c>
    </row>
    <row r="10" ht="15.75" customHeight="1" outlineLevel="1">
      <c r="B10" s="16" t="s">
        <v>39</v>
      </c>
      <c r="C10" s="28">
        <f>Hudle!C5</f>
        <v>21460</v>
      </c>
    </row>
    <row r="11" ht="15.75" customHeight="1" outlineLevel="1">
      <c r="B11" s="16" t="s">
        <v>41</v>
      </c>
      <c r="C11" s="28">
        <f>Playo!C4</f>
        <v>3200</v>
      </c>
    </row>
    <row r="12" ht="15.75" customHeight="1" outlineLevel="1">
      <c r="B12" s="16" t="s">
        <v>42</v>
      </c>
      <c r="C12" s="30">
        <f>District!C4</f>
        <v>16400</v>
      </c>
    </row>
    <row r="13" ht="15.75" customHeight="1" outlineLevel="1">
      <c r="B13" s="16" t="s">
        <v>43</v>
      </c>
      <c r="C13" s="30">
        <v>0.0</v>
      </c>
    </row>
    <row r="14" ht="15.75" customHeight="1">
      <c r="B14" s="34" t="s">
        <v>44</v>
      </c>
      <c r="C14" s="30">
        <v>0.0</v>
      </c>
    </row>
    <row r="15" ht="15.75" customHeight="1">
      <c r="B15" s="41" t="s">
        <v>45</v>
      </c>
      <c r="C15" s="44">
        <f>sum(C16:C19)</f>
        <v>0</v>
      </c>
    </row>
    <row r="16" ht="15.75" customHeight="1" outlineLevel="1">
      <c r="B16" s="45" t="s">
        <v>46</v>
      </c>
      <c r="C16" s="30">
        <v>0.0</v>
      </c>
    </row>
    <row r="17" ht="15.75" customHeight="1" outlineLevel="1">
      <c r="B17" s="45" t="s">
        <v>47</v>
      </c>
      <c r="C17" s="30">
        <v>0.0</v>
      </c>
    </row>
    <row r="18" ht="15.75" customHeight="1" outlineLevel="1">
      <c r="A18" s="5"/>
      <c r="B18" s="16" t="s">
        <v>48</v>
      </c>
      <c r="C18" s="30">
        <f>'Offline &amp; RG Community'!F30</f>
        <v>0</v>
      </c>
    </row>
    <row r="19" ht="15.75" customHeight="1" outlineLevel="1">
      <c r="B19" s="16" t="s">
        <v>49</v>
      </c>
      <c r="C19" s="30">
        <v>0.0</v>
      </c>
    </row>
    <row r="20" ht="15.75" customHeight="1">
      <c r="B20" s="10" t="s">
        <v>50</v>
      </c>
      <c r="C20" s="22">
        <f>Membership!E5</f>
        <v>43880</v>
      </c>
    </row>
    <row r="21" ht="15.75" customHeight="1">
      <c r="B21" s="41" t="s">
        <v>51</v>
      </c>
      <c r="C21" s="30">
        <v>0.0</v>
      </c>
    </row>
    <row r="22" ht="15.75" customHeight="1">
      <c r="B22" s="10" t="s">
        <v>52</v>
      </c>
      <c r="C22" s="30">
        <f>'Corporate Events'!F3</f>
        <v>5520</v>
      </c>
    </row>
    <row r="23" ht="15.75" customHeight="1">
      <c r="B23" s="10" t="s">
        <v>53</v>
      </c>
      <c r="C23" s="30">
        <v>0.0</v>
      </c>
    </row>
    <row r="24" ht="15.75" customHeight="1">
      <c r="B24" s="47" t="s">
        <v>54</v>
      </c>
      <c r="C24" s="48">
        <v>0.0</v>
      </c>
    </row>
    <row r="25" ht="15.75" customHeight="1">
      <c r="B25" s="10" t="s">
        <v>55</v>
      </c>
      <c r="C25" s="22">
        <f>sum(C23,C24,C22, C20,C15,C9,C4)</f>
        <v>210880</v>
      </c>
    </row>
    <row r="26" ht="15.75" customHeight="1">
      <c r="B26" s="49" t="s">
        <v>56</v>
      </c>
      <c r="C26" s="50">
        <f>'Offline &amp; RG Community'!H30+Hudle!E5+Playo!F4+District!F4+Membership!E5+'Corporate Events'!F3</f>
        <v>207434.28</v>
      </c>
    </row>
    <row r="27" ht="15.75" customHeight="1">
      <c r="B27" s="10" t="s">
        <v>57</v>
      </c>
      <c r="C27" s="22">
        <f>C26/1.18</f>
        <v>175791.7627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6.25"/>
    <col customWidth="1" min="2" max="2" width="9.75"/>
    <col customWidth="1" min="3" max="3" width="18.25"/>
    <col customWidth="1" min="4" max="4" width="13.25"/>
    <col customWidth="1" min="5" max="5" width="15.13"/>
    <col customWidth="1" min="6" max="6" width="17.63"/>
    <col customWidth="1" min="8" max="8" width="12.25"/>
  </cols>
  <sheetData>
    <row r="1" ht="15.75" customHeight="1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8</v>
      </c>
      <c r="G1" s="3" t="s">
        <v>9</v>
      </c>
      <c r="H1" s="7" t="s">
        <v>10</v>
      </c>
    </row>
    <row r="2" ht="15.75" customHeight="1">
      <c r="A2" s="8">
        <v>46054.0</v>
      </c>
      <c r="B2" s="11" t="s">
        <v>13</v>
      </c>
      <c r="C2" s="12">
        <v>4.5</v>
      </c>
      <c r="D2" s="14" t="s">
        <v>19</v>
      </c>
      <c r="E2" s="12">
        <v>5560.0</v>
      </c>
      <c r="F2" s="12">
        <v>0.0</v>
      </c>
      <c r="G2" s="12">
        <v>300.0</v>
      </c>
      <c r="H2" s="23">
        <f t="shared" ref="H2:H29" si="1">E2+F2+G2</f>
        <v>5860</v>
      </c>
    </row>
    <row r="3" ht="15.75" customHeight="1">
      <c r="A3" s="8">
        <v>46055.0</v>
      </c>
      <c r="B3" s="11" t="s">
        <v>27</v>
      </c>
      <c r="C3" s="12">
        <v>1.5</v>
      </c>
      <c r="D3" s="14" t="s">
        <v>19</v>
      </c>
      <c r="E3" s="25">
        <v>960.0</v>
      </c>
      <c r="F3" s="12">
        <v>0.0</v>
      </c>
      <c r="G3" s="25">
        <v>200.0</v>
      </c>
      <c r="H3" s="27">
        <f t="shared" si="1"/>
        <v>1160</v>
      </c>
    </row>
    <row r="4" ht="15.75" customHeight="1">
      <c r="A4" s="8">
        <v>46056.0</v>
      </c>
      <c r="B4" s="11" t="s">
        <v>28</v>
      </c>
      <c r="C4" s="12">
        <v>2.5</v>
      </c>
      <c r="D4" s="14" t="s">
        <v>19</v>
      </c>
      <c r="E4" s="12">
        <v>5800.0</v>
      </c>
      <c r="F4" s="12">
        <v>0.0</v>
      </c>
      <c r="G4" s="12">
        <v>200.0</v>
      </c>
      <c r="H4" s="23">
        <f t="shared" si="1"/>
        <v>6000</v>
      </c>
    </row>
    <row r="5" ht="15.75" customHeight="1">
      <c r="A5" s="8">
        <v>46057.0</v>
      </c>
      <c r="B5" s="11" t="s">
        <v>32</v>
      </c>
      <c r="C5" s="12">
        <v>2.0</v>
      </c>
      <c r="D5" s="14" t="s">
        <v>19</v>
      </c>
      <c r="E5" s="12">
        <v>1280.0</v>
      </c>
      <c r="F5" s="12">
        <v>0.0</v>
      </c>
      <c r="G5" s="12">
        <v>150.0</v>
      </c>
      <c r="H5" s="23">
        <f t="shared" si="1"/>
        <v>1430</v>
      </c>
    </row>
    <row r="6" ht="15.75" customHeight="1">
      <c r="A6" s="8">
        <v>46058.0</v>
      </c>
      <c r="B6" s="11" t="s">
        <v>33</v>
      </c>
      <c r="C6" s="12">
        <v>7.0</v>
      </c>
      <c r="D6" s="14" t="s">
        <v>19</v>
      </c>
      <c r="E6" s="25">
        <v>5180.0</v>
      </c>
      <c r="F6" s="12">
        <v>0.0</v>
      </c>
      <c r="G6" s="25">
        <v>700.0</v>
      </c>
      <c r="H6" s="27">
        <f t="shared" si="1"/>
        <v>5880</v>
      </c>
    </row>
    <row r="7" ht="15.75" customHeight="1">
      <c r="A7" s="8">
        <v>46059.0</v>
      </c>
      <c r="B7" s="11" t="s">
        <v>35</v>
      </c>
      <c r="C7" s="12">
        <v>5.0</v>
      </c>
      <c r="D7" s="14" t="s">
        <v>19</v>
      </c>
      <c r="E7" s="25">
        <v>3200.0</v>
      </c>
      <c r="F7" s="33">
        <v>0.0</v>
      </c>
      <c r="G7" s="12">
        <v>250.0</v>
      </c>
      <c r="H7" s="27">
        <f t="shared" si="1"/>
        <v>3450</v>
      </c>
    </row>
    <row r="8" ht="15.75" customHeight="1">
      <c r="A8" s="8">
        <v>46060.0</v>
      </c>
      <c r="B8" s="11" t="s">
        <v>37</v>
      </c>
      <c r="C8" s="12">
        <v>5.0</v>
      </c>
      <c r="D8" s="14" t="s">
        <v>19</v>
      </c>
      <c r="E8" s="25">
        <v>4480.0</v>
      </c>
      <c r="F8" s="12">
        <v>0.0</v>
      </c>
      <c r="G8" s="25">
        <v>550.0</v>
      </c>
      <c r="H8" s="27">
        <f t="shared" si="1"/>
        <v>5030</v>
      </c>
    </row>
    <row r="9" ht="15.75" customHeight="1">
      <c r="A9" s="8">
        <v>46061.0</v>
      </c>
      <c r="B9" s="11" t="s">
        <v>13</v>
      </c>
      <c r="C9" s="12">
        <v>8.5</v>
      </c>
      <c r="D9" s="14" t="s">
        <v>19</v>
      </c>
      <c r="E9" s="25">
        <v>6920.0</v>
      </c>
      <c r="F9" s="12">
        <v>0.0</v>
      </c>
      <c r="G9" s="25">
        <v>800.0</v>
      </c>
      <c r="H9" s="27">
        <f t="shared" si="1"/>
        <v>7720</v>
      </c>
    </row>
    <row r="10" ht="15.75" customHeight="1">
      <c r="A10" s="8">
        <v>46062.0</v>
      </c>
      <c r="B10" s="11" t="s">
        <v>27</v>
      </c>
      <c r="C10" s="12">
        <v>4.5</v>
      </c>
      <c r="D10" s="14" t="s">
        <v>19</v>
      </c>
      <c r="E10" s="25">
        <v>4800.0</v>
      </c>
      <c r="F10" s="12">
        <v>0.0</v>
      </c>
      <c r="G10" s="25">
        <v>250.0</v>
      </c>
      <c r="H10" s="27">
        <f t="shared" si="1"/>
        <v>5050</v>
      </c>
    </row>
    <row r="11" ht="15.75" customHeight="1">
      <c r="A11" s="8">
        <v>46063.0</v>
      </c>
      <c r="B11" s="11" t="s">
        <v>28</v>
      </c>
      <c r="C11" s="12">
        <v>5.5</v>
      </c>
      <c r="D11" s="14" t="s">
        <v>19</v>
      </c>
      <c r="E11" s="12">
        <v>3520.0</v>
      </c>
      <c r="F11" s="12">
        <v>0.0</v>
      </c>
      <c r="G11" s="12">
        <v>500.0</v>
      </c>
      <c r="H11" s="23">
        <f t="shared" si="1"/>
        <v>4020</v>
      </c>
    </row>
    <row r="12" ht="15.75" customHeight="1">
      <c r="A12" s="8">
        <v>46064.0</v>
      </c>
      <c r="B12" s="11" t="s">
        <v>32</v>
      </c>
      <c r="C12" s="12">
        <v>4.5</v>
      </c>
      <c r="D12" s="14" t="s">
        <v>19</v>
      </c>
      <c r="E12" s="25">
        <v>3520.0</v>
      </c>
      <c r="F12" s="12">
        <v>0.0</v>
      </c>
      <c r="G12" s="25">
        <v>400.0</v>
      </c>
      <c r="H12" s="27">
        <f t="shared" si="1"/>
        <v>3920</v>
      </c>
    </row>
    <row r="13" ht="15.75" customHeight="1">
      <c r="A13" s="8">
        <v>46065.0</v>
      </c>
      <c r="B13" s="11" t="s">
        <v>33</v>
      </c>
      <c r="C13" s="12">
        <v>7.0</v>
      </c>
      <c r="D13" s="14" t="s">
        <v>19</v>
      </c>
      <c r="E13" s="25">
        <v>6770.0</v>
      </c>
      <c r="F13" s="12">
        <v>0.0</v>
      </c>
      <c r="G13" s="25">
        <v>700.0</v>
      </c>
      <c r="H13" s="27">
        <f t="shared" si="1"/>
        <v>7470</v>
      </c>
    </row>
    <row r="14" ht="15.75" customHeight="1">
      <c r="A14" s="8">
        <v>46066.0</v>
      </c>
      <c r="B14" s="11" t="s">
        <v>35</v>
      </c>
      <c r="C14" s="12">
        <v>5.0</v>
      </c>
      <c r="D14" s="14" t="s">
        <v>19</v>
      </c>
      <c r="E14" s="25">
        <v>4480.0</v>
      </c>
      <c r="F14" s="12">
        <v>0.0</v>
      </c>
      <c r="G14" s="25">
        <v>300.0</v>
      </c>
      <c r="H14" s="27">
        <f t="shared" si="1"/>
        <v>4780</v>
      </c>
    </row>
    <row r="15" ht="15.75" customHeight="1">
      <c r="A15" s="8">
        <v>46067.0</v>
      </c>
      <c r="B15" s="11" t="s">
        <v>37</v>
      </c>
      <c r="C15" s="12">
        <v>5.5</v>
      </c>
      <c r="D15" s="14" t="s">
        <v>19</v>
      </c>
      <c r="E15" s="12">
        <v>3520.0</v>
      </c>
      <c r="F15" s="40">
        <v>0.0</v>
      </c>
      <c r="G15" s="12">
        <v>400.0</v>
      </c>
      <c r="H15" s="23">
        <f t="shared" si="1"/>
        <v>3920</v>
      </c>
    </row>
    <row r="16" ht="15.75" customHeight="1">
      <c r="A16" s="8">
        <v>46068.0</v>
      </c>
      <c r="B16" s="11" t="s">
        <v>13</v>
      </c>
      <c r="C16" s="12">
        <v>5.0</v>
      </c>
      <c r="D16" s="42" t="s">
        <v>19</v>
      </c>
      <c r="E16" s="25">
        <v>4680.0</v>
      </c>
      <c r="F16" s="12">
        <v>0.0</v>
      </c>
      <c r="G16" s="25">
        <v>450.0</v>
      </c>
      <c r="H16" s="27">
        <f t="shared" si="1"/>
        <v>5130</v>
      </c>
    </row>
    <row r="17" ht="15.75" customHeight="1">
      <c r="A17" s="8">
        <v>46069.0</v>
      </c>
      <c r="B17" s="11" t="s">
        <v>27</v>
      </c>
      <c r="C17" s="12">
        <v>4.0</v>
      </c>
      <c r="D17" s="42" t="s">
        <v>19</v>
      </c>
      <c r="E17" s="25">
        <v>2420.0</v>
      </c>
      <c r="F17" s="12">
        <v>0.0</v>
      </c>
      <c r="G17" s="25">
        <v>50.0</v>
      </c>
      <c r="H17" s="27">
        <f t="shared" si="1"/>
        <v>2470</v>
      </c>
    </row>
    <row r="18" ht="15.75" customHeight="1">
      <c r="A18" s="8">
        <v>46070.0</v>
      </c>
      <c r="B18" s="11" t="s">
        <v>28</v>
      </c>
      <c r="C18" s="12">
        <v>5.5</v>
      </c>
      <c r="D18" s="42" t="s">
        <v>19</v>
      </c>
      <c r="E18" s="12">
        <v>4300.0</v>
      </c>
      <c r="F18" s="12">
        <v>0.0</v>
      </c>
      <c r="G18" s="12">
        <v>250.0</v>
      </c>
      <c r="H18" s="23">
        <f t="shared" si="1"/>
        <v>4550</v>
      </c>
    </row>
    <row r="19" ht="15.75" customHeight="1">
      <c r="A19" s="8">
        <v>46071.0</v>
      </c>
      <c r="B19" s="11" t="s">
        <v>32</v>
      </c>
      <c r="C19" s="12">
        <v>2.0</v>
      </c>
      <c r="D19" s="42" t="s">
        <v>19</v>
      </c>
      <c r="E19" s="25">
        <v>1280.0</v>
      </c>
      <c r="F19" s="12">
        <v>0.0</v>
      </c>
      <c r="G19" s="25">
        <v>0.0</v>
      </c>
      <c r="H19" s="27">
        <f t="shared" si="1"/>
        <v>1280</v>
      </c>
    </row>
    <row r="20" ht="15.75" customHeight="1">
      <c r="A20" s="8">
        <v>46072.0</v>
      </c>
      <c r="B20" s="11" t="s">
        <v>33</v>
      </c>
      <c r="C20" s="12">
        <v>5.0</v>
      </c>
      <c r="D20" s="42" t="s">
        <v>19</v>
      </c>
      <c r="E20" s="12">
        <v>3200.0</v>
      </c>
      <c r="F20" s="12">
        <v>0.0</v>
      </c>
      <c r="G20" s="12">
        <v>200.0</v>
      </c>
      <c r="H20" s="23">
        <f t="shared" si="1"/>
        <v>3400</v>
      </c>
    </row>
    <row r="21" ht="15.75" customHeight="1">
      <c r="A21" s="8">
        <v>46073.0</v>
      </c>
      <c r="B21" s="11" t="s">
        <v>35</v>
      </c>
      <c r="C21" s="12">
        <v>5.5</v>
      </c>
      <c r="D21" s="42" t="s">
        <v>19</v>
      </c>
      <c r="E21" s="25">
        <v>4160.0</v>
      </c>
      <c r="F21" s="12">
        <v>0.0</v>
      </c>
      <c r="G21" s="25">
        <v>250.0</v>
      </c>
      <c r="H21" s="27">
        <f t="shared" si="1"/>
        <v>4410</v>
      </c>
    </row>
    <row r="22" ht="15.75" customHeight="1">
      <c r="A22" s="8">
        <v>46074.0</v>
      </c>
      <c r="B22" s="11" t="s">
        <v>37</v>
      </c>
      <c r="C22" s="12">
        <v>6.5</v>
      </c>
      <c r="D22" s="42" t="s">
        <v>19</v>
      </c>
      <c r="E22" s="12">
        <v>4080.0</v>
      </c>
      <c r="F22" s="12">
        <v>0.0</v>
      </c>
      <c r="G22" s="25">
        <v>750.0</v>
      </c>
      <c r="H22" s="27">
        <f t="shared" si="1"/>
        <v>4830</v>
      </c>
    </row>
    <row r="23" ht="15.75" customHeight="1">
      <c r="A23" s="8">
        <v>46075.0</v>
      </c>
      <c r="B23" s="11" t="s">
        <v>13</v>
      </c>
      <c r="C23" s="12">
        <v>7.5</v>
      </c>
      <c r="D23" s="42" t="s">
        <v>19</v>
      </c>
      <c r="E23" s="25">
        <v>6940.0</v>
      </c>
      <c r="F23" s="12">
        <v>0.0</v>
      </c>
      <c r="G23" s="25">
        <v>700.0</v>
      </c>
      <c r="H23" s="27">
        <f t="shared" si="1"/>
        <v>7640</v>
      </c>
    </row>
    <row r="24" ht="15.75" customHeight="1">
      <c r="A24" s="8">
        <v>46076.0</v>
      </c>
      <c r="B24" s="11" t="s">
        <v>27</v>
      </c>
      <c r="C24" s="12">
        <v>4.5</v>
      </c>
      <c r="D24" s="42" t="s">
        <v>19</v>
      </c>
      <c r="E24" s="25">
        <v>2880.0</v>
      </c>
      <c r="F24" s="12">
        <v>0.0</v>
      </c>
      <c r="G24" s="25">
        <v>300.0</v>
      </c>
      <c r="H24" s="27">
        <f t="shared" si="1"/>
        <v>3180</v>
      </c>
    </row>
    <row r="25" ht="15.75" customHeight="1">
      <c r="A25" s="8">
        <v>46077.0</v>
      </c>
      <c r="B25" s="11" t="s">
        <v>28</v>
      </c>
      <c r="C25" s="12">
        <v>3.5</v>
      </c>
      <c r="D25" s="42" t="s">
        <v>19</v>
      </c>
      <c r="E25" s="25">
        <v>2240.0</v>
      </c>
      <c r="F25" s="12">
        <v>0.0</v>
      </c>
      <c r="G25" s="25">
        <v>350.0</v>
      </c>
      <c r="H25" s="27">
        <f t="shared" si="1"/>
        <v>2590</v>
      </c>
    </row>
    <row r="26" ht="15.75" customHeight="1">
      <c r="A26" s="8">
        <v>46078.0</v>
      </c>
      <c r="B26" s="11" t="s">
        <v>32</v>
      </c>
      <c r="C26" s="12">
        <v>4.0</v>
      </c>
      <c r="D26" s="42" t="s">
        <v>19</v>
      </c>
      <c r="E26" s="25">
        <v>3480.0</v>
      </c>
      <c r="F26" s="12">
        <v>0.0</v>
      </c>
      <c r="G26" s="12">
        <v>100.0</v>
      </c>
      <c r="H26" s="27">
        <f t="shared" si="1"/>
        <v>3580</v>
      </c>
    </row>
    <row r="27" ht="15.75" customHeight="1">
      <c r="A27" s="8">
        <v>46079.0</v>
      </c>
      <c r="B27" s="11" t="s">
        <v>33</v>
      </c>
      <c r="C27" s="12">
        <v>1.5</v>
      </c>
      <c r="D27" s="42" t="s">
        <v>19</v>
      </c>
      <c r="E27" s="25">
        <v>960.0</v>
      </c>
      <c r="F27" s="12">
        <v>0.0</v>
      </c>
      <c r="G27" s="12">
        <v>250.0</v>
      </c>
      <c r="H27" s="27">
        <f t="shared" si="1"/>
        <v>1210</v>
      </c>
    </row>
    <row r="28" ht="15.75" customHeight="1">
      <c r="A28" s="8">
        <v>46080.0</v>
      </c>
      <c r="B28" s="11" t="s">
        <v>35</v>
      </c>
      <c r="C28" s="12">
        <v>5.0</v>
      </c>
      <c r="D28" s="42" t="s">
        <v>19</v>
      </c>
      <c r="E28" s="12">
        <v>3200.0</v>
      </c>
      <c r="F28" s="12">
        <v>0.0</v>
      </c>
      <c r="G28" s="25">
        <v>400.0</v>
      </c>
      <c r="H28" s="27">
        <f t="shared" si="1"/>
        <v>3600</v>
      </c>
    </row>
    <row r="29" ht="15.75" customHeight="1">
      <c r="A29" s="8">
        <v>46081.0</v>
      </c>
      <c r="B29" s="11" t="s">
        <v>37</v>
      </c>
      <c r="C29" s="12">
        <v>7.5</v>
      </c>
      <c r="D29" s="42" t="s">
        <v>19</v>
      </c>
      <c r="E29" s="25">
        <v>6360.0</v>
      </c>
      <c r="F29" s="12">
        <v>0.0</v>
      </c>
      <c r="G29" s="25">
        <v>500.0</v>
      </c>
      <c r="H29" s="27">
        <f t="shared" si="1"/>
        <v>6860</v>
      </c>
    </row>
    <row r="30" ht="15.75" customHeight="1">
      <c r="A30" s="7" t="s">
        <v>40</v>
      </c>
      <c r="B30" s="38"/>
      <c r="C30" s="7">
        <f>SUM(C2:C29)</f>
        <v>135</v>
      </c>
      <c r="D30" s="38"/>
      <c r="E30" s="7">
        <f t="shared" ref="E30:H30" si="2">SUM(E2:E29)</f>
        <v>110170</v>
      </c>
      <c r="F30" s="7">
        <f t="shared" si="2"/>
        <v>0</v>
      </c>
      <c r="G30" s="7">
        <f t="shared" si="2"/>
        <v>10250</v>
      </c>
      <c r="H30" s="7">
        <f t="shared" si="2"/>
        <v>120420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2" width="13.0"/>
    <col customWidth="1" min="3" max="3" width="12.63"/>
    <col customWidth="1" min="4" max="4" width="23.88"/>
    <col customWidth="1" min="5" max="8" width="12.63"/>
  </cols>
  <sheetData>
    <row r="1" ht="15.75" customHeight="1">
      <c r="A1" s="9" t="s">
        <v>0</v>
      </c>
      <c r="B1" s="7" t="s">
        <v>2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15" t="s">
        <v>11</v>
      </c>
    </row>
    <row r="2" ht="15.75" customHeight="1">
      <c r="A2" s="16"/>
      <c r="B2" s="17">
        <v>46054.0</v>
      </c>
      <c r="C2" s="18">
        <v>1950.0</v>
      </c>
      <c r="D2" s="18">
        <v>260.0</v>
      </c>
      <c r="E2" s="24">
        <f t="shared" ref="E2:E4" si="1">C2-D2</f>
        <v>1690</v>
      </c>
      <c r="F2" s="18">
        <v>1.69</v>
      </c>
      <c r="G2" s="18">
        <v>8.47</v>
      </c>
      <c r="H2" s="26">
        <v>1729.83</v>
      </c>
    </row>
    <row r="3" ht="15.75" customHeight="1">
      <c r="A3" s="29"/>
      <c r="B3" s="12" t="s">
        <v>30</v>
      </c>
      <c r="C3" s="31">
        <v>6480.0</v>
      </c>
      <c r="D3" s="18">
        <v>842.5</v>
      </c>
      <c r="E3" s="24">
        <f t="shared" si="1"/>
        <v>5637.5</v>
      </c>
      <c r="F3" s="34">
        <v>5.49</v>
      </c>
      <c r="G3" s="34">
        <v>27.45</v>
      </c>
      <c r="H3" s="34">
        <v>5604.66</v>
      </c>
    </row>
    <row r="4" ht="15.75" customHeight="1">
      <c r="A4" s="29"/>
      <c r="B4" s="12" t="s">
        <v>38</v>
      </c>
      <c r="C4" s="31">
        <v>13030.0</v>
      </c>
      <c r="D4" s="34">
        <v>1695.2</v>
      </c>
      <c r="E4" s="24">
        <f t="shared" si="1"/>
        <v>11334.8</v>
      </c>
      <c r="F4" s="34">
        <v>11.051</v>
      </c>
      <c r="G4" s="34">
        <v>55.25</v>
      </c>
      <c r="H4" s="34">
        <v>11278.51</v>
      </c>
    </row>
    <row r="5" ht="15.75" customHeight="1">
      <c r="A5" s="29"/>
      <c r="B5" s="35" t="s">
        <v>40</v>
      </c>
      <c r="C5" s="36">
        <f>SUM(C2:C4)</f>
        <v>21460</v>
      </c>
      <c r="D5" s="38"/>
      <c r="E5" s="36">
        <f>SUM(E2:E4)</f>
        <v>18662.3</v>
      </c>
      <c r="F5" s="43"/>
      <c r="G5" s="43"/>
      <c r="H5" s="36">
        <f>SUM(H2:H4)</f>
        <v>18613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2" width="13.25"/>
    <col customWidth="1" min="3" max="4" width="14.0"/>
    <col customWidth="1" min="5" max="5" width="23.88"/>
    <col customWidth="1" min="6" max="7" width="12.63"/>
    <col customWidth="1" min="8" max="8" width="6.88"/>
    <col customWidth="1" min="9" max="10" width="14.13"/>
  </cols>
  <sheetData>
    <row r="1" ht="15.75" customHeight="1">
      <c r="A1" s="13" t="s">
        <v>0</v>
      </c>
      <c r="B1" s="15" t="s">
        <v>2</v>
      </c>
      <c r="C1" s="15" t="s">
        <v>20</v>
      </c>
      <c r="D1" s="15" t="s">
        <v>21</v>
      </c>
      <c r="E1" s="15" t="s">
        <v>22</v>
      </c>
      <c r="F1" s="15" t="s">
        <v>16</v>
      </c>
      <c r="G1" s="15" t="s">
        <v>23</v>
      </c>
      <c r="H1" s="15" t="s">
        <v>24</v>
      </c>
      <c r="I1" s="15" t="s">
        <v>25</v>
      </c>
    </row>
    <row r="2" ht="15.75" customHeight="1">
      <c r="A2" s="19"/>
      <c r="B2" s="20">
        <v>46061.0</v>
      </c>
      <c r="C2" s="21">
        <v>800.0</v>
      </c>
      <c r="D2" s="21">
        <v>56.0</v>
      </c>
      <c r="E2" s="21">
        <v>10.08</v>
      </c>
      <c r="F2" s="32">
        <f t="shared" ref="F2:F3" si="1">C2-D2-E2</f>
        <v>733.92</v>
      </c>
      <c r="G2" s="21">
        <v>0.8</v>
      </c>
      <c r="H2" s="21">
        <v>4.0</v>
      </c>
      <c r="I2" s="21">
        <v>729.12</v>
      </c>
    </row>
    <row r="3" ht="15.75" customHeight="1">
      <c r="A3" s="19"/>
      <c r="B3" s="20">
        <v>46071.0</v>
      </c>
      <c r="C3" s="21">
        <v>2400.0</v>
      </c>
      <c r="D3" s="21">
        <v>168.0</v>
      </c>
      <c r="E3" s="21">
        <v>30.24</v>
      </c>
      <c r="F3" s="32">
        <f t="shared" si="1"/>
        <v>2201.76</v>
      </c>
      <c r="G3" s="21">
        <v>0.34</v>
      </c>
      <c r="H3" s="21">
        <v>1.8</v>
      </c>
      <c r="I3" s="21">
        <v>2199.0</v>
      </c>
    </row>
    <row r="4" ht="15.75" customHeight="1">
      <c r="A4" s="16"/>
      <c r="B4" s="35" t="s">
        <v>40</v>
      </c>
      <c r="C4" s="37">
        <f>SUM(C2:C3)</f>
        <v>3200</v>
      </c>
      <c r="D4" s="39"/>
      <c r="E4" s="38"/>
      <c r="F4" s="36">
        <f>SUM(F2:F3)</f>
        <v>2935.68</v>
      </c>
      <c r="G4" s="38"/>
      <c r="H4" s="38"/>
      <c r="I4" s="37">
        <f>SUM(I2:I3)</f>
        <v>2928.12</v>
      </c>
    </row>
    <row r="5" ht="15.75" customHeight="1">
      <c r="F5" s="46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3" max="3" width="18.25"/>
    <col customWidth="1" min="4" max="4" width="14.38"/>
    <col customWidth="1" min="5" max="6" width="14.13"/>
    <col customWidth="1" min="9" max="9" width="14.13"/>
  </cols>
  <sheetData>
    <row r="1">
      <c r="A1" s="51" t="s">
        <v>0</v>
      </c>
      <c r="B1" s="15" t="s">
        <v>2</v>
      </c>
      <c r="C1" s="15" t="s">
        <v>63</v>
      </c>
      <c r="D1" s="15" t="s">
        <v>21</v>
      </c>
      <c r="E1" s="54" t="s">
        <v>66</v>
      </c>
      <c r="F1" s="15" t="s">
        <v>16</v>
      </c>
      <c r="G1" s="56" t="s">
        <v>18</v>
      </c>
      <c r="H1" s="56" t="s">
        <v>17</v>
      </c>
      <c r="I1" s="15" t="s">
        <v>25</v>
      </c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61"/>
      <c r="B2" s="34" t="s">
        <v>75</v>
      </c>
      <c r="C2" s="26">
        <v>4400.0</v>
      </c>
      <c r="D2" s="34">
        <v>84.8</v>
      </c>
      <c r="E2" s="31">
        <v>15.26</v>
      </c>
      <c r="F2" s="64">
        <f t="shared" ref="F2:F3" si="1">C2-D2-E2</f>
        <v>4299.94</v>
      </c>
      <c r="G2" s="34">
        <v>21.2</v>
      </c>
      <c r="H2" s="34">
        <v>4.24</v>
      </c>
      <c r="I2" s="34">
        <v>4114.5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61"/>
      <c r="B3" s="34" t="s">
        <v>38</v>
      </c>
      <c r="C3" s="34">
        <v>12000.0</v>
      </c>
      <c r="D3" s="34">
        <v>241.6</v>
      </c>
      <c r="E3" s="31">
        <v>42.04</v>
      </c>
      <c r="F3" s="64">
        <f t="shared" si="1"/>
        <v>11716.36</v>
      </c>
      <c r="G3" s="34">
        <v>59.4</v>
      </c>
      <c r="H3" s="34">
        <v>11.68</v>
      </c>
      <c r="I3" s="34">
        <v>11344.28</v>
      </c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61"/>
      <c r="B4" s="70" t="s">
        <v>40</v>
      </c>
      <c r="C4" s="74">
        <f>SUM(C2:C3)</f>
        <v>16400</v>
      </c>
      <c r="D4" s="43"/>
      <c r="E4" s="74"/>
      <c r="F4" s="74">
        <f>SUM(F2:F3)</f>
        <v>16016.3</v>
      </c>
      <c r="G4" s="74"/>
      <c r="H4" s="43"/>
      <c r="I4" s="74">
        <f>SUM(I2:I3)</f>
        <v>15458.78</v>
      </c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0.88"/>
    <col customWidth="1" min="2" max="2" width="15.25"/>
    <col customWidth="1" min="3" max="3" width="17.13"/>
    <col customWidth="1" min="4" max="4" width="12.63"/>
    <col customWidth="1" min="5" max="5" width="15.25"/>
    <col customWidth="1" min="6" max="6" width="12.63"/>
  </cols>
  <sheetData>
    <row r="1" ht="15.75" customHeight="1">
      <c r="A1" s="3" t="s">
        <v>58</v>
      </c>
      <c r="B1" s="3" t="s">
        <v>59</v>
      </c>
      <c r="C1" s="3" t="s">
        <v>60</v>
      </c>
      <c r="D1" s="3" t="s">
        <v>61</v>
      </c>
      <c r="E1" s="53" t="s">
        <v>62</v>
      </c>
    </row>
    <row r="2" ht="15.75" customHeight="1">
      <c r="A2" s="55" t="s">
        <v>68</v>
      </c>
      <c r="B2" s="40" t="s">
        <v>74</v>
      </c>
      <c r="C2" s="40" t="s">
        <v>76</v>
      </c>
      <c r="D2" s="62">
        <v>46054.0</v>
      </c>
      <c r="E2" s="63">
        <v>18880.0</v>
      </c>
    </row>
    <row r="3" ht="15.75" customHeight="1">
      <c r="A3" s="16" t="s">
        <v>77</v>
      </c>
      <c r="B3" s="16" t="s">
        <v>78</v>
      </c>
      <c r="C3" s="40" t="s">
        <v>76</v>
      </c>
      <c r="D3" s="8">
        <v>46070.0</v>
      </c>
      <c r="E3" s="57">
        <v>10000.0</v>
      </c>
      <c r="F3" s="29"/>
      <c r="G3" s="29"/>
      <c r="H3" s="65"/>
      <c r="I3" s="66"/>
      <c r="K3" s="29"/>
    </row>
    <row r="4" ht="15.75" customHeight="1">
      <c r="A4" s="16" t="s">
        <v>79</v>
      </c>
      <c r="B4" s="16" t="s">
        <v>72</v>
      </c>
      <c r="C4" s="67" t="s">
        <v>80</v>
      </c>
      <c r="D4" s="8">
        <v>46071.0</v>
      </c>
      <c r="E4" s="57">
        <v>15000.0</v>
      </c>
    </row>
    <row r="5" ht="15.75" customHeight="1">
      <c r="A5" s="68" t="s">
        <v>40</v>
      </c>
      <c r="B5" s="69"/>
      <c r="C5" s="69"/>
      <c r="D5" s="69"/>
      <c r="E5" s="71">
        <f>SUM(E2:E4)</f>
        <v>43880</v>
      </c>
    </row>
    <row r="6" ht="15.75" customHeight="1"/>
    <row r="7" ht="15.75" customHeight="1">
      <c r="A7" s="29"/>
      <c r="B7" s="29"/>
      <c r="C7" s="29"/>
      <c r="D7" s="29"/>
      <c r="E7" s="72"/>
      <c r="F7" s="72"/>
      <c r="G7" s="73"/>
      <c r="H7" s="66"/>
      <c r="I7" s="60"/>
      <c r="J7" s="29"/>
    </row>
    <row r="8" ht="15.75" customHeight="1">
      <c r="A8" s="29"/>
      <c r="B8" s="29"/>
      <c r="C8" s="29"/>
      <c r="D8" s="29"/>
      <c r="E8" s="72"/>
      <c r="F8" s="72"/>
      <c r="G8" s="73"/>
      <c r="H8" s="66"/>
      <c r="I8" s="60"/>
      <c r="J8" s="29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ataValidations>
    <dataValidation type="list" allowBlank="1" showErrorMessage="1" sqref="C2:C3">
      <formula1>"Kickoff Pack (7),Pro Pack (30),Rally Pack (15),Grand slam (90),Collab,Custom"</formula1>
    </dataValidation>
    <dataValidation type="list" allowBlank="1" showErrorMessage="1" sqref="C4">
      <formula1>"Kickoff Pack (7),Pro Pack (30),Rally Pack (15),Grand slam (90),Collab/custom,Coaching"</formula1>
    </dataValidation>
    <dataValidation type="list" allowBlank="1" showErrorMessage="1" sqref="B2:B4">
      <formula1>"Pickleball,Padel,Box Cricket,Pickle &amp; Box"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6.0"/>
    <col customWidth="1" min="2" max="2" width="38.13"/>
    <col customWidth="1" min="4" max="4" width="14.25"/>
    <col customWidth="1" min="5" max="5" width="13.63"/>
    <col customWidth="1" min="6" max="6" width="15.25"/>
  </cols>
  <sheetData>
    <row r="1">
      <c r="A1" s="52" t="s">
        <v>2</v>
      </c>
      <c r="B1" s="52" t="s">
        <v>64</v>
      </c>
      <c r="C1" s="52" t="s">
        <v>65</v>
      </c>
      <c r="D1" s="7" t="s">
        <v>59</v>
      </c>
      <c r="E1" s="52" t="s">
        <v>67</v>
      </c>
      <c r="F1" s="7" t="s">
        <v>62</v>
      </c>
    </row>
    <row r="2">
      <c r="A2" s="16" t="s">
        <v>69</v>
      </c>
      <c r="B2" s="16" t="s">
        <v>70</v>
      </c>
      <c r="C2" s="16" t="s">
        <v>71</v>
      </c>
      <c r="D2" s="55" t="s">
        <v>72</v>
      </c>
      <c r="E2" s="16" t="s">
        <v>73</v>
      </c>
      <c r="F2" s="57">
        <v>5520.0</v>
      </c>
    </row>
    <row r="3">
      <c r="A3" s="35" t="s">
        <v>40</v>
      </c>
      <c r="B3" s="58"/>
      <c r="C3" s="58"/>
      <c r="D3" s="58"/>
      <c r="E3" s="58"/>
      <c r="F3" s="59">
        <v>5520.0</v>
      </c>
      <c r="G3" s="60"/>
      <c r="H3" s="29"/>
      <c r="I3" s="29"/>
      <c r="J3" s="29"/>
      <c r="K3" s="29"/>
    </row>
  </sheetData>
  <drawing r:id="rId1"/>
</worksheet>
</file>