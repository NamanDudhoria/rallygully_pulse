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Memberships" sheetId="4" r:id="rId8"/>
    <sheet state="visible" name="B2B" sheetId="5" r:id="rId9"/>
  </sheets>
  <definedNames/>
  <calcPr/>
</workbook>
</file>

<file path=xl/sharedStrings.xml><?xml version="1.0" encoding="utf-8"?>
<sst xmlns="http://schemas.openxmlformats.org/spreadsheetml/2006/main" count="116" uniqueCount="81">
  <si>
    <t>1 - 30 Sept</t>
  </si>
  <si>
    <t>Particulars</t>
  </si>
  <si>
    <t>Amount</t>
  </si>
  <si>
    <t>Pickleball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</si>
  <si>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</si>
  <si>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</si>
  <si>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</si>
  <si>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</si>
  <si>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</si>
  <si>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</si>
  <si>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</si>
  <si>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</si>
  <si>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</si>
  <si>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</si>
  <si>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</si>
  <si>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</si>
  <si>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</si>
  <si>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Community Partnership</t>
  </si>
  <si>
    <t>Academy</t>
  </si>
  <si>
    <t>B2B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</si>
  <si>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</si>
  <si>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</si>
  <si>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</si>
  <si>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</si>
  <si>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</si>
  <si>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</si>
  <si>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</si>
  <si>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</si>
  <si>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 xml:space="preserve">GST </t>
  </si>
  <si>
    <t>Net Revenue Post GST</t>
  </si>
  <si>
    <t>Commissions, Payment gateway &amp; Event Expense</t>
  </si>
  <si>
    <t xml:space="preserve">Net Revenue </t>
  </si>
  <si>
    <t>VM Salary</t>
  </si>
  <si>
    <t>Support Staff</t>
  </si>
  <si>
    <t>Marketing, Branding &amp; Community</t>
  </si>
  <si>
    <t>Balls</t>
  </si>
  <si>
    <t>Net Profit</t>
  </si>
  <si>
    <t>Date</t>
  </si>
  <si>
    <t>Day</t>
  </si>
  <si>
    <t>Offline booking hours</t>
  </si>
  <si>
    <t>Booking Revenue</t>
  </si>
  <si>
    <t>Community Revenue</t>
  </si>
  <si>
    <t xml:space="preserve">Paddle Rental </t>
  </si>
  <si>
    <t>Total Revenue</t>
  </si>
  <si>
    <t>Payment Gateway</t>
  </si>
  <si>
    <t>Net Revenue</t>
  </si>
  <si>
    <t>Tuesday</t>
  </si>
  <si>
    <t>Wednesday</t>
  </si>
  <si>
    <t>Thursday</t>
  </si>
  <si>
    <t>Friday</t>
  </si>
  <si>
    <t>Saturday</t>
  </si>
  <si>
    <t>Sunday</t>
  </si>
  <si>
    <t>Monday</t>
  </si>
  <si>
    <t>Venue Closed</t>
  </si>
  <si>
    <t>Total</t>
  </si>
  <si>
    <t>Link</t>
  </si>
  <si>
    <t>Paid to District</t>
  </si>
  <si>
    <t>Commissions (₹)</t>
  </si>
  <si>
    <t>GST on Commission</t>
  </si>
  <si>
    <t>TCS</t>
  </si>
  <si>
    <t>TDS</t>
  </si>
  <si>
    <t>Final Amount (₹)</t>
  </si>
  <si>
    <t>Month</t>
  </si>
  <si>
    <t>Member Name</t>
  </si>
  <si>
    <t>Sports Type</t>
  </si>
  <si>
    <t>Credits Issued</t>
  </si>
  <si>
    <t>Amount Collected</t>
  </si>
  <si>
    <t>September</t>
  </si>
  <si>
    <t>Koshik</t>
  </si>
  <si>
    <t>10 Hours</t>
  </si>
  <si>
    <t>Utkarsh</t>
  </si>
  <si>
    <t>15 Hours</t>
  </si>
  <si>
    <t>Start Month</t>
  </si>
  <si>
    <t>Partnership Type</t>
  </si>
  <si>
    <t>Name of Brand/Person</t>
  </si>
  <si>
    <t>Deliverables</t>
  </si>
  <si>
    <t>Amount (₹)</t>
  </si>
  <si>
    <t>Sept</t>
  </si>
  <si>
    <t>Event Booking</t>
  </si>
  <si>
    <t>Founder mixer event</t>
  </si>
  <si>
    <t>2 Hours of Courts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</si>
</sst>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&gt;9999999][$₹]##\,##\,##\,##0;[&gt;99999][$₹]##\,##\,##0;[$₹]##,##0"/>
    <numFmt numFmtId="165" formatCode="[$₹]#,##0.00"/>
    <numFmt numFmtId="166" formatCode="[$₹]#,##0"/>
    <numFmt numFmtId="167" formatCode="d mmmm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sz val="37.0"/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164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horizontal="center" vertical="bottom"/>
    </xf>
    <xf borderId="3" fillId="2" fontId="1" numFmtId="164" xfId="0" applyAlignment="1" applyBorder="1" applyFill="1" applyFont="1" applyNumberForma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0" fontId="2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1" numFmtId="164" xfId="0" applyAlignment="1" applyBorder="1" applyFont="1" applyNumberFormat="1">
      <alignment vertical="bottom"/>
    </xf>
    <xf borderId="3" fillId="0" fontId="1" numFmtId="164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3" fillId="0" fontId="1" numFmtId="165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readingOrder="0" vertical="bottom"/>
    </xf>
    <xf borderId="3" fillId="0" fontId="2" numFmtId="166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3" fillId="2" fontId="2" numFmtId="165" xfId="0" applyAlignment="1" applyBorder="1" applyFill="1" applyFont="1" applyNumberFormat="1">
      <alignment vertical="bottom"/>
    </xf>
    <xf borderId="3" fillId="2" fontId="2" numFmtId="166" xfId="0" applyAlignment="1" applyBorder="1" applyFill="1" applyFont="1" applyNumberFormat="1">
      <alignment horizontal="right" vertical="bottom"/>
    </xf>
    <xf borderId="3" fillId="0" fontId="1" numFmtId="166" xfId="0" applyAlignment="1" applyBorder="1" applyFont="1" applyNumberFormat="1">
      <alignment shrinkToFit="0" vertical="bottom" wrapText="1"/>
    </xf>
    <xf borderId="3" fillId="0" fontId="2" numFmtId="166" xfId="0" applyAlignment="1" applyBorder="1" applyFont="1" applyNumberFormat="1">
      <alignment horizontal="right" vertical="bottom"/>
    </xf>
    <xf borderId="3" fillId="0" fontId="2" numFmtId="166" xfId="0" applyAlignment="1" applyBorder="1" applyFont="1" applyNumberFormat="1">
      <alignment shrinkToFit="0" vertical="bottom" wrapText="1"/>
    </xf>
    <xf borderId="3" fillId="0" fontId="1" numFmtId="166" xfId="0" applyAlignment="1" applyBorder="1" applyFont="1" applyNumberFormat="1">
      <alignment vertical="bottom"/>
    </xf>
    <xf borderId="3" fillId="0" fontId="1" numFmtId="166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3" xfId="0" applyAlignment="1" applyBorder="1" applyFill="1" applyFont="1" applyNumberFormat="1">
      <alignment vertical="bottom"/>
    </xf>
    <xf borderId="3" fillId="3" fontId="1" numFmtId="167" xfId="0" applyAlignment="1" applyBorder="1" applyFill="1" applyFont="1" applyNumberFormat="1">
      <alignment horizontal="right" vertical="bottom"/>
    </xf>
    <xf borderId="3" fillId="3" fontId="1" numFmtId="166" xfId="0" applyAlignment="1" applyBorder="1" applyFill="1" applyFont="1" applyNumberFormat="1">
      <alignment vertical="bottom"/>
    </xf>
    <xf borderId="3" fillId="3" fontId="1" numFmtId="3" xfId="0" applyAlignment="1" applyBorder="1" applyFill="1" applyFont="1" applyNumberFormat="1">
      <alignment horizontal="right" vertical="bottom"/>
    </xf>
    <xf borderId="3" fillId="0" fontId="1" numFmtId="3" xfId="0" applyAlignment="1" applyBorder="1" applyFont="1" applyNumberFormat="1">
      <alignment horizontal="right" vertical="bottom"/>
    </xf>
    <xf borderId="3" fillId="0" fontId="1" numFmtId="4" xfId="0" applyAlignment="1" applyBorder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4" fillId="0" fontId="4" numFmtId="4" xfId="0" applyAlignment="1" applyBorder="1" applyFont="1" applyNumberForma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3" fillId="3" fontId="1" numFmtId="166" xfId="0" applyAlignment="1" applyBorder="1" applyFill="1" applyFont="1" applyNumberFormat="1">
      <alignment horizontal="right" vertical="bottom"/>
    </xf>
    <xf borderId="3" fillId="2" fontId="2" numFmtId="166" xfId="0" applyAlignment="1" applyBorder="1" applyFill="1" applyFont="1" applyNumberFormat="1">
      <alignment vertical="bottom"/>
    </xf>
    <xf borderId="3" fillId="2" fontId="1" numFmtId="166" xfId="0" applyAlignment="1" applyBorder="1" applyFill="1" applyFont="1" applyNumberFormat="1">
      <alignment vertical="bottom"/>
    </xf>
    <xf borderId="3" fillId="2" fontId="5" numFmtId="165" xfId="0" applyAlignment="1" applyBorder="1" applyFill="1" applyFont="1" applyNumberFormat="1">
      <alignment horizontal="center" readingOrder="0" vertical="bottom"/>
    </xf>
    <xf borderId="0" fillId="2" fontId="6" numFmtId="166" xfId="0" applyAlignment="1" applyFill="1" applyFont="1" applyNumberFormat="1">
      <alignment vertical="bottom"/>
    </xf>
    <xf borderId="0" fillId="2" fontId="2" numFmtId="166" xfId="0" applyAlignment="1" applyFill="1" applyFont="1" applyNumberFormat="1">
      <alignment horizontal="center" vertical="bottom"/>
    </xf>
    <xf borderId="3" fillId="0" fontId="1" numFmtId="165" xfId="0" applyAlignment="1" applyBorder="1" applyFont="1" applyNumberFormat="1">
      <alignment readingOrder="0" vertical="bottom"/>
    </xf>
    <xf borderId="3" fillId="0" fontId="1" numFmtId="166" xfId="0" applyAlignment="1" applyBorder="1" applyFont="1" applyNumberFormat="1">
      <alignment horizontal="right" readingOrder="0" vertical="bottom"/>
    </xf>
    <xf borderId="0" fillId="0" fontId="1" numFmtId="164" xfId="0" applyAlignment="1" applyFont="1" applyNumberFormat="1">
      <alignment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right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0" fontId="1" numFmtId="0" xfId="0" applyAlignment="1" applyBorder="1" applyFont="1">
      <alignment horizontal="right" vertical="bottom"/>
    </xf>
    <xf borderId="3" fillId="0" fontId="1" numFmtId="165" xfId="0" applyAlignment="1" applyBorder="1" applyFont="1" applyNumberFormat="1">
      <alignment horizontal="right" vertical="bottom"/>
    </xf>
    <xf borderId="3" fillId="0" fontId="7" numFmtId="165" xfId="0" applyBorder="1" applyFont="1" applyNumberFormat="1"/>
    <xf borderId="3" fillId="0" fontId="8" numFmtId="0" xfId="0" applyAlignment="1" applyBorder="1" applyFont="1">
      <alignment readingOrder="0"/>
    </xf>
    <xf borderId="3" fillId="0" fontId="8" numFmtId="0" xfId="0" applyBorder="1" applyFont="1"/>
    <xf borderId="3" fillId="0" fontId="8" numFmtId="165" xfId="0" applyBorder="1" applyFont="1" applyNumberFormat="1"/>
    <xf borderId="3" fillId="0" fontId="8" numFmtId="3" xfId="0" applyBorder="1" applyFont="1" applyNumberFormat="1"/>
    <xf borderId="3" fillId="2" fontId="2" numFmtId="165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zdo4aURo-h4Px7kdswxxMul6V88HoiWj0wFxGiAwo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3" t="s">
        <v>0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5" t="s">
        <v>1</v>
      </c>
      <c r="C3" s="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7"/>
      <c r="C4" s="8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9" t="s">
        <v>4</v>
      </c>
      <c r="C5" s="10">
        <f>sum(C6,C12)</f>
        <v>53046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9" t="s">
        <v>5</v>
      </c>
      <c r="C6" s="10">
        <f>sum(C7:C11)</f>
        <v>39546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outlineLevel="1">
      <c r="A7" s="2"/>
      <c r="B7" s="11" t="s">
        <v>6</v>
      </c>
      <c r="C7" s="12">
        <f>District!C4</f>
        <v>39546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outlineLevel="1">
      <c r="A8" s="2"/>
      <c r="B8" s="11" t="s">
        <v>7</v>
      </c>
      <c r="C8" s="12">
        <v>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outlineLevel="1">
      <c r="A9" s="2"/>
      <c r="B9" s="11" t="s">
        <v>8</v>
      </c>
      <c r="C9" s="12">
        <v>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outlineLevel="1">
      <c r="A10" s="2"/>
      <c r="B10" s="11" t="s">
        <v>9</v>
      </c>
      <c r="C10" s="12">
        <v>0.0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outlineLevel="1">
      <c r="A11" s="2"/>
      <c r="B11" s="11" t="s">
        <v>10</v>
      </c>
      <c r="C11" s="12">
        <v>0.0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9" t="s">
        <v>11</v>
      </c>
      <c r="C12" s="10">
        <f>sum(C13:C14)</f>
        <v>13500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outlineLevel="1">
      <c r="A13" s="13"/>
      <c r="B13" s="11" t="s">
        <v>12</v>
      </c>
      <c r="C13" s="12">
        <f>'Offline &amp; RG Community'!D32</f>
        <v>500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outlineLevel="1">
      <c r="A14" s="2"/>
      <c r="B14" s="14" t="s">
        <v>13</v>
      </c>
      <c r="C14" s="12">
        <f>Memberships!E4</f>
        <v>13000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9" t="s">
        <v>14</v>
      </c>
      <c r="C15" s="10">
        <f>sum(C16:C18)</f>
        <v>1500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outlineLevel="1">
      <c r="A16" s="2"/>
      <c r="B16" s="11" t="s">
        <v>15</v>
      </c>
      <c r="C16" s="12">
        <f>'Offline &amp; RG Community'!E32</f>
        <v>1500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outlineLevel="1">
      <c r="A17" s="2"/>
      <c r="B17" s="11" t="s">
        <v>16</v>
      </c>
      <c r="C17" s="12">
        <v>0.0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11" t="s">
        <v>17</v>
      </c>
      <c r="C18" s="12">
        <v>0.0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9" t="s">
        <v>18</v>
      </c>
      <c r="C19" s="10">
        <v>0.0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15" t="s">
        <v>19</v>
      </c>
      <c r="C20" s="10">
        <f>sum(C21,C22)</f>
        <v>2000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outlineLevel="1">
      <c r="A21" s="2"/>
      <c r="B21" s="11" t="s">
        <v>20</v>
      </c>
      <c r="C21" s="12">
        <f>B2B!E2</f>
        <v>2000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outlineLevel="1">
      <c r="A22" s="2"/>
      <c r="B22" s="11" t="s">
        <v>21</v>
      </c>
      <c r="C22" s="12">
        <v>0.0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9" t="s">
        <v>22</v>
      </c>
      <c r="C23" s="10">
        <f>sum(C24:C26)</f>
        <v>275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outlineLevel="1">
      <c r="A24" s="2"/>
      <c r="B24" s="11" t="s">
        <v>23</v>
      </c>
      <c r="C24" s="12">
        <f>'Offline &amp; RG Community'!F32</f>
        <v>275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outlineLevel="1">
      <c r="A25" s="2"/>
      <c r="B25" s="11" t="s">
        <v>24</v>
      </c>
      <c r="C25" s="12">
        <v>0.0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outlineLevel="1">
      <c r="A26" s="2"/>
      <c r="B26" s="11" t="s">
        <v>25</v>
      </c>
      <c r="C26" s="12">
        <v>0.0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3"/>
      <c r="B27" s="16" t="s">
        <v>26</v>
      </c>
      <c r="C27" s="10">
        <v>0.0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7"/>
      <c r="B28" s="18" t="s">
        <v>27</v>
      </c>
      <c r="C28" s="19">
        <f>C5+C15+C19+C20+C23+C27</f>
        <v>56821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7"/>
      <c r="B29" s="20" t="s">
        <v>28</v>
      </c>
      <c r="C29" s="21">
        <f>C28-(C28/1.18)</f>
        <v>8667.610169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7"/>
      <c r="B30" s="22" t="s">
        <v>29</v>
      </c>
      <c r="C30" s="21">
        <f>C28-C29</f>
        <v>48153.38983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0" t="s">
        <v>30</v>
      </c>
      <c r="C31" s="21">
        <f>'Offline &amp; RG Community'!H32+District!D4+District!E4+Memberships!F4+B2B!F2</f>
        <v>3166.3125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16" t="s">
        <v>31</v>
      </c>
      <c r="C32" s="21">
        <f>C28-C29-C31</f>
        <v>44987.07733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11" t="s">
        <v>32</v>
      </c>
      <c r="C33" s="12">
        <f>1580+11032+10000+2400</f>
        <v>25012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3" t="s">
        <v>33</v>
      </c>
      <c r="C34" s="12">
        <v>5500.0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3" t="s">
        <v>34</v>
      </c>
      <c r="C35" s="24">
        <v>6000.0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5" t="s">
        <v>35</v>
      </c>
      <c r="C36" s="24">
        <v>5500.0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5"/>
      <c r="C37" s="2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6" t="s">
        <v>36</v>
      </c>
      <c r="C38" s="10">
        <f>C30-(sum(C33:C36))</f>
        <v>6141.389831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9.75"/>
    <col customWidth="1" min="3" max="3" width="18.25"/>
    <col customWidth="1" min="4" max="4" width="15.13"/>
    <col customWidth="1" min="5" max="6" width="17.63"/>
    <col customWidth="1" min="7" max="8" width="15.25"/>
  </cols>
  <sheetData>
    <row r="1">
      <c r="A1" s="27" t="s">
        <v>37</v>
      </c>
      <c r="B1" s="27" t="s">
        <v>38</v>
      </c>
      <c r="C1" s="28" t="s">
        <v>39</v>
      </c>
      <c r="D1" s="27" t="s">
        <v>40</v>
      </c>
      <c r="E1" s="27" t="s">
        <v>41</v>
      </c>
      <c r="F1" s="27" t="s">
        <v>42</v>
      </c>
      <c r="G1" s="28" t="s">
        <v>43</v>
      </c>
      <c r="H1" s="29" t="s">
        <v>44</v>
      </c>
      <c r="I1" s="29" t="s">
        <v>45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0">
        <v>46266.0</v>
      </c>
      <c r="B2" s="31" t="s">
        <v>46</v>
      </c>
      <c r="C2" s="32">
        <v>0.0</v>
      </c>
      <c r="D2" s="24">
        <v>0.0</v>
      </c>
      <c r="E2" s="24">
        <v>0.0</v>
      </c>
      <c r="F2" s="24">
        <v>100.0</v>
      </c>
      <c r="G2" s="33">
        <f t="shared" ref="G2:G31" si="1">sum(D2:F2)</f>
        <v>100</v>
      </c>
      <c r="H2" s="33">
        <f t="shared" ref="H2:H31" si="2">G2*1.75%</f>
        <v>1.75</v>
      </c>
      <c r="I2" s="33">
        <f t="shared" ref="I2:I31" si="3">G2-H2</f>
        <v>98.25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0">
        <v>46267.0</v>
      </c>
      <c r="B3" s="31" t="s">
        <v>47</v>
      </c>
      <c r="C3" s="32">
        <v>0.0</v>
      </c>
      <c r="D3" s="24">
        <v>0.0</v>
      </c>
      <c r="E3" s="24">
        <v>0.0</v>
      </c>
      <c r="F3" s="24">
        <v>0.0</v>
      </c>
      <c r="G3" s="33">
        <f t="shared" si="1"/>
        <v>0</v>
      </c>
      <c r="H3" s="33">
        <f t="shared" si="2"/>
        <v>0</v>
      </c>
      <c r="I3" s="33">
        <f t="shared" si="3"/>
        <v>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30">
        <v>46268.0</v>
      </c>
      <c r="B4" s="31" t="s">
        <v>48</v>
      </c>
      <c r="C4" s="32">
        <v>0.0</v>
      </c>
      <c r="D4" s="24">
        <v>0.0</v>
      </c>
      <c r="E4" s="24">
        <v>0.0</v>
      </c>
      <c r="F4" s="24">
        <v>0.0</v>
      </c>
      <c r="G4" s="33">
        <f t="shared" si="1"/>
        <v>0</v>
      </c>
      <c r="H4" s="33">
        <f t="shared" si="2"/>
        <v>0</v>
      </c>
      <c r="I4" s="33">
        <f t="shared" si="3"/>
        <v>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30">
        <v>46269.0</v>
      </c>
      <c r="B5" s="31" t="s">
        <v>49</v>
      </c>
      <c r="C5" s="32">
        <v>0.0</v>
      </c>
      <c r="D5" s="24">
        <v>0.0</v>
      </c>
      <c r="E5" s="24">
        <v>0.0</v>
      </c>
      <c r="F5" s="24">
        <v>0.0</v>
      </c>
      <c r="G5" s="33">
        <f t="shared" si="1"/>
        <v>0</v>
      </c>
      <c r="H5" s="33">
        <f t="shared" si="2"/>
        <v>0</v>
      </c>
      <c r="I5" s="33">
        <f t="shared" si="3"/>
        <v>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30">
        <v>46270.0</v>
      </c>
      <c r="B6" s="31" t="s">
        <v>50</v>
      </c>
      <c r="C6" s="32">
        <v>0.0</v>
      </c>
      <c r="D6" s="24">
        <v>0.0</v>
      </c>
      <c r="E6" s="24">
        <v>0.0</v>
      </c>
      <c r="F6" s="24">
        <v>0.0</v>
      </c>
      <c r="G6" s="33">
        <f t="shared" si="1"/>
        <v>0</v>
      </c>
      <c r="H6" s="33">
        <f t="shared" si="2"/>
        <v>0</v>
      </c>
      <c r="I6" s="33">
        <f t="shared" si="3"/>
        <v>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30">
        <v>46271.0</v>
      </c>
      <c r="B7" s="31" t="s">
        <v>51</v>
      </c>
      <c r="C7" s="32">
        <v>0.0</v>
      </c>
      <c r="D7" s="24">
        <v>0.0</v>
      </c>
      <c r="E7" s="24">
        <v>0.0</v>
      </c>
      <c r="F7" s="24">
        <v>0.0</v>
      </c>
      <c r="G7" s="33">
        <f t="shared" si="1"/>
        <v>0</v>
      </c>
      <c r="H7" s="33">
        <f t="shared" si="2"/>
        <v>0</v>
      </c>
      <c r="I7" s="33">
        <f t="shared" si="3"/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30">
        <v>46272.0</v>
      </c>
      <c r="B8" s="31" t="s">
        <v>52</v>
      </c>
      <c r="C8" s="32">
        <v>0.0</v>
      </c>
      <c r="D8" s="24">
        <v>0.0</v>
      </c>
      <c r="E8" s="24">
        <v>0.0</v>
      </c>
      <c r="F8" s="24">
        <v>0.0</v>
      </c>
      <c r="G8" s="33">
        <f t="shared" si="1"/>
        <v>0</v>
      </c>
      <c r="H8" s="33">
        <f t="shared" si="2"/>
        <v>0</v>
      </c>
      <c r="I8" s="33">
        <f t="shared" si="3"/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30">
        <v>46273.0</v>
      </c>
      <c r="B9" s="31" t="s">
        <v>46</v>
      </c>
      <c r="C9" s="32">
        <v>0.0</v>
      </c>
      <c r="D9" s="24">
        <v>0.0</v>
      </c>
      <c r="E9" s="24">
        <v>0.0</v>
      </c>
      <c r="F9" s="24">
        <v>0.0</v>
      </c>
      <c r="G9" s="33">
        <f t="shared" si="1"/>
        <v>0</v>
      </c>
      <c r="H9" s="33">
        <f t="shared" si="2"/>
        <v>0</v>
      </c>
      <c r="I9" s="33">
        <f t="shared" si="3"/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30">
        <v>46274.0</v>
      </c>
      <c r="B10" s="31" t="s">
        <v>47</v>
      </c>
      <c r="C10" s="32">
        <v>0.0</v>
      </c>
      <c r="D10" s="24">
        <v>0.0</v>
      </c>
      <c r="E10" s="24">
        <v>0.0</v>
      </c>
      <c r="F10" s="24">
        <v>25.0</v>
      </c>
      <c r="G10" s="33">
        <f t="shared" si="1"/>
        <v>25</v>
      </c>
      <c r="H10" s="33">
        <f t="shared" si="2"/>
        <v>0.4375</v>
      </c>
      <c r="I10" s="33">
        <f t="shared" si="3"/>
        <v>24.5625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30">
        <v>46275.0</v>
      </c>
      <c r="B11" s="31" t="s">
        <v>48</v>
      </c>
      <c r="C11" s="32">
        <v>0.0</v>
      </c>
      <c r="D11" s="24">
        <v>0.0</v>
      </c>
      <c r="E11" s="24">
        <v>0.0</v>
      </c>
      <c r="F11" s="24">
        <v>0.0</v>
      </c>
      <c r="G11" s="33">
        <f t="shared" si="1"/>
        <v>0</v>
      </c>
      <c r="H11" s="33">
        <f t="shared" si="2"/>
        <v>0</v>
      </c>
      <c r="I11" s="33">
        <f t="shared" si="3"/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30">
        <v>46276.0</v>
      </c>
      <c r="B12" s="31" t="s">
        <v>49</v>
      </c>
      <c r="C12" s="34">
        <v>0.0</v>
      </c>
      <c r="D12" s="24">
        <v>0.0</v>
      </c>
      <c r="E12" s="24">
        <v>0.0</v>
      </c>
      <c r="F12" s="24">
        <v>0.0</v>
      </c>
      <c r="G12" s="33">
        <f t="shared" si="1"/>
        <v>0</v>
      </c>
      <c r="H12" s="33">
        <f t="shared" si="2"/>
        <v>0</v>
      </c>
      <c r="I12" s="33">
        <f t="shared" si="3"/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30">
        <v>46277.0</v>
      </c>
      <c r="B13" s="31" t="s">
        <v>50</v>
      </c>
      <c r="C13" s="33">
        <v>0.0</v>
      </c>
      <c r="D13" s="24">
        <v>0.0</v>
      </c>
      <c r="E13" s="24">
        <v>0.0</v>
      </c>
      <c r="F13" s="24">
        <v>0.0</v>
      </c>
      <c r="G13" s="33">
        <f t="shared" si="1"/>
        <v>0</v>
      </c>
      <c r="H13" s="33">
        <f t="shared" si="2"/>
        <v>0</v>
      </c>
      <c r="I13" s="33">
        <f t="shared" si="3"/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30">
        <v>46278.0</v>
      </c>
      <c r="B14" s="31" t="s">
        <v>51</v>
      </c>
      <c r="C14" s="34">
        <v>0.0</v>
      </c>
      <c r="D14" s="24">
        <v>0.0</v>
      </c>
      <c r="E14" s="24">
        <v>0.0</v>
      </c>
      <c r="F14" s="24">
        <v>0.0</v>
      </c>
      <c r="G14" s="33">
        <f t="shared" si="1"/>
        <v>0</v>
      </c>
      <c r="H14" s="33">
        <f t="shared" si="2"/>
        <v>0</v>
      </c>
      <c r="I14" s="33">
        <f t="shared" si="3"/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30">
        <v>46279.0</v>
      </c>
      <c r="B15" s="31" t="s">
        <v>52</v>
      </c>
      <c r="C15" s="34">
        <v>0.0</v>
      </c>
      <c r="D15" s="24">
        <v>0.0</v>
      </c>
      <c r="E15" s="24">
        <v>0.0</v>
      </c>
      <c r="F15" s="24">
        <v>0.0</v>
      </c>
      <c r="G15" s="33">
        <f t="shared" si="1"/>
        <v>0</v>
      </c>
      <c r="H15" s="33">
        <f t="shared" si="2"/>
        <v>0</v>
      </c>
      <c r="I15" s="33">
        <f t="shared" si="3"/>
        <v>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30">
        <v>46280.0</v>
      </c>
      <c r="B16" s="31" t="s">
        <v>46</v>
      </c>
      <c r="C16" s="33">
        <v>0.0</v>
      </c>
      <c r="D16" s="24">
        <v>0.0</v>
      </c>
      <c r="E16" s="24">
        <v>0.0</v>
      </c>
      <c r="F16" s="24">
        <v>0.0</v>
      </c>
      <c r="G16" s="33">
        <f t="shared" si="1"/>
        <v>0</v>
      </c>
      <c r="H16" s="33">
        <f t="shared" si="2"/>
        <v>0</v>
      </c>
      <c r="I16" s="33">
        <f t="shared" si="3"/>
        <v>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30">
        <v>46281.0</v>
      </c>
      <c r="B17" s="31" t="s">
        <v>47</v>
      </c>
      <c r="C17" s="33">
        <v>0.0</v>
      </c>
      <c r="D17" s="35">
        <v>0.0</v>
      </c>
      <c r="E17" s="24">
        <v>0.0</v>
      </c>
      <c r="F17" s="24">
        <v>0.0</v>
      </c>
      <c r="G17" s="33">
        <f t="shared" si="1"/>
        <v>0</v>
      </c>
      <c r="H17" s="33">
        <f t="shared" si="2"/>
        <v>0</v>
      </c>
      <c r="I17" s="33">
        <f t="shared" si="3"/>
        <v>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30">
        <v>46282.0</v>
      </c>
      <c r="B18" s="31" t="s">
        <v>48</v>
      </c>
      <c r="C18" s="34">
        <v>0.0</v>
      </c>
      <c r="D18" s="24">
        <v>0.0</v>
      </c>
      <c r="E18" s="24">
        <v>0.0</v>
      </c>
      <c r="F18" s="24">
        <v>0.0</v>
      </c>
      <c r="G18" s="33">
        <f t="shared" si="1"/>
        <v>0</v>
      </c>
      <c r="H18" s="33">
        <f t="shared" si="2"/>
        <v>0</v>
      </c>
      <c r="I18" s="33">
        <f t="shared" si="3"/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30">
        <v>46283.0</v>
      </c>
      <c r="B19" s="31" t="s">
        <v>49</v>
      </c>
      <c r="C19" s="33">
        <v>0.0</v>
      </c>
      <c r="D19" s="24">
        <v>0.0</v>
      </c>
      <c r="E19" s="24">
        <v>0.0</v>
      </c>
      <c r="F19" s="24">
        <v>0.0</v>
      </c>
      <c r="G19" s="33">
        <f t="shared" si="1"/>
        <v>0</v>
      </c>
      <c r="H19" s="33">
        <f t="shared" si="2"/>
        <v>0</v>
      </c>
      <c r="I19" s="33">
        <f t="shared" si="3"/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30">
        <v>46284.0</v>
      </c>
      <c r="B20" s="31" t="s">
        <v>50</v>
      </c>
      <c r="C20" s="34">
        <v>0.0</v>
      </c>
      <c r="D20" s="24">
        <v>0.0</v>
      </c>
      <c r="E20" s="24">
        <v>0.0</v>
      </c>
      <c r="F20" s="24">
        <v>0.0</v>
      </c>
      <c r="G20" s="33">
        <f t="shared" si="1"/>
        <v>0</v>
      </c>
      <c r="H20" s="33">
        <f t="shared" si="2"/>
        <v>0</v>
      </c>
      <c r="I20" s="33">
        <f t="shared" si="3"/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30">
        <v>46285.0</v>
      </c>
      <c r="B21" s="31" t="s">
        <v>51</v>
      </c>
      <c r="C21" s="33">
        <v>0.0</v>
      </c>
      <c r="D21" s="24">
        <v>0.0</v>
      </c>
      <c r="E21" s="24">
        <v>0.0</v>
      </c>
      <c r="F21" s="24">
        <v>0.0</v>
      </c>
      <c r="G21" s="33">
        <f t="shared" si="1"/>
        <v>0</v>
      </c>
      <c r="H21" s="33">
        <f t="shared" si="2"/>
        <v>0</v>
      </c>
      <c r="I21" s="33">
        <f t="shared" si="3"/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30">
        <v>46286.0</v>
      </c>
      <c r="B22" s="31" t="s">
        <v>52</v>
      </c>
      <c r="C22" s="34">
        <v>0.0</v>
      </c>
      <c r="D22" s="24">
        <v>0.0</v>
      </c>
      <c r="E22" s="24">
        <v>0.0</v>
      </c>
      <c r="F22" s="24">
        <v>0.0</v>
      </c>
      <c r="G22" s="33">
        <f t="shared" si="1"/>
        <v>0</v>
      </c>
      <c r="H22" s="33">
        <f t="shared" si="2"/>
        <v>0</v>
      </c>
      <c r="I22" s="33">
        <f t="shared" si="3"/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30">
        <v>46287.0</v>
      </c>
      <c r="B23" s="31" t="s">
        <v>46</v>
      </c>
      <c r="C23" s="34">
        <v>0.0</v>
      </c>
      <c r="D23" s="24">
        <v>0.0</v>
      </c>
      <c r="E23" s="24">
        <v>1500.0</v>
      </c>
      <c r="F23" s="24">
        <v>0.0</v>
      </c>
      <c r="G23" s="33">
        <f t="shared" si="1"/>
        <v>1500</v>
      </c>
      <c r="H23" s="33">
        <f t="shared" si="2"/>
        <v>26.25</v>
      </c>
      <c r="I23" s="33">
        <f t="shared" si="3"/>
        <v>1473.75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30">
        <v>46288.0</v>
      </c>
      <c r="B24" s="31" t="s">
        <v>47</v>
      </c>
      <c r="C24" s="34">
        <v>0.0</v>
      </c>
      <c r="D24" s="24">
        <v>0.0</v>
      </c>
      <c r="E24" s="24">
        <v>0.0</v>
      </c>
      <c r="F24" s="24">
        <v>150.0</v>
      </c>
      <c r="G24" s="33">
        <f t="shared" si="1"/>
        <v>150</v>
      </c>
      <c r="H24" s="33">
        <f t="shared" si="2"/>
        <v>2.625</v>
      </c>
      <c r="I24" s="33">
        <f t="shared" si="3"/>
        <v>147.375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30">
        <v>46289.0</v>
      </c>
      <c r="B25" s="31" t="s">
        <v>48</v>
      </c>
      <c r="C25" s="36" t="s">
        <v>53</v>
      </c>
      <c r="D25" s="37"/>
      <c r="E25" s="37"/>
      <c r="F25" s="38"/>
      <c r="G25" s="33">
        <f t="shared" si="1"/>
        <v>0</v>
      </c>
      <c r="H25" s="33">
        <f t="shared" si="2"/>
        <v>0</v>
      </c>
      <c r="I25" s="33">
        <f t="shared" si="3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30">
        <v>46290.0</v>
      </c>
      <c r="B26" s="31" t="s">
        <v>49</v>
      </c>
      <c r="C26" s="39"/>
      <c r="F26" s="40"/>
      <c r="G26" s="33">
        <f t="shared" si="1"/>
        <v>0</v>
      </c>
      <c r="H26" s="33">
        <f t="shared" si="2"/>
        <v>0</v>
      </c>
      <c r="I26" s="33">
        <f t="shared" si="3"/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30">
        <v>46291.0</v>
      </c>
      <c r="B27" s="31" t="s">
        <v>50</v>
      </c>
      <c r="C27" s="41"/>
      <c r="D27" s="42"/>
      <c r="E27" s="42"/>
      <c r="F27" s="43"/>
      <c r="G27" s="33">
        <f t="shared" si="1"/>
        <v>0</v>
      </c>
      <c r="H27" s="33">
        <f t="shared" si="2"/>
        <v>0</v>
      </c>
      <c r="I27" s="33">
        <f t="shared" si="3"/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30">
        <v>46292.0</v>
      </c>
      <c r="B28" s="31" t="s">
        <v>51</v>
      </c>
      <c r="C28" s="34">
        <v>0.5</v>
      </c>
      <c r="D28" s="24">
        <v>500.0</v>
      </c>
      <c r="E28" s="24">
        <v>0.0</v>
      </c>
      <c r="F28" s="24">
        <v>0.0</v>
      </c>
      <c r="G28" s="33">
        <f t="shared" si="1"/>
        <v>500</v>
      </c>
      <c r="H28" s="33">
        <f t="shared" si="2"/>
        <v>8.75</v>
      </c>
      <c r="I28" s="33">
        <f t="shared" si="3"/>
        <v>491.25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30">
        <v>46293.0</v>
      </c>
      <c r="B29" s="31" t="s">
        <v>52</v>
      </c>
      <c r="C29" s="34">
        <v>0.0</v>
      </c>
      <c r="D29" s="24">
        <v>0.0</v>
      </c>
      <c r="E29" s="24">
        <v>0.0</v>
      </c>
      <c r="F29" s="24">
        <v>0.0</v>
      </c>
      <c r="G29" s="33">
        <f t="shared" si="1"/>
        <v>0</v>
      </c>
      <c r="H29" s="33">
        <f t="shared" si="2"/>
        <v>0</v>
      </c>
      <c r="I29" s="33">
        <f t="shared" si="3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30">
        <v>46294.0</v>
      </c>
      <c r="B30" s="31" t="s">
        <v>46</v>
      </c>
      <c r="C30" s="34">
        <v>0.0</v>
      </c>
      <c r="D30" s="24">
        <v>0.0</v>
      </c>
      <c r="E30" s="24">
        <v>0.0</v>
      </c>
      <c r="F30" s="24">
        <v>0.0</v>
      </c>
      <c r="G30" s="33">
        <f t="shared" si="1"/>
        <v>0</v>
      </c>
      <c r="H30" s="33">
        <f t="shared" si="2"/>
        <v>0</v>
      </c>
      <c r="I30" s="33">
        <f t="shared" si="3"/>
        <v>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30">
        <v>46295.0</v>
      </c>
      <c r="B31" s="31" t="s">
        <v>47</v>
      </c>
      <c r="C31" s="32">
        <v>0.0</v>
      </c>
      <c r="D31" s="44">
        <v>0.0</v>
      </c>
      <c r="E31" s="44">
        <v>0.0</v>
      </c>
      <c r="F31" s="44">
        <v>0.0</v>
      </c>
      <c r="G31" s="33">
        <f t="shared" si="1"/>
        <v>0</v>
      </c>
      <c r="H31" s="33">
        <f t="shared" si="2"/>
        <v>0</v>
      </c>
      <c r="I31" s="33">
        <f t="shared" si="3"/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45" t="s">
        <v>54</v>
      </c>
      <c r="B32" s="46"/>
      <c r="C32" s="46"/>
      <c r="D32" s="19">
        <f t="shared" ref="D32:I32" si="4">SUM(D2:D31)</f>
        <v>500</v>
      </c>
      <c r="E32" s="19">
        <f t="shared" si="4"/>
        <v>1500</v>
      </c>
      <c r="F32" s="19">
        <f t="shared" si="4"/>
        <v>275</v>
      </c>
      <c r="G32" s="19">
        <f t="shared" si="4"/>
        <v>2275</v>
      </c>
      <c r="H32" s="19">
        <f t="shared" si="4"/>
        <v>39.8125</v>
      </c>
      <c r="I32" s="19">
        <f t="shared" si="4"/>
        <v>2235.1875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"/>
      <c r="B33" s="1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mergeCells count="1">
    <mergeCell ref="C25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75"/>
    <col customWidth="1" min="4" max="4" width="23.88"/>
    <col customWidth="1" min="5" max="5" width="16.0"/>
    <col customWidth="1" min="6" max="6" width="11.13"/>
    <col customWidth="1" min="7" max="7" width="7.0"/>
    <col customWidth="1" min="9" max="9" width="14.13"/>
  </cols>
  <sheetData>
    <row r="1">
      <c r="A1" s="47" t="s">
        <v>55</v>
      </c>
      <c r="B1" s="27" t="s">
        <v>37</v>
      </c>
      <c r="C1" s="27" t="s">
        <v>56</v>
      </c>
      <c r="D1" s="27" t="s">
        <v>57</v>
      </c>
      <c r="E1" s="48" t="s">
        <v>58</v>
      </c>
      <c r="F1" s="27" t="s">
        <v>45</v>
      </c>
      <c r="G1" s="49" t="s">
        <v>59</v>
      </c>
      <c r="H1" s="49" t="s">
        <v>60</v>
      </c>
      <c r="I1" s="27" t="s">
        <v>61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7"/>
      <c r="B2" s="50" t="s">
        <v>0</v>
      </c>
      <c r="C2" s="51">
        <v>39546.0</v>
      </c>
      <c r="D2" s="51">
        <v>2427.0</v>
      </c>
      <c r="E2" s="51">
        <v>437.0</v>
      </c>
      <c r="F2" s="24">
        <f>C2-D2-E2</f>
        <v>36682</v>
      </c>
      <c r="G2" s="51">
        <v>197.0</v>
      </c>
      <c r="H2" s="51">
        <v>40.0</v>
      </c>
      <c r="I2" s="24">
        <f>F2-G2-H2</f>
        <v>36445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7"/>
      <c r="B3" s="23"/>
      <c r="C3" s="23"/>
      <c r="D3" s="23"/>
      <c r="E3" s="23"/>
      <c r="F3" s="23"/>
      <c r="G3" s="23"/>
      <c r="H3" s="23"/>
      <c r="I3" s="2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7"/>
      <c r="B4" s="45" t="s">
        <v>54</v>
      </c>
      <c r="C4" s="19">
        <f t="shared" ref="C4:F4" si="1">SUM(C2:C3)</f>
        <v>39546</v>
      </c>
      <c r="D4" s="19">
        <f t="shared" si="1"/>
        <v>2427</v>
      </c>
      <c r="E4" s="19">
        <f t="shared" si="1"/>
        <v>437</v>
      </c>
      <c r="F4" s="19">
        <f t="shared" si="1"/>
        <v>36682</v>
      </c>
      <c r="G4" s="46"/>
      <c r="H4" s="46"/>
      <c r="I4" s="19">
        <f>SUM(I2:I3)</f>
        <v>36445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52"/>
      <c r="B5" s="52"/>
      <c r="C5" s="52"/>
      <c r="D5" s="52"/>
      <c r="E5" s="52"/>
      <c r="F5" s="52"/>
      <c r="G5" s="52"/>
      <c r="H5" s="5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52"/>
      <c r="B6" s="52"/>
      <c r="C6" s="52"/>
      <c r="D6" s="52"/>
      <c r="E6" s="52"/>
      <c r="F6" s="52"/>
      <c r="G6" s="52"/>
      <c r="H6" s="5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52"/>
      <c r="B7" s="52"/>
      <c r="C7" s="52"/>
      <c r="D7" s="52"/>
      <c r="E7" s="52"/>
      <c r="F7" s="52"/>
      <c r="G7" s="52"/>
      <c r="H7" s="5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88"/>
  </cols>
  <sheetData>
    <row r="1">
      <c r="A1" s="53" t="s">
        <v>62</v>
      </c>
      <c r="B1" s="53" t="s">
        <v>63</v>
      </c>
      <c r="C1" s="53" t="s">
        <v>64</v>
      </c>
      <c r="D1" s="54" t="s">
        <v>65</v>
      </c>
      <c r="E1" s="55" t="s">
        <v>66</v>
      </c>
      <c r="F1" s="29" t="s">
        <v>44</v>
      </c>
      <c r="G1" s="29" t="s">
        <v>45</v>
      </c>
    </row>
    <row r="2">
      <c r="A2" s="25" t="s">
        <v>67</v>
      </c>
      <c r="B2" s="25" t="s">
        <v>68</v>
      </c>
      <c r="C2" s="25" t="s">
        <v>3</v>
      </c>
      <c r="D2" s="56" t="s">
        <v>69</v>
      </c>
      <c r="E2" s="57">
        <v>5500.0</v>
      </c>
      <c r="F2" s="33">
        <f t="shared" ref="F2:F3" si="1">E2*1.75%</f>
        <v>96.25</v>
      </c>
      <c r="G2" s="58">
        <f t="shared" ref="G2:G3" si="2">E2-F2</f>
        <v>5403.75</v>
      </c>
    </row>
    <row r="3">
      <c r="A3" s="25" t="s">
        <v>67</v>
      </c>
      <c r="B3" s="25" t="s">
        <v>70</v>
      </c>
      <c r="C3" s="25" t="s">
        <v>3</v>
      </c>
      <c r="D3" s="56" t="s">
        <v>71</v>
      </c>
      <c r="E3" s="57">
        <v>7500.0</v>
      </c>
      <c r="F3" s="33">
        <f t="shared" si="1"/>
        <v>131.25</v>
      </c>
      <c r="G3" s="58">
        <f t="shared" si="2"/>
        <v>7368.75</v>
      </c>
    </row>
    <row r="4">
      <c r="A4" s="59" t="s">
        <v>54</v>
      </c>
      <c r="B4" s="60"/>
      <c r="C4" s="60"/>
      <c r="D4" s="60"/>
      <c r="E4" s="61">
        <f t="shared" ref="E4:G4" si="3">SUM(E2,E3)</f>
        <v>13000</v>
      </c>
      <c r="F4" s="62">
        <f t="shared" si="3"/>
        <v>227.5</v>
      </c>
      <c r="G4" s="61">
        <f t="shared" si="3"/>
        <v>12772.5</v>
      </c>
    </row>
  </sheetData>
  <dataValidations>
    <dataValidation type="list" allowBlank="1" showErrorMessage="1" sqref="C2:C3">
      <formula1>"Pickleball,Padel,Box Cricket,Pickle &amp; Box,Football"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</cols>
  <sheetData>
    <row r="1">
      <c r="A1" s="53" t="s">
        <v>72</v>
      </c>
      <c r="B1" s="53" t="s">
        <v>73</v>
      </c>
      <c r="C1" s="53" t="s">
        <v>74</v>
      </c>
      <c r="D1" s="53" t="s">
        <v>75</v>
      </c>
      <c r="E1" s="63" t="s">
        <v>76</v>
      </c>
      <c r="F1" s="29" t="s">
        <v>44</v>
      </c>
      <c r="G1" s="29" t="s">
        <v>45</v>
      </c>
    </row>
    <row r="2">
      <c r="A2" s="25" t="s">
        <v>77</v>
      </c>
      <c r="B2" s="25" t="s">
        <v>78</v>
      </c>
      <c r="C2" s="25" t="s">
        <v>79</v>
      </c>
      <c r="D2" s="25" t="s">
        <v>80</v>
      </c>
      <c r="E2" s="57">
        <v>2000.0</v>
      </c>
      <c r="F2" s="33">
        <f>E2*1.75%</f>
        <v>35</v>
      </c>
      <c r="G2" s="33">
        <f>E2-F2</f>
        <v>1965</v>
      </c>
    </row>
  </sheetData>
  <drawing r:id="rId1"/>
</worksheet>
</file>