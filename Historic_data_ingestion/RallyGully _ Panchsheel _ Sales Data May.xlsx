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includes 110 water bottle</t>
      </text>
    </comment>
  </commentList>
</comments>
</file>

<file path=xl/sharedStrings.xml><?xml version="1.0" encoding="utf-8"?>
<sst xmlns="http://schemas.openxmlformats.org/spreadsheetml/2006/main" count="140" uniqueCount="67">
  <si>
    <t>1 - 31 May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</si>
  <si>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</si>
  <si>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</si>
  <si>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</si>
  <si>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</si>
  <si>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</si>
  <si>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</si>
  <si>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</si>
  <si>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</si>
  <si>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</si>
  <si>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</si>
  <si>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</si>
  <si>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</si>
  <si>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</si>
  <si>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</si>
  <si>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</si>
  <si>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</si>
  <si>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</si>
  <si>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</si>
  <si>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</si>
  <si>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</si>
  <si>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</si>
  <si>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</si>
  <si>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</si>
  <si>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</si>
  <si>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</si>
  <si>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</si>
  <si>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</si>
  <si>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</si>
  <si>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</si>
  <si>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</si>
  <si>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</si>
  <si>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</si>
  <si>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</si>
  <si>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</si>
  <si>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</si>
  <si>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</si>
  <si>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</si>
  <si>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</si>
  <si>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</si>
  <si>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</si>
  <si>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</si>
  <si>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</si>
  <si>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</si>
  <si>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</si>
  <si>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Friday</t>
  </si>
  <si>
    <t>0 and 10%</t>
  </si>
  <si>
    <t>Saturday</t>
  </si>
  <si>
    <t>Sunday</t>
  </si>
  <si>
    <t>Monday</t>
  </si>
  <si>
    <t>Tuesday</t>
  </si>
  <si>
    <t>Wednesday</t>
  </si>
  <si>
    <t>Thursday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</si>
  <si>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</si>
  <si>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</si>
  <si>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</si>
  <si>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</si>
  <si>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</si>
  <si>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</si>
  <si>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</si>
  <si>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</si>
  <si>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Paid to Hudle</t>
  </si>
  <si>
    <t>Commisions (Including GST)</t>
  </si>
  <si>
    <t>Paid to Playo (₹)</t>
  </si>
  <si>
    <t>GST (₹)</t>
  </si>
  <si>
    <t>TDS (₹)</t>
  </si>
  <si>
    <t>TCS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</si>
</sst>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horizontal="right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3" xfId="0" applyAlignment="1" applyBorder="1" applyFill="1" applyFont="1" applyNumberForma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3" fontId="4" numFmtId="3" xfId="0" applyAlignment="1" applyBorder="1" applyFill="1" applyFont="1" applyNumberFormat="1">
      <alignment horizontal="right" readingOrder="0" vertical="bottom"/>
    </xf>
    <xf borderId="3" fillId="0" fontId="4" numFmtId="3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readingOrder="0" vertical="bottom"/>
    </xf>
    <xf borderId="3" fillId="0" fontId="4" numFmtId="3" xfId="0" applyAlignment="1" applyBorder="1" applyFont="1" applyNumberFormat="1">
      <alignment readingOrder="0" vertical="bottom"/>
    </xf>
    <xf borderId="0" fillId="0" fontId="4" numFmtId="167" xfId="0" applyAlignment="1" applyFont="1" applyNumberFormat="1">
      <alignment horizontal="right" readingOrder="0" vertical="bottom"/>
    </xf>
    <xf borderId="3" fillId="3" fontId="4" numFmtId="166" xfId="0" applyAlignment="1" applyBorder="1" applyFill="1" applyFont="1" applyNumberFormat="1">
      <alignment horizontal="right" readingOrder="0" vertical="bottom"/>
    </xf>
    <xf borderId="3" fillId="3" fontId="4" numFmtId="166" xfId="0" applyAlignment="1" applyBorder="1" applyFill="1" applyFont="1" applyNumberFormat="1">
      <alignment readingOrder="0" vertical="bottom"/>
    </xf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5" numFmtId="165" xfId="0" applyAlignment="1" applyBorder="1" applyFill="1" applyFont="1" applyNumberFormat="1">
      <alignment horizontal="center" vertical="bottom"/>
    </xf>
    <xf borderId="0" fillId="2" fontId="6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6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2" fontId="4" numFmtId="164" xfId="0" applyAlignment="1" applyBorder="1" applyFill="1" applyFont="1" applyNumberFormat="1">
      <alignment vertical="bottom"/>
    </xf>
    <xf borderId="0" fillId="2" fontId="7" numFmtId="166" xfId="0" applyAlignment="1" applyFill="1" applyFont="1" applyNumberFormat="1">
      <alignment horizontal="center" readingOrder="0" vertical="bottom"/>
    </xf>
    <xf borderId="0" fillId="0" fontId="8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0HqZlPOwtN-Xm-zglI62tHrM1Ojt70bkwQGYCJwKU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109675</v>
      </c>
      <c r="E5" s="5"/>
    </row>
    <row r="6">
      <c r="B6" s="8" t="s">
        <v>5</v>
      </c>
      <c r="C6" s="9">
        <f>sum(C7:C11)</f>
        <v>96675</v>
      </c>
      <c r="E6" s="5"/>
    </row>
    <row r="7" outlineLevel="1">
      <c r="B7" s="10" t="s">
        <v>6</v>
      </c>
      <c r="C7" s="11">
        <f>District!C4</f>
        <v>71921</v>
      </c>
      <c r="E7" s="5"/>
    </row>
    <row r="8" outlineLevel="1">
      <c r="B8" s="10" t="s">
        <v>7</v>
      </c>
      <c r="C8" s="11">
        <f>Hudle!C3</f>
        <v>22954</v>
      </c>
      <c r="E8" s="5"/>
    </row>
    <row r="9" outlineLevel="1">
      <c r="B9" s="10" t="s">
        <v>8</v>
      </c>
      <c r="C9" s="11">
        <f>Playo!C3</f>
        <v>1800</v>
      </c>
      <c r="E9" s="5"/>
    </row>
    <row r="10" outlineLevel="1">
      <c r="B10" s="12" t="s">
        <v>9</v>
      </c>
      <c r="C10" s="13">
        <v>0.0</v>
      </c>
      <c r="E10" s="14"/>
    </row>
    <row r="11" outlineLevel="1">
      <c r="B11" s="10" t="s">
        <v>10</v>
      </c>
      <c r="C11" s="13">
        <v>0.0</v>
      </c>
      <c r="E11" s="14"/>
    </row>
    <row r="12">
      <c r="B12" s="15" t="s">
        <v>11</v>
      </c>
      <c r="C12" s="9">
        <f>sum(C13:C14)</f>
        <v>13000</v>
      </c>
    </row>
    <row r="13" outlineLevel="1">
      <c r="B13" s="10" t="s">
        <v>12</v>
      </c>
      <c r="C13" s="11">
        <f>'Offline &amp; RG Community'!E33</f>
        <v>13000</v>
      </c>
    </row>
    <row r="14" outlineLevel="1">
      <c r="B14" s="16" t="s">
        <v>13</v>
      </c>
      <c r="C14" s="13">
        <v>0.0</v>
      </c>
      <c r="E14" s="5"/>
    </row>
    <row r="15">
      <c r="B15" s="15" t="s">
        <v>14</v>
      </c>
      <c r="C15" s="9">
        <f>sum(C16:C17)</f>
        <v>1800</v>
      </c>
      <c r="E15" s="5"/>
    </row>
    <row r="16" outlineLevel="1">
      <c r="B16" s="12" t="s">
        <v>15</v>
      </c>
      <c r="C16" s="11">
        <f>'Offline &amp; RG Community'!F33</f>
        <v>1800</v>
      </c>
      <c r="E16" s="5"/>
    </row>
    <row r="17" outlineLevel="1">
      <c r="B17" s="12" t="s">
        <v>16</v>
      </c>
      <c r="C17" s="13">
        <v>0.0</v>
      </c>
    </row>
    <row r="18">
      <c r="B18" s="15" t="s">
        <v>17</v>
      </c>
      <c r="C18" s="17">
        <v>0.0</v>
      </c>
      <c r="E18" s="5"/>
    </row>
    <row r="19">
      <c r="B19" s="8" t="s">
        <v>18</v>
      </c>
      <c r="C19" s="9">
        <f>sum(C20,C21)</f>
        <v>0</v>
      </c>
    </row>
    <row r="20" outlineLevel="1">
      <c r="B20" s="10" t="s">
        <v>19</v>
      </c>
      <c r="C20" s="18">
        <v>0.0</v>
      </c>
    </row>
    <row r="21" outlineLevel="1">
      <c r="B21" s="12" t="s">
        <v>20</v>
      </c>
      <c r="C21" s="19">
        <v>0.0</v>
      </c>
    </row>
    <row r="22">
      <c r="B22" s="8" t="s">
        <v>21</v>
      </c>
      <c r="C22" s="9">
        <f>sum(C23:C25)</f>
        <v>7720</v>
      </c>
    </row>
    <row r="23" outlineLevel="1">
      <c r="B23" s="10" t="s">
        <v>22</v>
      </c>
      <c r="C23" s="18">
        <f>'Offline &amp; RG Community'!G33</f>
        <v>7720</v>
      </c>
    </row>
    <row r="24" outlineLevel="1">
      <c r="B24" s="10" t="s">
        <v>23</v>
      </c>
      <c r="C24" s="13">
        <v>0.0</v>
      </c>
    </row>
    <row r="25" outlineLevel="1">
      <c r="B25" s="10" t="s">
        <v>24</v>
      </c>
      <c r="C25" s="19">
        <v>0.0</v>
      </c>
    </row>
    <row r="26">
      <c r="B26" s="8" t="s">
        <v>25</v>
      </c>
      <c r="C26" s="9">
        <v>0.0</v>
      </c>
    </row>
    <row r="27">
      <c r="B27" s="20" t="s">
        <v>26</v>
      </c>
      <c r="C27" s="21">
        <f>C6+C12+C15+C18+C19+C22+C26</f>
        <v>119195</v>
      </c>
    </row>
    <row r="28">
      <c r="B28" s="22" t="s">
        <v>27</v>
      </c>
      <c r="C28" s="23">
        <f>'Offline &amp; RG Community'!J33+District!F4+Hudle!E3+Playo!F3</f>
        <v>108708.21</v>
      </c>
    </row>
    <row r="29">
      <c r="B29" s="8" t="s">
        <v>28</v>
      </c>
      <c r="C29" s="9">
        <f>C28/1.18</f>
        <v>92125.60169</v>
      </c>
    </row>
    <row r="30">
      <c r="B30" s="10"/>
      <c r="C30" s="11"/>
    </row>
    <row r="31">
      <c r="B31" s="8" t="s">
        <v>29</v>
      </c>
      <c r="C31" s="11"/>
    </row>
    <row r="32">
      <c r="B32" s="10" t="s">
        <v>30</v>
      </c>
      <c r="C32" s="18">
        <f>1580+11032+10000+2400</f>
        <v>25012</v>
      </c>
    </row>
    <row r="33">
      <c r="B33" s="10" t="s">
        <v>31</v>
      </c>
      <c r="C33" s="18">
        <v>5500.0</v>
      </c>
    </row>
    <row r="34">
      <c r="B34" s="10" t="s">
        <v>32</v>
      </c>
      <c r="C34" s="24">
        <v>6000.0</v>
      </c>
    </row>
    <row r="35">
      <c r="B35" s="10" t="s">
        <v>33</v>
      </c>
      <c r="C35" s="24">
        <v>5500.0</v>
      </c>
    </row>
    <row r="36">
      <c r="B36" s="10"/>
      <c r="C36" s="10"/>
    </row>
    <row r="37">
      <c r="B37" s="8" t="s">
        <v>34</v>
      </c>
      <c r="C37" s="9">
        <f>C29-(sum(C32:C35))</f>
        <v>50113.60169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9" max="9" width="15.25"/>
    <col customWidth="1" min="10" max="10" width="11.13"/>
  </cols>
  <sheetData>
    <row r="1">
      <c r="A1" s="25" t="s">
        <v>35</v>
      </c>
      <c r="B1" s="25" t="s">
        <v>36</v>
      </c>
      <c r="C1" s="26" t="s">
        <v>37</v>
      </c>
      <c r="D1" s="25" t="s">
        <v>38</v>
      </c>
      <c r="E1" s="25" t="s">
        <v>39</v>
      </c>
      <c r="F1" s="25" t="s">
        <v>40</v>
      </c>
      <c r="G1" s="25" t="s">
        <v>41</v>
      </c>
      <c r="H1" s="25" t="s">
        <v>42</v>
      </c>
      <c r="I1" s="27" t="s">
        <v>43</v>
      </c>
      <c r="J1" s="20" t="s">
        <v>44</v>
      </c>
    </row>
    <row r="2">
      <c r="A2" s="28">
        <v>46143.0</v>
      </c>
      <c r="B2" s="29" t="s">
        <v>45</v>
      </c>
      <c r="C2" s="30">
        <v>0.5</v>
      </c>
      <c r="D2" s="24" t="s">
        <v>46</v>
      </c>
      <c r="E2" s="31">
        <v>500.0</v>
      </c>
      <c r="F2" s="32">
        <v>0.0</v>
      </c>
      <c r="G2" s="31">
        <v>175.0</v>
      </c>
      <c r="H2" s="24">
        <f t="shared" ref="H2:H15" si="1">sum(E2:G2)</f>
        <v>675</v>
      </c>
      <c r="I2" s="24">
        <f t="shared" ref="I2:I32" si="2">H2*2.5%*1.18</f>
        <v>19.9125</v>
      </c>
      <c r="J2" s="24">
        <f t="shared" ref="J2:J32" si="3">H2-I2</f>
        <v>655.0875</v>
      </c>
    </row>
    <row r="3">
      <c r="A3" s="28">
        <v>46144.0</v>
      </c>
      <c r="B3" s="29" t="s">
        <v>47</v>
      </c>
      <c r="C3" s="33">
        <v>0.0</v>
      </c>
      <c r="D3" s="24" t="s">
        <v>46</v>
      </c>
      <c r="E3" s="32">
        <v>0.0</v>
      </c>
      <c r="F3" s="32">
        <v>0.0</v>
      </c>
      <c r="G3" s="32">
        <v>250.0</v>
      </c>
      <c r="H3" s="24">
        <f t="shared" si="1"/>
        <v>250</v>
      </c>
      <c r="I3" s="24">
        <f t="shared" si="2"/>
        <v>7.375</v>
      </c>
      <c r="J3" s="24">
        <f t="shared" si="3"/>
        <v>242.625</v>
      </c>
    </row>
    <row r="4">
      <c r="A4" s="28">
        <v>46145.0</v>
      </c>
      <c r="B4" s="29" t="s">
        <v>48</v>
      </c>
      <c r="C4" s="34">
        <v>1.0</v>
      </c>
      <c r="D4" s="24" t="s">
        <v>46</v>
      </c>
      <c r="E4" s="32">
        <v>900.0</v>
      </c>
      <c r="F4" s="32">
        <v>0.0</v>
      </c>
      <c r="G4" s="32">
        <v>100.0</v>
      </c>
      <c r="H4" s="24">
        <f t="shared" si="1"/>
        <v>1000</v>
      </c>
      <c r="I4" s="24">
        <f t="shared" si="2"/>
        <v>29.5</v>
      </c>
      <c r="J4" s="24">
        <f t="shared" si="3"/>
        <v>970.5</v>
      </c>
    </row>
    <row r="5">
      <c r="A5" s="28">
        <v>46146.0</v>
      </c>
      <c r="B5" s="29" t="s">
        <v>49</v>
      </c>
      <c r="C5" s="34">
        <v>0.5</v>
      </c>
      <c r="D5" s="24" t="s">
        <v>46</v>
      </c>
      <c r="E5" s="32">
        <v>500.0</v>
      </c>
      <c r="F5" s="32">
        <v>0.0</v>
      </c>
      <c r="G5" s="32">
        <v>500.0</v>
      </c>
      <c r="H5" s="24">
        <f t="shared" si="1"/>
        <v>1000</v>
      </c>
      <c r="I5" s="24">
        <f t="shared" si="2"/>
        <v>29.5</v>
      </c>
      <c r="J5" s="24">
        <f t="shared" si="3"/>
        <v>970.5</v>
      </c>
    </row>
    <row r="6">
      <c r="A6" s="28">
        <v>46147.0</v>
      </c>
      <c r="B6" s="29" t="s">
        <v>50</v>
      </c>
      <c r="C6" s="34">
        <v>1.0</v>
      </c>
      <c r="D6" s="24" t="s">
        <v>46</v>
      </c>
      <c r="E6" s="32">
        <v>500.0</v>
      </c>
      <c r="F6" s="32">
        <v>0.0</v>
      </c>
      <c r="G6" s="32">
        <v>250.0</v>
      </c>
      <c r="H6" s="24">
        <f t="shared" si="1"/>
        <v>750</v>
      </c>
      <c r="I6" s="24">
        <f t="shared" si="2"/>
        <v>22.125</v>
      </c>
      <c r="J6" s="24">
        <f t="shared" si="3"/>
        <v>727.875</v>
      </c>
    </row>
    <row r="7">
      <c r="A7" s="28">
        <v>46148.0</v>
      </c>
      <c r="B7" s="29" t="s">
        <v>51</v>
      </c>
      <c r="C7" s="34">
        <v>2.0</v>
      </c>
      <c r="D7" s="24" t="s">
        <v>46</v>
      </c>
      <c r="E7" s="32">
        <v>0.0</v>
      </c>
      <c r="F7" s="32">
        <v>1800.0</v>
      </c>
      <c r="G7" s="35">
        <v>150.0</v>
      </c>
      <c r="H7" s="24">
        <f t="shared" si="1"/>
        <v>1950</v>
      </c>
      <c r="I7" s="24">
        <f t="shared" si="2"/>
        <v>57.525</v>
      </c>
      <c r="J7" s="24">
        <f t="shared" si="3"/>
        <v>1892.475</v>
      </c>
    </row>
    <row r="8">
      <c r="A8" s="28">
        <v>46149.0</v>
      </c>
      <c r="B8" s="29" t="s">
        <v>52</v>
      </c>
      <c r="C8" s="34">
        <v>0.5</v>
      </c>
      <c r="D8" s="24" t="s">
        <v>46</v>
      </c>
      <c r="E8" s="32">
        <v>500.0</v>
      </c>
      <c r="F8" s="32">
        <v>0.0</v>
      </c>
      <c r="G8" s="32">
        <v>100.0</v>
      </c>
      <c r="H8" s="24">
        <f t="shared" si="1"/>
        <v>600</v>
      </c>
      <c r="I8" s="24">
        <f t="shared" si="2"/>
        <v>17.7</v>
      </c>
      <c r="J8" s="24">
        <f t="shared" si="3"/>
        <v>582.3</v>
      </c>
    </row>
    <row r="9">
      <c r="A9" s="28">
        <v>46150.0</v>
      </c>
      <c r="B9" s="29" t="s">
        <v>45</v>
      </c>
      <c r="C9" s="34">
        <v>0.0</v>
      </c>
      <c r="D9" s="24" t="s">
        <v>46</v>
      </c>
      <c r="E9" s="32">
        <v>0.0</v>
      </c>
      <c r="F9" s="32">
        <v>0.0</v>
      </c>
      <c r="G9" s="35">
        <v>150.0</v>
      </c>
      <c r="H9" s="24">
        <f t="shared" si="1"/>
        <v>150</v>
      </c>
      <c r="I9" s="24">
        <f t="shared" si="2"/>
        <v>4.425</v>
      </c>
      <c r="J9" s="24">
        <f t="shared" si="3"/>
        <v>145.575</v>
      </c>
    </row>
    <row r="10">
      <c r="A10" s="28">
        <v>46151.0</v>
      </c>
      <c r="B10" s="29" t="s">
        <v>47</v>
      </c>
      <c r="C10" s="34">
        <v>4.0</v>
      </c>
      <c r="D10" s="24" t="s">
        <v>46</v>
      </c>
      <c r="E10" s="32">
        <v>3600.0</v>
      </c>
      <c r="F10" s="32">
        <v>0.0</v>
      </c>
      <c r="G10" s="32">
        <v>250.0</v>
      </c>
      <c r="H10" s="24">
        <f t="shared" si="1"/>
        <v>3850</v>
      </c>
      <c r="I10" s="24">
        <f t="shared" si="2"/>
        <v>113.575</v>
      </c>
      <c r="J10" s="24">
        <f t="shared" si="3"/>
        <v>3736.425</v>
      </c>
    </row>
    <row r="11">
      <c r="A11" s="28">
        <v>46152.0</v>
      </c>
      <c r="B11" s="29" t="s">
        <v>48</v>
      </c>
      <c r="C11" s="36">
        <v>0.0</v>
      </c>
      <c r="D11" s="24" t="s">
        <v>46</v>
      </c>
      <c r="E11" s="31">
        <v>0.0</v>
      </c>
      <c r="F11" s="32">
        <v>0.0</v>
      </c>
      <c r="G11" s="31">
        <v>0.0</v>
      </c>
      <c r="H11" s="24">
        <f t="shared" si="1"/>
        <v>0</v>
      </c>
      <c r="I11" s="24">
        <f t="shared" si="2"/>
        <v>0</v>
      </c>
      <c r="J11" s="24">
        <f t="shared" si="3"/>
        <v>0</v>
      </c>
    </row>
    <row r="12">
      <c r="A12" s="28">
        <v>46153.0</v>
      </c>
      <c r="B12" s="29" t="s">
        <v>49</v>
      </c>
      <c r="C12" s="34">
        <v>0.0</v>
      </c>
      <c r="D12" s="24" t="s">
        <v>46</v>
      </c>
      <c r="E12" s="32">
        <v>0.0</v>
      </c>
      <c r="F12" s="32">
        <v>0.0</v>
      </c>
      <c r="G12" s="32">
        <v>560.0</v>
      </c>
      <c r="H12" s="24">
        <f t="shared" si="1"/>
        <v>560</v>
      </c>
      <c r="I12" s="24">
        <f t="shared" si="2"/>
        <v>16.52</v>
      </c>
      <c r="J12" s="24">
        <f t="shared" si="3"/>
        <v>543.48</v>
      </c>
    </row>
    <row r="13">
      <c r="A13" s="28">
        <v>46154.0</v>
      </c>
      <c r="B13" s="29" t="s">
        <v>50</v>
      </c>
      <c r="C13" s="34">
        <v>0.0</v>
      </c>
      <c r="D13" s="24" t="s">
        <v>46</v>
      </c>
      <c r="E13" s="32">
        <v>0.0</v>
      </c>
      <c r="F13" s="32">
        <v>0.0</v>
      </c>
      <c r="G13" s="32">
        <v>300.0</v>
      </c>
      <c r="H13" s="24">
        <f t="shared" si="1"/>
        <v>300</v>
      </c>
      <c r="I13" s="24">
        <f t="shared" si="2"/>
        <v>8.85</v>
      </c>
      <c r="J13" s="24">
        <f t="shared" si="3"/>
        <v>291.15</v>
      </c>
    </row>
    <row r="14">
      <c r="A14" s="28">
        <v>46155.0</v>
      </c>
      <c r="B14" s="29" t="s">
        <v>51</v>
      </c>
      <c r="C14" s="34">
        <v>0.0</v>
      </c>
      <c r="D14" s="24" t="s">
        <v>46</v>
      </c>
      <c r="E14" s="32">
        <v>0.0</v>
      </c>
      <c r="F14" s="32">
        <v>0.0</v>
      </c>
      <c r="G14" s="32">
        <v>160.0</v>
      </c>
      <c r="H14" s="24">
        <f t="shared" si="1"/>
        <v>160</v>
      </c>
      <c r="I14" s="24">
        <f t="shared" si="2"/>
        <v>4.72</v>
      </c>
      <c r="J14" s="24">
        <f t="shared" si="3"/>
        <v>155.28</v>
      </c>
    </row>
    <row r="15">
      <c r="A15" s="28">
        <v>46156.0</v>
      </c>
      <c r="B15" s="29" t="s">
        <v>52</v>
      </c>
      <c r="C15" s="34">
        <v>0.0</v>
      </c>
      <c r="D15" s="24" t="s">
        <v>46</v>
      </c>
      <c r="E15" s="32">
        <v>0.0</v>
      </c>
      <c r="F15" s="32">
        <v>0.0</v>
      </c>
      <c r="G15" s="32">
        <v>600.0</v>
      </c>
      <c r="H15" s="24">
        <f t="shared" si="1"/>
        <v>600</v>
      </c>
      <c r="I15" s="24">
        <f t="shared" si="2"/>
        <v>17.7</v>
      </c>
      <c r="J15" s="24">
        <f t="shared" si="3"/>
        <v>582.3</v>
      </c>
    </row>
    <row r="16">
      <c r="A16" s="28">
        <v>46157.0</v>
      </c>
      <c r="B16" s="29" t="s">
        <v>45</v>
      </c>
      <c r="C16" s="36">
        <v>0.0</v>
      </c>
      <c r="D16" s="24" t="s">
        <v>46</v>
      </c>
      <c r="E16" s="31">
        <v>0.0</v>
      </c>
      <c r="F16" s="32">
        <v>0.0</v>
      </c>
      <c r="G16" s="31">
        <v>0.0</v>
      </c>
      <c r="H16" s="24">
        <f>SUM(E16:G16)</f>
        <v>0</v>
      </c>
      <c r="I16" s="24">
        <f t="shared" si="2"/>
        <v>0</v>
      </c>
      <c r="J16" s="24">
        <f t="shared" si="3"/>
        <v>0</v>
      </c>
    </row>
    <row r="17">
      <c r="A17" s="28">
        <v>46158.0</v>
      </c>
      <c r="B17" s="29" t="s">
        <v>47</v>
      </c>
      <c r="C17" s="34">
        <v>1.0</v>
      </c>
      <c r="D17" s="24" t="s">
        <v>46</v>
      </c>
      <c r="E17" s="37">
        <v>900.0</v>
      </c>
      <c r="F17" s="32">
        <v>0.0</v>
      </c>
      <c r="G17" s="32">
        <v>500.0</v>
      </c>
      <c r="H17" s="24">
        <f>SUM(F17:G17)</f>
        <v>500</v>
      </c>
      <c r="I17" s="24">
        <f t="shared" si="2"/>
        <v>14.75</v>
      </c>
      <c r="J17" s="24">
        <f t="shared" si="3"/>
        <v>485.25</v>
      </c>
    </row>
    <row r="18">
      <c r="A18" s="28">
        <v>46159.0</v>
      </c>
      <c r="B18" s="29" t="s">
        <v>48</v>
      </c>
      <c r="C18" s="36">
        <v>1.0</v>
      </c>
      <c r="D18" s="24" t="s">
        <v>46</v>
      </c>
      <c r="E18" s="31">
        <v>900.0</v>
      </c>
      <c r="F18" s="32">
        <v>0.0</v>
      </c>
      <c r="G18" s="31">
        <v>500.0</v>
      </c>
      <c r="H18" s="24">
        <f t="shared" ref="H18:H21" si="4">SUM(E18:G18)</f>
        <v>1400</v>
      </c>
      <c r="I18" s="24">
        <f t="shared" si="2"/>
        <v>41.3</v>
      </c>
      <c r="J18" s="24">
        <f t="shared" si="3"/>
        <v>1358.7</v>
      </c>
    </row>
    <row r="19">
      <c r="A19" s="28">
        <v>46160.0</v>
      </c>
      <c r="B19" s="29" t="s">
        <v>49</v>
      </c>
      <c r="C19" s="36">
        <v>0.0</v>
      </c>
      <c r="D19" s="24" t="s">
        <v>46</v>
      </c>
      <c r="E19" s="31">
        <v>0.0</v>
      </c>
      <c r="F19" s="32">
        <v>0.0</v>
      </c>
      <c r="G19" s="31">
        <v>325.0</v>
      </c>
      <c r="H19" s="24">
        <f t="shared" si="4"/>
        <v>325</v>
      </c>
      <c r="I19" s="24">
        <f t="shared" si="2"/>
        <v>9.5875</v>
      </c>
      <c r="J19" s="24">
        <f t="shared" si="3"/>
        <v>315.4125</v>
      </c>
    </row>
    <row r="20">
      <c r="A20" s="28">
        <v>46161.0</v>
      </c>
      <c r="B20" s="29" t="s">
        <v>50</v>
      </c>
      <c r="C20" s="34">
        <v>0.5</v>
      </c>
      <c r="D20" s="24" t="s">
        <v>46</v>
      </c>
      <c r="E20" s="32">
        <v>500.0</v>
      </c>
      <c r="F20" s="32">
        <v>0.0</v>
      </c>
      <c r="G20" s="32">
        <v>150.0</v>
      </c>
      <c r="H20" s="24">
        <f t="shared" si="4"/>
        <v>650</v>
      </c>
      <c r="I20" s="24">
        <f t="shared" si="2"/>
        <v>19.175</v>
      </c>
      <c r="J20" s="24">
        <f t="shared" si="3"/>
        <v>630.825</v>
      </c>
    </row>
    <row r="21">
      <c r="A21" s="28">
        <v>46162.0</v>
      </c>
      <c r="B21" s="29" t="s">
        <v>51</v>
      </c>
      <c r="C21" s="34">
        <v>1.0</v>
      </c>
      <c r="D21" s="24" t="s">
        <v>46</v>
      </c>
      <c r="E21" s="32">
        <v>1000.0</v>
      </c>
      <c r="F21" s="32">
        <v>0.0</v>
      </c>
      <c r="G21" s="32">
        <v>150.0</v>
      </c>
      <c r="H21" s="24">
        <f t="shared" si="4"/>
        <v>1150</v>
      </c>
      <c r="I21" s="24">
        <f t="shared" si="2"/>
        <v>33.925</v>
      </c>
      <c r="J21" s="24">
        <f t="shared" si="3"/>
        <v>1116.075</v>
      </c>
    </row>
    <row r="22">
      <c r="A22" s="28">
        <v>46163.0</v>
      </c>
      <c r="B22" s="29" t="s">
        <v>52</v>
      </c>
      <c r="C22" s="34">
        <v>1.0</v>
      </c>
      <c r="D22" s="24" t="s">
        <v>46</v>
      </c>
      <c r="E22" s="32">
        <v>900.0</v>
      </c>
      <c r="F22" s="32">
        <v>0.0</v>
      </c>
      <c r="G22" s="32">
        <v>200.0</v>
      </c>
      <c r="H22" s="24">
        <f>sum(E22:G22)</f>
        <v>1100</v>
      </c>
      <c r="I22" s="24">
        <f t="shared" si="2"/>
        <v>32.45</v>
      </c>
      <c r="J22" s="24">
        <f t="shared" si="3"/>
        <v>1067.55</v>
      </c>
    </row>
    <row r="23">
      <c r="A23" s="28">
        <v>46164.0</v>
      </c>
      <c r="B23" s="29" t="s">
        <v>45</v>
      </c>
      <c r="C23" s="34">
        <v>0.0</v>
      </c>
      <c r="D23" s="24" t="s">
        <v>46</v>
      </c>
      <c r="E23" s="32">
        <v>0.0</v>
      </c>
      <c r="F23" s="32">
        <v>0.0</v>
      </c>
      <c r="G23" s="32">
        <v>800.0</v>
      </c>
      <c r="H23" s="24">
        <f t="shared" ref="H23:H32" si="5">SUM(E23:G23)</f>
        <v>800</v>
      </c>
      <c r="I23" s="24">
        <f t="shared" si="2"/>
        <v>23.6</v>
      </c>
      <c r="J23" s="24">
        <f t="shared" si="3"/>
        <v>776.4</v>
      </c>
    </row>
    <row r="24">
      <c r="A24" s="28">
        <v>46165.0</v>
      </c>
      <c r="B24" s="29" t="s">
        <v>47</v>
      </c>
      <c r="C24" s="34">
        <v>0.0</v>
      </c>
      <c r="D24" s="24" t="s">
        <v>46</v>
      </c>
      <c r="E24" s="32">
        <v>0.0</v>
      </c>
      <c r="F24" s="32">
        <v>0.0</v>
      </c>
      <c r="G24" s="32">
        <v>200.0</v>
      </c>
      <c r="H24" s="24">
        <f t="shared" si="5"/>
        <v>200</v>
      </c>
      <c r="I24" s="24">
        <f t="shared" si="2"/>
        <v>5.9</v>
      </c>
      <c r="J24" s="24">
        <f t="shared" si="3"/>
        <v>194.1</v>
      </c>
    </row>
    <row r="25">
      <c r="A25" s="28">
        <v>46166.0</v>
      </c>
      <c r="B25" s="29" t="s">
        <v>48</v>
      </c>
      <c r="C25" s="34">
        <v>0.0</v>
      </c>
      <c r="D25" s="24" t="s">
        <v>46</v>
      </c>
      <c r="E25" s="32">
        <v>0.0</v>
      </c>
      <c r="F25" s="32">
        <v>0.0</v>
      </c>
      <c r="G25" s="32">
        <v>200.0</v>
      </c>
      <c r="H25" s="24">
        <f t="shared" si="5"/>
        <v>200</v>
      </c>
      <c r="I25" s="24">
        <f t="shared" si="2"/>
        <v>5.9</v>
      </c>
      <c r="J25" s="24">
        <f t="shared" si="3"/>
        <v>194.1</v>
      </c>
    </row>
    <row r="26">
      <c r="A26" s="28">
        <v>46167.0</v>
      </c>
      <c r="B26" s="29" t="s">
        <v>49</v>
      </c>
      <c r="C26" s="34">
        <v>0.5</v>
      </c>
      <c r="D26" s="24" t="s">
        <v>46</v>
      </c>
      <c r="E26" s="32">
        <v>500.0</v>
      </c>
      <c r="F26" s="32">
        <v>0.0</v>
      </c>
      <c r="G26" s="32">
        <v>250.0</v>
      </c>
      <c r="H26" s="24">
        <f t="shared" si="5"/>
        <v>750</v>
      </c>
      <c r="I26" s="24">
        <f t="shared" si="2"/>
        <v>22.125</v>
      </c>
      <c r="J26" s="24">
        <f t="shared" si="3"/>
        <v>727.875</v>
      </c>
    </row>
    <row r="27">
      <c r="A27" s="28">
        <v>46168.0</v>
      </c>
      <c r="B27" s="29" t="s">
        <v>50</v>
      </c>
      <c r="C27" s="34">
        <v>0.5</v>
      </c>
      <c r="D27" s="24" t="s">
        <v>46</v>
      </c>
      <c r="E27" s="32">
        <v>500.0</v>
      </c>
      <c r="F27" s="32">
        <v>0.0</v>
      </c>
      <c r="G27" s="32">
        <v>400.0</v>
      </c>
      <c r="H27" s="24">
        <f t="shared" si="5"/>
        <v>900</v>
      </c>
      <c r="I27" s="24">
        <f t="shared" si="2"/>
        <v>26.55</v>
      </c>
      <c r="J27" s="24">
        <f t="shared" si="3"/>
        <v>873.45</v>
      </c>
    </row>
    <row r="28">
      <c r="A28" s="28">
        <v>46169.0</v>
      </c>
      <c r="B28" s="29" t="s">
        <v>51</v>
      </c>
      <c r="C28" s="36">
        <v>0.5</v>
      </c>
      <c r="D28" s="24" t="s">
        <v>46</v>
      </c>
      <c r="E28" s="31">
        <v>400.0</v>
      </c>
      <c r="F28" s="32">
        <v>0.0</v>
      </c>
      <c r="G28" s="31">
        <v>0.0</v>
      </c>
      <c r="H28" s="24">
        <f t="shared" si="5"/>
        <v>400</v>
      </c>
      <c r="I28" s="24">
        <f t="shared" si="2"/>
        <v>11.8</v>
      </c>
      <c r="J28" s="24">
        <f t="shared" si="3"/>
        <v>388.2</v>
      </c>
    </row>
    <row r="29">
      <c r="A29" s="28">
        <v>46170.0</v>
      </c>
      <c r="B29" s="29" t="s">
        <v>52</v>
      </c>
      <c r="C29" s="36">
        <v>0.0</v>
      </c>
      <c r="D29" s="24" t="s">
        <v>46</v>
      </c>
      <c r="E29" s="31">
        <v>0.0</v>
      </c>
      <c r="F29" s="32">
        <v>0.0</v>
      </c>
      <c r="G29" s="31">
        <v>0.0</v>
      </c>
      <c r="H29" s="24">
        <f t="shared" si="5"/>
        <v>0</v>
      </c>
      <c r="I29" s="24">
        <f t="shared" si="2"/>
        <v>0</v>
      </c>
      <c r="J29" s="24">
        <f t="shared" si="3"/>
        <v>0</v>
      </c>
    </row>
    <row r="30">
      <c r="A30" s="28">
        <v>46171.0</v>
      </c>
      <c r="B30" s="29" t="s">
        <v>45</v>
      </c>
      <c r="C30" s="34">
        <v>0.0</v>
      </c>
      <c r="D30" s="24" t="s">
        <v>46</v>
      </c>
      <c r="E30" s="32">
        <v>0.0</v>
      </c>
      <c r="F30" s="32">
        <v>0.0</v>
      </c>
      <c r="G30" s="32">
        <v>300.0</v>
      </c>
      <c r="H30" s="24">
        <f t="shared" si="5"/>
        <v>300</v>
      </c>
      <c r="I30" s="24">
        <f t="shared" si="2"/>
        <v>8.85</v>
      </c>
      <c r="J30" s="24">
        <f t="shared" si="3"/>
        <v>291.15</v>
      </c>
    </row>
    <row r="31">
      <c r="A31" s="28">
        <v>46172.0</v>
      </c>
      <c r="B31" s="29" t="s">
        <v>47</v>
      </c>
      <c r="C31" s="30">
        <v>0.0</v>
      </c>
      <c r="D31" s="24" t="s">
        <v>46</v>
      </c>
      <c r="E31" s="32">
        <v>900.0</v>
      </c>
      <c r="F31" s="38">
        <v>0.0</v>
      </c>
      <c r="G31" s="39">
        <v>100.0</v>
      </c>
      <c r="H31" s="24">
        <f t="shared" si="5"/>
        <v>1000</v>
      </c>
      <c r="I31" s="24">
        <f t="shared" si="2"/>
        <v>29.5</v>
      </c>
      <c r="J31" s="24">
        <f t="shared" si="3"/>
        <v>970.5</v>
      </c>
    </row>
    <row r="32">
      <c r="A32" s="28">
        <v>46173.0</v>
      </c>
      <c r="B32" s="29" t="s">
        <v>48</v>
      </c>
      <c r="C32" s="33">
        <v>0.0</v>
      </c>
      <c r="D32" s="24" t="s">
        <v>46</v>
      </c>
      <c r="E32" s="38">
        <v>0.0</v>
      </c>
      <c r="F32" s="38">
        <v>0.0</v>
      </c>
      <c r="G32" s="38">
        <v>100.0</v>
      </c>
      <c r="H32" s="24">
        <f t="shared" si="5"/>
        <v>100</v>
      </c>
      <c r="I32" s="24">
        <f t="shared" si="2"/>
        <v>2.95</v>
      </c>
      <c r="J32" s="24">
        <f t="shared" si="3"/>
        <v>97.05</v>
      </c>
    </row>
    <row r="33">
      <c r="A33" s="40" t="s">
        <v>53</v>
      </c>
      <c r="B33" s="41"/>
      <c r="C33" s="42">
        <f>SUM(C2:C32)</f>
        <v>15.5</v>
      </c>
      <c r="D33" s="41"/>
      <c r="E33" s="21">
        <f t="shared" ref="E33:J33" si="6">SUM(E2:E32)</f>
        <v>13000</v>
      </c>
      <c r="F33" s="21">
        <f t="shared" si="6"/>
        <v>1800</v>
      </c>
      <c r="G33" s="21">
        <f t="shared" si="6"/>
        <v>7720</v>
      </c>
      <c r="H33" s="21">
        <f t="shared" si="6"/>
        <v>21620</v>
      </c>
      <c r="I33" s="21">
        <f t="shared" si="6"/>
        <v>637.79</v>
      </c>
      <c r="J33" s="21">
        <f t="shared" si="6"/>
        <v>20982.21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6" width="11.13"/>
    <col customWidth="1" min="7" max="7" width="7.0"/>
  </cols>
  <sheetData>
    <row r="1">
      <c r="A1" s="43" t="s">
        <v>54</v>
      </c>
      <c r="B1" s="25" t="s">
        <v>35</v>
      </c>
      <c r="C1" s="25" t="s">
        <v>55</v>
      </c>
      <c r="D1" s="25" t="s">
        <v>56</v>
      </c>
      <c r="E1" s="44" t="s">
        <v>57</v>
      </c>
      <c r="F1" s="25" t="s">
        <v>44</v>
      </c>
      <c r="G1" s="45" t="s">
        <v>58</v>
      </c>
      <c r="H1" s="45" t="s">
        <v>59</v>
      </c>
      <c r="I1" s="25" t="s">
        <v>60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6"/>
      <c r="B2" s="16" t="s">
        <v>0</v>
      </c>
      <c r="C2" s="32">
        <v>71921.0</v>
      </c>
      <c r="D2" s="32">
        <v>5015.0</v>
      </c>
      <c r="E2" s="32">
        <v>902.0</v>
      </c>
      <c r="F2" s="24">
        <f>C2-D2-E2</f>
        <v>66004</v>
      </c>
      <c r="G2" s="32">
        <v>417.0</v>
      </c>
      <c r="H2" s="32">
        <v>83.0</v>
      </c>
      <c r="I2" s="32">
        <v>65501.0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6"/>
      <c r="B3" s="47"/>
      <c r="C3" s="47"/>
      <c r="D3" s="47"/>
      <c r="E3" s="47"/>
      <c r="F3" s="47"/>
      <c r="G3" s="47"/>
      <c r="H3" s="47"/>
      <c r="I3" s="4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6"/>
      <c r="B4" s="40" t="s">
        <v>53</v>
      </c>
      <c r="C4" s="21">
        <f>SUM(C2:C3)</f>
        <v>71921</v>
      </c>
      <c r="D4" s="41"/>
      <c r="E4" s="41"/>
      <c r="F4" s="21">
        <f>SUM(F2:F3)</f>
        <v>66004</v>
      </c>
      <c r="G4" s="41"/>
      <c r="H4" s="41"/>
      <c r="I4" s="21">
        <f>SUM(I2:I3)</f>
        <v>65501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48"/>
      <c r="B5" s="48"/>
      <c r="C5" s="48"/>
      <c r="D5" s="48"/>
      <c r="E5" s="48"/>
      <c r="F5" s="48"/>
      <c r="G5" s="48"/>
      <c r="H5" s="4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48"/>
      <c r="B6" s="48"/>
      <c r="C6" s="48"/>
      <c r="D6" s="48"/>
      <c r="E6" s="48"/>
      <c r="F6" s="48"/>
      <c r="G6" s="48"/>
      <c r="H6" s="4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48"/>
      <c r="B7" s="48"/>
      <c r="C7" s="48"/>
      <c r="D7" s="48"/>
      <c r="E7" s="48"/>
      <c r="F7" s="48"/>
      <c r="G7" s="48"/>
      <c r="H7" s="4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43" t="s">
        <v>54</v>
      </c>
      <c r="B1" s="7" t="s">
        <v>35</v>
      </c>
      <c r="C1" s="7" t="s">
        <v>61</v>
      </c>
      <c r="D1" s="7" t="s">
        <v>62</v>
      </c>
      <c r="E1" s="7" t="s">
        <v>44</v>
      </c>
      <c r="F1" s="7" t="s">
        <v>59</v>
      </c>
      <c r="G1" s="7" t="s">
        <v>58</v>
      </c>
      <c r="H1" s="7" t="s">
        <v>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1"/>
      <c r="B2" s="11" t="s">
        <v>0</v>
      </c>
      <c r="C2" s="19">
        <v>22954.0</v>
      </c>
      <c r="D2" s="19">
        <v>2867.0</v>
      </c>
      <c r="E2" s="18">
        <f>C2-D2</f>
        <v>20087</v>
      </c>
      <c r="F2" s="19">
        <v>18.6</v>
      </c>
      <c r="G2" s="19">
        <v>93.0</v>
      </c>
      <c r="H2" s="19">
        <v>19076.0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8"/>
      <c r="B3" s="49" t="s">
        <v>53</v>
      </c>
      <c r="C3" s="50">
        <f>SUM(C2)</f>
        <v>22954</v>
      </c>
      <c r="D3" s="51"/>
      <c r="E3" s="50">
        <f>SUM(E2)</f>
        <v>20087</v>
      </c>
      <c r="F3" s="51"/>
      <c r="G3" s="51"/>
      <c r="H3" s="50">
        <f>SUM(H2)</f>
        <v>19076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2" t="s">
        <v>54</v>
      </c>
      <c r="B1" s="25" t="s">
        <v>35</v>
      </c>
      <c r="C1" s="25" t="s">
        <v>63</v>
      </c>
      <c r="D1" s="25" t="s">
        <v>56</v>
      </c>
      <c r="E1" s="25" t="s">
        <v>64</v>
      </c>
      <c r="F1" s="25" t="s">
        <v>44</v>
      </c>
      <c r="G1" s="25" t="s">
        <v>65</v>
      </c>
      <c r="H1" s="25" t="s">
        <v>66</v>
      </c>
      <c r="I1" s="25" t="s">
        <v>60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>
      <c r="A2" s="29"/>
      <c r="B2" s="31" t="s">
        <v>0</v>
      </c>
      <c r="C2" s="32">
        <v>1800.0</v>
      </c>
      <c r="D2" s="39">
        <v>140.0</v>
      </c>
      <c r="E2" s="39">
        <v>25.0</v>
      </c>
      <c r="F2" s="24">
        <f>C2-D2-E2</f>
        <v>1635</v>
      </c>
      <c r="G2" s="39">
        <v>9.0</v>
      </c>
      <c r="H2" s="39">
        <v>1.8</v>
      </c>
      <c r="I2" s="39">
        <v>1624.0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29"/>
      <c r="B3" s="21" t="s">
        <v>53</v>
      </c>
      <c r="C3" s="21">
        <f>SUM(C2)</f>
        <v>1800</v>
      </c>
      <c r="D3" s="41"/>
      <c r="E3" s="41"/>
      <c r="F3" s="21">
        <f>SUM(F2)</f>
        <v>1635</v>
      </c>
      <c r="G3" s="41"/>
      <c r="H3" s="41"/>
      <c r="I3" s="21">
        <f>SUM(I2)</f>
        <v>1624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</sheetData>
  <hyperlinks>
    <hyperlink r:id="rId1" ref="A1"/>
  </hyperlinks>
  <drawing r:id="rId2"/>
</worksheet>
</file>