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al Dashboard" sheetId="1" r:id="rId5"/>
    <sheet state="visible" name="RallyGully I Sector 10 Dwarka" sheetId="2" r:id="rId6"/>
    <sheet state="visible" name="RallyGully | KLJ 83" sheetId="3" r:id="rId7"/>
    <sheet state="visible" name="RallyGully | EOK" sheetId="4" r:id="rId8"/>
    <sheet state="visible" name="RallyGully | DOK Dwarka" sheetId="5" r:id="rId9"/>
    <sheet state="visible" name="RallyGully | DPSG" sheetId="6" r:id="rId10"/>
    <sheet state="visible" name="RallyGully | Panchsheel" sheetId="7" r:id="rId11"/>
    <sheet state="visible" name="RallyGully | LCR" sheetId="8" r:id="rId12"/>
    <sheet state="visible" name="RallyGully | Gandipath Jaipur" sheetId="9" r:id="rId13"/>
    <sheet state="visible" name="RallyGully | Powerplay" sheetId="10" r:id="rId14"/>
    <sheet state="visible" name="RallyGully | Commons" sheetId="11" r:id="rId15"/>
    <sheet state="visible" name="DOK | 83" sheetId="12" r:id="rId16"/>
    <sheet state="visible" name="RallyGully | Chd" sheetId="13" r:id="rId17"/>
    <sheet state="visible" name="Ambala" sheetId="14" r:id="rId18"/>
    <sheet state="visible" name="Zirakpur" sheetId="15" r:id="rId19"/>
  </sheets>
  <definedNames/>
  <calcPr/>
</workbook>
</file>

<file path=xl/sharedStrings.xml><?xml version="1.0" encoding="utf-8"?>
<sst xmlns="http://schemas.openxmlformats.org/spreadsheetml/2006/main" count="710" uniqueCount="62">
  <si>
    <t xml:space="preserve">FY25-26 </t>
  </si>
  <si>
    <t>Link</t>
  </si>
  <si>
    <t>B2C Revenue Tracker</t>
  </si>
  <si>
    <t>July</t>
  </si>
  <si>
    <t xml:space="preserve">FY26-27 </t>
  </si>
  <si>
    <t xml:space="preserve">Sno. </t>
  </si>
  <si>
    <t>Venues</t>
  </si>
  <si>
    <t>April</t>
  </si>
  <si>
    <t>May</t>
  </si>
  <si>
    <t>June</t>
  </si>
  <si>
    <t>August</t>
  </si>
  <si>
    <t>Sept</t>
  </si>
  <si>
    <t>Oct</t>
  </si>
  <si>
    <t>Nov</t>
  </si>
  <si>
    <t>Dec</t>
  </si>
  <si>
    <t>RallyGully I Tirang Sports Arena | Dwarka</t>
  </si>
  <si>
    <t>Pay &amp; Play</t>
  </si>
  <si>
    <t>Pickleball</t>
  </si>
  <si>
    <t>Turf</t>
  </si>
  <si>
    <t>RallyGully I The Blue Court | Sec 83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</si>
  <si>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</si>
  <si>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</si>
  <si>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</si>
  <si>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</si>
  <si>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</si>
  <si>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</si>
  <si>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</si>
  <si>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</si>
  <si>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Memberships</t>
  </si>
  <si>
    <t>Community</t>
  </si>
  <si>
    <t>Pickup games</t>
  </si>
  <si>
    <t>Social Events/Tournaments</t>
  </si>
  <si>
    <t>RallyGully I East of Kailash</t>
  </si>
  <si>
    <t>Community Partnerships</t>
  </si>
  <si>
    <t>Academy</t>
  </si>
  <si>
    <t>B2B</t>
  </si>
  <si>
    <t>Corporate events</t>
  </si>
  <si>
    <t>All B2B partnerships</t>
  </si>
  <si>
    <t>Commerce</t>
  </si>
  <si>
    <t>RallyGully I Drive or Kick | Dwarka</t>
  </si>
  <si>
    <t>Product rental</t>
  </si>
  <si>
    <t>Product sales</t>
  </si>
  <si>
    <t>F&amp;B</t>
  </si>
  <si>
    <t>RallyGully | 1011 | DPSG Palam Vihar</t>
  </si>
  <si>
    <t>Other Income</t>
  </si>
  <si>
    <t>Total Gross Revenue</t>
  </si>
  <si>
    <t>RallyGully I Panchsheel Enclave</t>
  </si>
  <si>
    <t xml:space="preserve">GST </t>
  </si>
  <si>
    <t>RallyGully | Law College Road</t>
  </si>
  <si>
    <t>Net Revenue Post GST</t>
  </si>
  <si>
    <t>RallyGully | Powerplay Park</t>
  </si>
  <si>
    <t>Padel</t>
  </si>
  <si>
    <t>Commons | RallyGully x Delhi Padel Collective</t>
  </si>
  <si>
    <t>RallyGully I Drive or Kick | Sec 83</t>
  </si>
  <si>
    <t>RallyGully I Chandigarh Sec 37</t>
  </si>
  <si>
    <t>RallyGully I Golf Course EXT.</t>
  </si>
  <si>
    <t>RallyGully I Gandhipath</t>
  </si>
  <si>
    <t>RallyGully I Ambala</t>
  </si>
  <si>
    <t>RallyGully I Zirakpur</t>
  </si>
  <si>
    <t>Verticle Vise</t>
  </si>
  <si>
    <t>Community Partnershps</t>
  </si>
  <si>
    <t>GST (B)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</si>
</sst>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₹]#,##0.00"/>
    <numFmt numFmtId="165" formatCode="[&gt;9999999][$₹]##\,##\,##\,##0;[&gt;99999][$₹]##\,##\,##0;[$₹]##,##0"/>
    <numFmt numFmtId="166" formatCode="[&gt;9999999][$₹]##\,##\,##\,##0.0;[&gt;99999][$₹]##\,##\,##0.0;[$₹]##,##0.0"/>
    <numFmt numFmtId="167" formatCode="[$₹]#,##0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u/>
      <color rgb="FF0000FF"/>
    </font>
    <font>
      <u/>
      <color theme="1"/>
      <name val="Arial"/>
      <scheme val="minor"/>
    </font>
    <font>
      <color theme="1"/>
      <name val="Arial"/>
      <scheme val="minor"/>
    </font>
    <font>
      <b/>
      <u/>
      <color rgb="FF1155CC"/>
      <name val="Arial"/>
    </font>
    <font>
      <color theme="1"/>
      <name val="Arial"/>
    </font>
    <font>
      <b/>
      <color theme="1"/>
      <name val="Arial"/>
    </font>
    <font>
      <sz val="10.0"/>
      <color rgb="FF000000"/>
      <name val="Arial"/>
    </font>
    <font>
      <b/>
      <u/>
      <color rgb="FF0000FF"/>
    </font>
    <font>
      <b/>
      <u/>
      <color rgb="FF0000FF"/>
      <name val="Arial"/>
    </font>
    <font>
      <b/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/>
    </xf>
    <xf borderId="0" fillId="3" fontId="1" numFmtId="3" xfId="0" applyAlignment="1" applyFill="1" applyFont="1" applyNumberFormat="1">
      <alignment readingOrder="0"/>
    </xf>
    <xf borderId="0" fillId="2" fontId="1" numFmtId="164" xfId="0" applyAlignment="1" applyFill="1" applyFont="1" applyNumberFormat="1">
      <alignment readingOrder="0"/>
    </xf>
    <xf borderId="1" fillId="2" fontId="3" numFmtId="164" xfId="0" applyAlignment="1" applyBorder="1" applyFill="1" applyFont="1" applyNumberFormat="1">
      <alignment horizontal="center" readingOrder="0"/>
    </xf>
    <xf borderId="0" fillId="2" fontId="2" numFmtId="164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2" fontId="1" numFmtId="164" xfId="0" applyAlignment="1" applyBorder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5" numFmtId="164" xfId="0" applyAlignment="1" applyFill="1" applyFont="1" applyNumberFormat="1">
      <alignment horizontal="center" readingOrder="0"/>
    </xf>
    <xf borderId="0" fillId="3" fontId="5" numFmtId="0" xfId="0" applyFill="1" applyFont="1"/>
    <xf borderId="1" fillId="4" fontId="1" numFmtId="3" xfId="0" applyAlignment="1" applyBorder="1" applyFill="1" applyFont="1" applyNumberFormat="1">
      <alignment readingOrder="0"/>
    </xf>
    <xf borderId="1" fillId="4" fontId="1" numFmtId="164" xfId="0" applyAlignment="1" applyBorder="1" applyFill="1" applyFont="1" applyNumberFormat="1">
      <alignment readingOrder="0"/>
    </xf>
    <xf borderId="1" fillId="4" fontId="1" numFmtId="164" xfId="0" applyAlignment="1" applyBorder="1" applyFill="1" applyFont="1" applyNumberFormat="1">
      <alignment horizontal="center" readingOrder="0"/>
    </xf>
    <xf borderId="1" fillId="0" fontId="5" numFmtId="3" xfId="0" applyAlignment="1" applyBorder="1" applyFont="1" applyNumberFormat="1">
      <alignment readingOrder="0"/>
    </xf>
    <xf borderId="1" fillId="0" fontId="5" numFmtId="164" xfId="0" applyAlignment="1" applyBorder="1" applyFont="1" applyNumberFormat="1">
      <alignment readingOrder="0"/>
    </xf>
    <xf borderId="0" fillId="2" fontId="6" numFmtId="164" xfId="0" applyAlignment="1" applyFill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readingOrder="0"/>
    </xf>
    <xf borderId="0" fillId="0" fontId="7" numFmtId="164" xfId="0" applyAlignment="1" applyFont="1" applyNumberFormat="1">
      <alignment vertical="bottom"/>
    </xf>
    <xf borderId="0" fillId="0" fontId="1" numFmtId="0" xfId="0" applyAlignment="1" applyFont="1">
      <alignment readingOrder="0"/>
    </xf>
    <xf borderId="1" fillId="2" fontId="8" numFmtId="164" xfId="0" applyAlignment="1" applyBorder="1" applyFill="1" applyFont="1" applyNumberFormat="1">
      <alignment horizontal="center" vertical="bottom"/>
    </xf>
    <xf borderId="1" fillId="0" fontId="8" numFmtId="164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readingOrder="0"/>
    </xf>
    <xf borderId="1" fillId="0" fontId="8" numFmtId="165" xfId="0" applyAlignment="1" applyBorder="1" applyFont="1" applyNumberFormat="1">
      <alignment horizontal="right" vertical="bottom"/>
    </xf>
    <xf borderId="1" fillId="0" fontId="5" numFmtId="165" xfId="0" applyBorder="1" applyFont="1" applyNumberFormat="1"/>
    <xf borderId="0" fillId="0" fontId="1" numFmtId="0" xfId="0" applyAlignment="1" applyFont="1">
      <alignment horizontal="center" readingOrder="0"/>
    </xf>
    <xf borderId="0" fillId="0" fontId="7" numFmtId="166" xfId="0" applyAlignment="1" applyFont="1" applyNumberFormat="1">
      <alignment horizontal="right" vertical="bottom"/>
    </xf>
    <xf borderId="1" fillId="0" fontId="5" numFmtId="165" xfId="0" applyAlignment="1" applyBorder="1" applyFont="1" applyNumberFormat="1">
      <alignment horizontal="right" readingOrder="0"/>
    </xf>
    <xf borderId="1" fillId="0" fontId="7" numFmtId="164" xfId="0" applyAlignment="1" applyBorder="1" applyFont="1" applyNumberFormat="1">
      <alignment vertical="bottom"/>
    </xf>
    <xf borderId="1" fillId="0" fontId="7" numFmtId="165" xfId="0" applyAlignment="1" applyBorder="1" applyFont="1" applyNumberFormat="1">
      <alignment horizontal="right" readingOrder="0" vertical="bottom"/>
    </xf>
    <xf borderId="1" fillId="0" fontId="7" numFmtId="165" xfId="0" applyAlignment="1" applyBorder="1" applyFont="1" applyNumberFormat="1">
      <alignment horizontal="right" vertical="bottom"/>
    </xf>
    <xf borderId="1" fillId="0" fontId="1" numFmtId="165" xfId="0" applyAlignment="1" applyBorder="1" applyFont="1" applyNumberFormat="1">
      <alignment readingOrder="0"/>
    </xf>
    <xf borderId="0" fillId="0" fontId="7" numFmtId="166" xfId="0" applyAlignment="1" applyFont="1" applyNumberFormat="1">
      <alignment vertical="bottom"/>
    </xf>
    <xf borderId="1" fillId="0" fontId="9" numFmtId="165" xfId="0" applyAlignment="1" applyBorder="1" applyFont="1" applyNumberFormat="1">
      <alignment horizontal="right" readingOrder="0"/>
    </xf>
    <xf borderId="1" fillId="0" fontId="8" numFmtId="165" xfId="0" applyAlignment="1" applyBorder="1" applyFont="1" applyNumberFormat="1">
      <alignment horizontal="right" readingOrder="0" vertical="bottom"/>
    </xf>
    <xf borderId="1" fillId="0" fontId="7" numFmtId="164" xfId="0" applyAlignment="1" applyBorder="1" applyFont="1" applyNumberFormat="1">
      <alignment readingOrder="0" vertical="bottom"/>
    </xf>
    <xf borderId="1" fillId="0" fontId="7" numFmtId="165" xfId="0" applyAlignment="1" applyBorder="1" applyFont="1" applyNumberFormat="1">
      <alignment readingOrder="0" vertical="bottom"/>
    </xf>
    <xf borderId="1" fillId="0" fontId="8" numFmtId="165" xfId="0" applyAlignment="1" applyBorder="1" applyFont="1" applyNumberFormat="1">
      <alignment readingOrder="0" vertical="bottom"/>
    </xf>
    <xf borderId="1" fillId="0" fontId="8" numFmtId="164" xfId="0" applyAlignment="1" applyBorder="1" applyFont="1" applyNumberFormat="1">
      <alignment readingOrder="0" vertical="bottom"/>
    </xf>
    <xf borderId="1" fillId="0" fontId="1" numFmtId="165" xfId="0" applyAlignment="1" applyBorder="1" applyFont="1" applyNumberFormat="1">
      <alignment horizontal="right" readingOrder="0"/>
    </xf>
    <xf borderId="1" fillId="0" fontId="8" numFmtId="0" xfId="0" applyAlignment="1" applyBorder="1" applyFont="1">
      <alignment vertical="bottom"/>
    </xf>
    <xf borderId="1" fillId="3" fontId="7" numFmtId="164" xfId="0" applyAlignment="1" applyBorder="1" applyFill="1" applyFont="1" applyNumberFormat="1">
      <alignment readingOrder="0" vertical="bottom"/>
    </xf>
    <xf borderId="1" fillId="3" fontId="8" numFmtId="164" xfId="0" applyAlignment="1" applyBorder="1" applyFill="1" applyFont="1" applyNumberFormat="1">
      <alignment vertical="bottom"/>
    </xf>
    <xf borderId="1" fillId="3" fontId="8" numFmtId="165" xfId="0" applyAlignment="1" applyBorder="1" applyFill="1" applyFont="1" applyNumberFormat="1">
      <alignment horizontal="right" readingOrder="0" vertical="bottom"/>
    </xf>
    <xf borderId="1" fillId="3" fontId="8" numFmtId="165" xfId="0" applyAlignment="1" applyBorder="1" applyFill="1" applyFont="1" applyNumberFormat="1">
      <alignment horizontal="right" vertical="bottom"/>
    </xf>
    <xf borderId="1" fillId="3" fontId="5" numFmtId="165" xfId="0" applyAlignment="1" applyBorder="1" applyFill="1" applyFont="1" applyNumberFormat="1">
      <alignment readingOrder="0"/>
    </xf>
    <xf borderId="1" fillId="2" fontId="8" numFmtId="164" xfId="0" applyAlignment="1" applyBorder="1" applyFill="1" applyFont="1" applyNumberFormat="1">
      <alignment vertical="bottom"/>
    </xf>
    <xf borderId="1" fillId="3" fontId="5" numFmtId="165" xfId="0" applyBorder="1" applyFill="1" applyFont="1" applyNumberFormat="1"/>
    <xf borderId="1" fillId="2" fontId="8" numFmtId="167" xfId="0" applyAlignment="1" applyBorder="1" applyFill="1" applyFont="1" applyNumberFormat="1">
      <alignment horizontal="right" vertical="bottom"/>
    </xf>
    <xf borderId="1" fillId="2" fontId="1" numFmtId="165" xfId="0" applyAlignment="1" applyBorder="1" applyFill="1" applyFont="1" applyNumberFormat="1">
      <alignment readingOrder="0"/>
    </xf>
    <xf borderId="1" fillId="2" fontId="1" numFmtId="165" xfId="0" applyAlignment="1" applyBorder="1" applyFill="1" applyFont="1" applyNumberFormat="1">
      <alignment horizontal="right" readingOrder="0"/>
    </xf>
    <xf borderId="1" fillId="0" fontId="7" numFmtId="167" xfId="0" applyAlignment="1" applyBorder="1" applyFont="1" applyNumberFormat="1">
      <alignment shrinkToFit="0" vertical="bottom" wrapText="1"/>
    </xf>
    <xf borderId="1" fillId="0" fontId="8" numFmtId="167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8" numFmtId="167" xfId="0" applyAlignment="1" applyBorder="1" applyFont="1" applyNumberFormat="1">
      <alignment shrinkToFit="0" vertical="bottom" wrapText="1"/>
    </xf>
    <xf borderId="0" fillId="0" fontId="7" numFmtId="4" xfId="0" applyAlignment="1" applyFont="1" applyNumberFormat="1">
      <alignment horizontal="right" vertical="bottom"/>
    </xf>
    <xf borderId="0" fillId="0" fontId="5" numFmtId="167" xfId="0" applyFont="1" applyNumberFormat="1"/>
    <xf borderId="0" fillId="0" fontId="5" numFmtId="164" xfId="0" applyFont="1" applyNumberFormat="1"/>
    <xf borderId="1" fillId="0" fontId="5" numFmtId="164" xfId="0" applyBorder="1" applyFont="1" applyNumberFormat="1"/>
    <xf borderId="1" fillId="0" fontId="8" numFmtId="167" xfId="0" applyAlignment="1" applyBorder="1" applyFont="1" applyNumberFormat="1">
      <alignment horizontal="right" readingOrder="0" vertical="bottom"/>
    </xf>
    <xf borderId="1" fillId="3" fontId="5" numFmtId="3" xfId="0" applyAlignment="1" applyBorder="1" applyFill="1" applyFont="1" applyNumberFormat="1">
      <alignment readingOrder="0"/>
    </xf>
    <xf borderId="1" fillId="3" fontId="1" numFmtId="165" xfId="0" applyBorder="1" applyFill="1" applyFont="1" applyNumberFormat="1"/>
    <xf borderId="1" fillId="5" fontId="5" numFmtId="3" xfId="0" applyAlignment="1" applyBorder="1" applyFill="1" applyFont="1" applyNumberFormat="1">
      <alignment readingOrder="0"/>
    </xf>
    <xf borderId="1" fillId="5" fontId="7" numFmtId="164" xfId="0" applyAlignment="1" applyBorder="1" applyFill="1" applyFont="1" applyNumberFormat="1">
      <alignment readingOrder="0" vertical="bottom"/>
    </xf>
    <xf borderId="1" fillId="5" fontId="5" numFmtId="165" xfId="0" applyAlignment="1" applyBorder="1" applyFill="1" applyFont="1" applyNumberFormat="1">
      <alignment readingOrder="0"/>
    </xf>
    <xf borderId="0" fillId="5" fontId="5" numFmtId="0" xfId="0" applyFill="1" applyFont="1"/>
    <xf borderId="1" fillId="5" fontId="5" numFmtId="165" xfId="0" applyBorder="1" applyFill="1" applyFont="1" applyNumberFormat="1"/>
    <xf borderId="1" fillId="5" fontId="1" numFmtId="165" xfId="0" applyBorder="1" applyFill="1" applyFont="1" applyNumberFormat="1"/>
    <xf borderId="1" fillId="2" fontId="5" numFmtId="3" xfId="0" applyBorder="1" applyFill="1" applyFont="1" applyNumberFormat="1"/>
    <xf borderId="1" fillId="2" fontId="1" numFmtId="165" xfId="0" applyBorder="1" applyFill="1" applyFont="1" applyNumberFormat="1"/>
    <xf borderId="1" fillId="3" fontId="5" numFmtId="164" xfId="0" applyBorder="1" applyFill="1" applyFont="1" applyNumberFormat="1"/>
    <xf borderId="1" fillId="3" fontId="8" numFmtId="164" xfId="0" applyAlignment="1" applyBorder="1" applyFill="1" applyFont="1" applyNumberFormat="1">
      <alignment readingOrder="0" vertical="bottom"/>
    </xf>
    <xf borderId="0" fillId="3" fontId="5" numFmtId="10" xfId="0" applyFill="1" applyFont="1" applyNumberFormat="1"/>
    <xf borderId="0" fillId="3" fontId="5" numFmtId="164" xfId="0" applyFill="1" applyFont="1" applyNumberFormat="1"/>
    <xf borderId="0" fillId="3" fontId="8" numFmtId="164" xfId="0" applyAlignment="1" applyFill="1" applyFont="1" applyNumberFormat="1">
      <alignment vertical="bottom"/>
    </xf>
    <xf borderId="0" fillId="3" fontId="1" numFmtId="165" xfId="0" applyFill="1" applyFont="1" applyNumberFormat="1"/>
    <xf borderId="0" fillId="3" fontId="1" numFmtId="10" xfId="0" applyFill="1" applyFont="1" applyNumberFormat="1"/>
    <xf borderId="1" fillId="4" fontId="5" numFmtId="0" xfId="0" applyBorder="1" applyFill="1" applyFont="1"/>
    <xf borderId="1" fillId="4" fontId="1" numFmtId="167" xfId="0" applyAlignment="1" applyBorder="1" applyFill="1" applyFont="1" applyNumberFormat="1">
      <alignment readingOrder="0"/>
    </xf>
    <xf borderId="1" fillId="4" fontId="1" numFmtId="167" xfId="0" applyAlignment="1" applyBorder="1" applyFill="1" applyFont="1" applyNumberFormat="1">
      <alignment horizontal="center" readingOrder="0"/>
    </xf>
    <xf borderId="0" fillId="0" fontId="1" numFmtId="0" xfId="0" applyFont="1"/>
    <xf borderId="1" fillId="0" fontId="8" numFmtId="167" xfId="0" applyAlignment="1" applyBorder="1" applyFont="1" applyNumberFormat="1">
      <alignment vertical="bottom"/>
    </xf>
    <xf borderId="1" fillId="0" fontId="1" numFmtId="167" xfId="0" applyBorder="1" applyFont="1" applyNumberFormat="1"/>
    <xf borderId="1" fillId="0" fontId="5" numFmtId="167" xfId="0" applyBorder="1" applyFont="1" applyNumberFormat="1"/>
    <xf borderId="1" fillId="0" fontId="7" numFmtId="167" xfId="0" applyAlignment="1" applyBorder="1" applyFont="1" applyNumberFormat="1">
      <alignment vertical="bottom"/>
    </xf>
    <xf borderId="1" fillId="0" fontId="5" numFmtId="167" xfId="0" applyAlignment="1" applyBorder="1" applyFont="1" applyNumberFormat="1">
      <alignment readingOrder="0"/>
    </xf>
    <xf borderId="1" fillId="0" fontId="7" numFmtId="167" xfId="0" applyAlignment="1" applyBorder="1" applyFont="1" applyNumberFormat="1">
      <alignment readingOrder="0" vertical="bottom"/>
    </xf>
    <xf borderId="1" fillId="0" fontId="8" numFmtId="167" xfId="0" applyAlignment="1" applyBorder="1" applyFont="1" applyNumberFormat="1">
      <alignment readingOrder="0" vertical="bottom"/>
    </xf>
    <xf borderId="1" fillId="3" fontId="1" numFmtId="0" xfId="0" applyBorder="1" applyFill="1" applyFont="1"/>
    <xf borderId="1" fillId="3" fontId="5" numFmtId="167" xfId="0" applyBorder="1" applyFill="1" applyFont="1" applyNumberFormat="1"/>
    <xf borderId="1" fillId="2" fontId="7" numFmtId="164" xfId="0" applyAlignment="1" applyBorder="1" applyFill="1" applyFont="1" applyNumberFormat="1">
      <alignment vertical="bottom"/>
    </xf>
    <xf borderId="1" fillId="2" fontId="8" numFmtId="165" xfId="0" applyAlignment="1" applyBorder="1" applyFill="1" applyFont="1" applyNumberFormat="1">
      <alignment horizontal="center" vertical="bottom"/>
    </xf>
    <xf borderId="1" fillId="2" fontId="8" numFmtId="167" xfId="0" applyAlignment="1" applyBorder="1" applyFill="1" applyFont="1" applyNumberFormat="1">
      <alignment horizontal="center" vertical="bottom"/>
    </xf>
    <xf borderId="1" fillId="3" fontId="1" numFmtId="167" xfId="0" applyBorder="1" applyFill="1" applyFont="1" applyNumberFormat="1"/>
    <xf borderId="1" fillId="0" fontId="7" numFmtId="167" xfId="0" applyAlignment="1" applyBorder="1" applyFont="1" applyNumberFormat="1">
      <alignment horizontal="right" vertical="bottom"/>
    </xf>
    <xf borderId="1" fillId="2" fontId="7" numFmtId="165" xfId="0" applyAlignment="1" applyBorder="1" applyFill="1" applyFont="1" applyNumberFormat="1">
      <alignment vertical="bottom"/>
    </xf>
    <xf borderId="1" fillId="2" fontId="8" numFmtId="165" xfId="0" applyAlignment="1" applyBorder="1" applyFill="1" applyFont="1" applyNumberFormat="1">
      <alignment horizontal="right" vertical="bottom"/>
    </xf>
    <xf borderId="1" fillId="2" fontId="5" numFmtId="0" xfId="0" applyBorder="1" applyFill="1" applyFont="1"/>
    <xf borderId="1" fillId="2" fontId="8" numFmtId="167" xfId="0" applyAlignment="1" applyBorder="1" applyFill="1" applyFont="1" applyNumberFormat="1">
      <alignment vertical="bottom"/>
    </xf>
    <xf borderId="1" fillId="2" fontId="1" numFmtId="167" xfId="0" applyBorder="1" applyFill="1" applyFont="1" applyNumberFormat="1"/>
    <xf borderId="1" fillId="2" fontId="5" numFmtId="167" xfId="0" applyBorder="1" applyFill="1" applyFont="1" applyNumberFormat="1"/>
    <xf borderId="0" fillId="0" fontId="5" numFmtId="0" xfId="0" applyFont="1"/>
    <xf borderId="1" fillId="0" fontId="7" numFmtId="0" xfId="0" applyAlignment="1" applyBorder="1" applyFont="1">
      <alignment vertical="bottom"/>
    </xf>
    <xf borderId="1" fillId="4" fontId="1" numFmtId="0" xfId="0" applyAlignment="1" applyBorder="1" applyFill="1" applyFont="1">
      <alignment readingOrder="0"/>
    </xf>
    <xf borderId="1" fillId="0" fontId="7" numFmtId="165" xfId="0" applyAlignment="1" applyBorder="1" applyFont="1" applyNumberFormat="1">
      <alignment vertical="bottom"/>
    </xf>
    <xf borderId="1" fillId="0" fontId="1" numFmtId="10" xfId="0" applyBorder="1" applyFont="1" applyNumberFormat="1"/>
    <xf borderId="1" fillId="2" fontId="1" numFmtId="167" xfId="0" applyAlignment="1" applyBorder="1" applyFill="1" applyFont="1" applyNumberFormat="1">
      <alignment readingOrder="0"/>
    </xf>
    <xf borderId="1" fillId="2" fontId="10" numFmtId="167" xfId="0" applyAlignment="1" applyBorder="1" applyFill="1" applyFont="1" applyNumberFormat="1">
      <alignment horizontal="center" readingOrder="0"/>
    </xf>
    <xf borderId="1" fillId="2" fontId="1" numFmtId="167" xfId="0" applyAlignment="1" applyBorder="1" applyFill="1" applyFont="1" applyNumberFormat="1">
      <alignment horizontal="center" readingOrder="0"/>
    </xf>
    <xf borderId="0" fillId="0" fontId="7" numFmtId="0" xfId="0" applyAlignment="1" applyFont="1">
      <alignment vertical="bottom"/>
    </xf>
    <xf borderId="1" fillId="0" fontId="5" numFmtId="10" xfId="0" applyBorder="1" applyFont="1" applyNumberFormat="1"/>
    <xf borderId="1" fillId="2" fontId="11" numFmtId="167" xfId="0" applyAlignment="1" applyBorder="1" applyFill="1" applyFont="1" applyNumberFormat="1">
      <alignment horizontal="center" readingOrder="0" vertical="bottom"/>
    </xf>
    <xf borderId="0" fillId="2" fontId="12" numFmtId="167" xfId="0" applyAlignment="1" applyFill="1" applyFont="1" applyNumberFormat="1">
      <alignment horizontal="center" vertical="bottom"/>
    </xf>
    <xf borderId="0" fillId="2" fontId="1" numFmtId="167" xfId="0" applyAlignment="1" applyFill="1" applyFont="1" applyNumberFormat="1">
      <alignment horizontal="center" readingOrder="0"/>
    </xf>
    <xf borderId="1" fillId="2" fontId="8" numFmtId="167" xfId="0" applyAlignment="1" applyBorder="1" applyFill="1" applyFont="1" applyNumberFormat="1">
      <alignment horizontal="center" readingOrder="0" vertical="bottom"/>
    </xf>
    <xf borderId="1" fillId="0" fontId="7" numFmtId="0" xfId="0" applyAlignment="1" applyBorder="1" applyFont="1">
      <alignment vertical="bottom"/>
    </xf>
    <xf borderId="1" fillId="0" fontId="7" numFmtId="10" xfId="0" applyAlignment="1" applyBorder="1" applyFont="1" applyNumberFormat="1">
      <alignment readingOrder="0" vertical="bottom"/>
    </xf>
    <xf borderId="1" fillId="0" fontId="5" numFmtId="10" xfId="0" applyAlignment="1" applyBorder="1" applyFont="1" applyNumberFormat="1">
      <alignment readingOrder="0"/>
    </xf>
    <xf borderId="1" fillId="3" fontId="5" numFmtId="10" xfId="0" applyBorder="1" applyFill="1" applyFont="1" applyNumberFormat="1"/>
    <xf borderId="1" fillId="3" fontId="7" numFmtId="0" xfId="0" applyAlignment="1" applyBorder="1" applyFill="1" applyFont="1">
      <alignment vertical="bottom"/>
    </xf>
    <xf borderId="1" fillId="0" fontId="8" numFmtId="0" xfId="0" applyAlignment="1" applyBorder="1" applyFont="1">
      <alignment vertical="bottom"/>
    </xf>
    <xf borderId="1" fillId="0" fontId="7" numFmtId="167" xfId="0" applyAlignment="1" applyBorder="1" applyFont="1" applyNumberFormat="1">
      <alignment horizontal="right" readingOrder="0" vertical="bottom"/>
    </xf>
    <xf borderId="1" fillId="0" fontId="5" numFmtId="167" xfId="0" applyAlignment="1" applyBorder="1" applyFont="1" applyNumberFormat="1">
      <alignment horizontal="right" readingOrder="0"/>
    </xf>
    <xf borderId="1" fillId="3" fontId="5" numFmtId="0" xfId="0" applyBorder="1" applyFill="1" applyFont="1"/>
    <xf borderId="1" fillId="3" fontId="8" numFmtId="0" xfId="0" applyAlignment="1" applyBorder="1" applyFill="1" applyFont="1">
      <alignment vertical="bottom"/>
    </xf>
    <xf borderId="1" fillId="3" fontId="1" numFmtId="10" xfId="0" applyBorder="1" applyFill="1" applyFont="1" applyNumberFormat="1"/>
    <xf borderId="1" fillId="2" fontId="8" numFmtId="0" xfId="0" applyAlignment="1" applyBorder="1" applyFill="1" applyFont="1">
      <alignment vertical="bottom"/>
    </xf>
    <xf borderId="1" fillId="2" fontId="1" numFmtId="10" xfId="0" applyBorder="1" applyFill="1" applyFont="1" applyNumberFormat="1"/>
    <xf borderId="1" fillId="0" fontId="9" numFmtId="167" xfId="0" applyAlignment="1" applyBorder="1" applyFont="1" applyNumberFormat="1">
      <alignment horizontal="right" readingOrder="0"/>
    </xf>
    <xf borderId="1" fillId="0" fontId="1" numFmtId="167" xfId="0" applyAlignment="1" applyBorder="1" applyFont="1" applyNumberFormat="1">
      <alignment readingOrder="0"/>
    </xf>
    <xf borderId="1" fillId="3" fontId="8" numFmtId="167" xfId="0" applyAlignment="1" applyBorder="1" applyFill="1" applyFont="1" applyNumberFormat="1">
      <alignment vertical="bottom"/>
    </xf>
    <xf borderId="0" fillId="2" fontId="8" numFmtId="167" xfId="0" applyAlignment="1" applyFill="1" applyFont="1" applyNumberFormat="1">
      <alignment horizontal="right" vertical="bottom"/>
    </xf>
    <xf borderId="0" fillId="2" fontId="7" numFmtId="164" xfId="0" applyAlignment="1" applyFill="1" applyFont="1" applyNumberFormat="1">
      <alignment vertical="bottom"/>
    </xf>
    <xf borderId="1" fillId="2" fontId="8" numFmtId="164" xfId="0" applyAlignment="1" applyBorder="1" applyFill="1" applyFont="1" applyNumberFormat="1">
      <alignment vertical="bottom"/>
    </xf>
    <xf borderId="1" fillId="3" fontId="7" numFmtId="165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aqKEusH6mKKxFkfCzDjVVPpfSwJEvJmk4L3VdA1wlM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ToHWGrCYZXydM9bmTXx0jFcg338cz8TumHwKezDi6Y/edit?usp=sharing" TargetMode="External"/><Relationship Id="rId2" Type="http://schemas.openxmlformats.org/officeDocument/2006/relationships/hyperlink" Target="https://docs.google.com/spreadsheets/d/1rCd45U61Jk-kt0Mwxxm-KuQZBnLQADTZRIDwgtfMqD0/edit?usp=sharing" TargetMode="External"/><Relationship Id="rId3" Type="http://schemas.openxmlformats.org/officeDocument/2006/relationships/hyperlink" Target="https://docs.google.com/spreadsheets/d/1Q4nGnhMewSzdTg5_L_92cLPeppNNzlBGfQ3NqQHgU7c/edit?usp=sharing" TargetMode="External"/><Relationship Id="rId4" Type="http://schemas.openxmlformats.org/officeDocument/2006/relationships/hyperlink" Target="https://docs.google.com/spreadsheets/d/1Gkz2EoHFsNbu1WVo_DqPRW80PxKREZ7BR-vhklugkXs/edit?usp=sharing" TargetMode="External"/><Relationship Id="rId5" Type="http://schemas.openxmlformats.org/officeDocument/2006/relationships/hyperlink" Target="https://docs.google.com/spreadsheets/d/1Qla08lKe7QrrR60Fu85nen7yEwlgLkBoJH8lo6Ncvpw/edit?usp=sharing" TargetMode="External"/><Relationship Id="rId6" Type="http://schemas.openxmlformats.org/officeDocument/2006/relationships/hyperlink" Target="https://docs.google.com/spreadsheets/d/1h33h3hRym5549nl6dPd3vtIX30pKkXJEvoYB7vEjL8U/edit?usp=sharin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M-sSMflFdNd307aikXRORtzBh8Klh3IQ6pNPVadbpY/edit?usp=sharing" TargetMode="External"/><Relationship Id="rId2" Type="http://schemas.openxmlformats.org/officeDocument/2006/relationships/hyperlink" Target="https://docs.google.com/spreadsheets/d/1csPwYEjk6Q7OeIWGI-oNW-Olulq8PJeGjKZlfVwcDtw/edit?usp=sharing" TargetMode="External"/><Relationship Id="rId3" Type="http://schemas.openxmlformats.org/officeDocument/2006/relationships/hyperlink" Target="https://docs.google.com/spreadsheets/d/19BtE4Nr9LHAuJ0pSOaczNZ-CLyhGc9vjhGCkNljPltA/edit?usp=sharing" TargetMode="External"/><Relationship Id="rId4" Type="http://schemas.openxmlformats.org/officeDocument/2006/relationships/hyperlink" Target="https://docs.google.com/spreadsheets/d/10mLzUEmG3Xmjbj366KHw4DMKo0Xfo82Sm4w0nGeAn5s/edit?usp=sharing" TargetMode="External"/><Relationship Id="rId5" Type="http://schemas.openxmlformats.org/officeDocument/2006/relationships/hyperlink" Target="https://docs.google.com/spreadsheets/d/1E0YPfBJYPO7a-URCJcui7i3tGUrf4O0Oo9LCqPWSlvQ/edit?usp=sharing" TargetMode="External"/><Relationship Id="rId6" Type="http://schemas.openxmlformats.org/officeDocument/2006/relationships/hyperlink" Target="https://docs.google.com/spreadsheets/d/1wx3H3oaf4vI2Wk1PPitRnAlDFl7mK0SKawOD78WHbYc/edit?usp=sharing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idqjWvqb995llCw-U0Jtb9RbsPT47_cEe_TgZxkHf78/edit?usp=sharing" TargetMode="External"/><Relationship Id="rId2" Type="http://schemas.openxmlformats.org/officeDocument/2006/relationships/hyperlink" Target="https://docs.google.com/spreadsheets/d/1FWIdUaoxYYwetbAMx0Awam_GlIdJ8aENfelImSL20QI/edit?usp=sharing" TargetMode="External"/><Relationship Id="rId3" Type="http://schemas.openxmlformats.org/officeDocument/2006/relationships/hyperlink" Target="https://docs.google.com/spreadsheets/d/1ADzpBfKx2dfXJZLdea08QhRUUPvItlyz1C7bcxJU6kU/edit?usp=sharing" TargetMode="External"/><Relationship Id="rId4" Type="http://schemas.openxmlformats.org/officeDocument/2006/relationships/hyperlink" Target="https://docs.google.com/spreadsheets/d/1QYKZqZlBs7seNzUR7irLFixyEYwahB6hSco7vv6fWS4/edit?usp=sharing" TargetMode="External"/><Relationship Id="rId5" Type="http://schemas.openxmlformats.org/officeDocument/2006/relationships/hyperlink" Target="https://docs.google.com/spreadsheets/d/19PwkXtxiDoWq5fKQJsAWdjgtFDiUcMf3kVC_SD3McD8/edit?usp=sharing" TargetMode="External"/><Relationship Id="rId6" Type="http://schemas.openxmlformats.org/officeDocument/2006/relationships/hyperlink" Target="https://docs.google.com/spreadsheets/d/11QQ1100qrEKXmQtNWeWpOyH3HgWos0JZnVch1kKJJTs/edit?usp=sharing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2yKmwaCpsaGn6pLy_k-UV_JnxFkH80JerHPjqVaSDA/edit?usp=sharing" TargetMode="External"/><Relationship Id="rId2" Type="http://schemas.openxmlformats.org/officeDocument/2006/relationships/hyperlink" Target="https://docs.google.com/spreadsheets/d/1B9bEMSostX9N6mvdG3oBtsTqvk92zdx-xnq-VhF1Z1I/edit?usp=sharing" TargetMode="External"/><Relationship Id="rId3" Type="http://schemas.openxmlformats.org/officeDocument/2006/relationships/hyperlink" Target="https://docs.google.com/spreadsheets/d/13pRF20XBX4vXjJffd63WeHehNdqABCyNQA3vRRWwqUg/edit?usp=sharing" TargetMode="External"/><Relationship Id="rId4" Type="http://schemas.openxmlformats.org/officeDocument/2006/relationships/hyperlink" Target="https://docs.google.com/spreadsheets/d/1fETev-LnTcSRgP_u_Yufevf4eQ7G9IDwFBkBEDxeO28/edit?usp=sharing" TargetMode="External"/><Relationship Id="rId5" Type="http://schemas.openxmlformats.org/officeDocument/2006/relationships/hyperlink" Target="https://docs.google.com/spreadsheets/d/1saJx46HkecPIVxot1vBtjpNgmJ0obswpAyw0Z9-15yU/edit?usp=sharing" TargetMode="External"/><Relationship Id="rId6" Type="http://schemas.openxmlformats.org/officeDocument/2006/relationships/hyperlink" Target="https://docs.google.com/spreadsheets/d/1vPrnJrFO42IuU_zTz173w26wVB5FAGj7-3UOYmwfQNE/edit?usp=sharing" TargetMode="External"/><Relationship Id="rId7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6x7O6muB8nxniTKwwm8koRBHvlvFTfhKAxxCWKWmyKk/edit?usp=sharing" TargetMode="External"/><Relationship Id="rId2" Type="http://schemas.openxmlformats.org/officeDocument/2006/relationships/hyperlink" Target="https://docs.google.com/spreadsheets/d/1XWVaDzNFdWd-qATjw-otYGN0qYp1WZLZCVernlPWUOo/edit?usp=sharing" TargetMode="External"/><Relationship Id="rId3" Type="http://schemas.openxmlformats.org/officeDocument/2006/relationships/hyperlink" Target="https://docs.google.com/spreadsheets/d/15eWY__zCmPXyI8fccNk_wwBfJ6ZH1N-Ii1prOYFz2nY/edit?usp=sharing" TargetMode="External"/><Relationship Id="rId4" Type="http://schemas.openxmlformats.org/officeDocument/2006/relationships/hyperlink" Target="https://docs.google.com/spreadsheets/d/12sT4lTO0UAOxZQpqld6Uzs4fwzQJYcRfDV76BHkdKxQ/edit?usp=sharing" TargetMode="External"/><Relationship Id="rId5" Type="http://schemas.openxmlformats.org/officeDocument/2006/relationships/hyperlink" Target="https://docs.google.com/spreadsheets/d/1_auJZz6B1aZLbsaL-P3Ut1eM19m2u4_s109tOnOPIZU/edit?usp=sharing" TargetMode="External"/><Relationship Id="rId6" Type="http://schemas.openxmlformats.org/officeDocument/2006/relationships/hyperlink" Target="https://docs.google.com/spreadsheets/d/1yuh9MXfX-uPeWg57xtWCLu5mvetLG4Fgv2F6xvu4ZOA/edit?usp=sharing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H8XdXi5k9YxwBzRAD_-LnxCXcQ4RNZr9ZvGlM3i7I/edit?usp=sharing" TargetMode="External"/><Relationship Id="rId2" Type="http://schemas.openxmlformats.org/officeDocument/2006/relationships/hyperlink" Target="https://docs.google.com/spreadsheets/d/1h9iMjegYIBLnryxdxKZM8zEjgPaAB56xLRsCTb_djjY/edit?usp=sharing" TargetMode="External"/><Relationship Id="rId3" Type="http://schemas.openxmlformats.org/officeDocument/2006/relationships/hyperlink" Target="https://docs.google.com/spreadsheets/d/1Qz68WiN_vxFz9MwrU6HM4FYdbVRynK7uXsz8SWHaSMA/edit?usp=sharing" TargetMode="External"/><Relationship Id="rId4" Type="http://schemas.openxmlformats.org/officeDocument/2006/relationships/hyperlink" Target="https://docs.google.com/spreadsheets/d/1aRXlJDFCa7JHhlt_FqCYc6ERbxcobbcgUYObxUPY8fI/edit?usp=sharing" TargetMode="External"/><Relationship Id="rId5" Type="http://schemas.openxmlformats.org/officeDocument/2006/relationships/hyperlink" Target="https://docs.google.com/spreadsheets/d/1fDXgo-Fxrkvqxv8EfHkGTExQ_sZDlJFLgKeV9m6rLPs/edit?usp=sharing" TargetMode="External"/><Relationship Id="rId6" Type="http://schemas.openxmlformats.org/officeDocument/2006/relationships/hyperlink" Target="https://docs.google.com/spreadsheets/d/1o6H_B7-k4Owuzyofgc8j_A-3A44RU_qA2NgVoS3l7SE/edit?usp=sharing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ajQqppsLJBGXq0y96Y_Zl9dNa1cOzkMr_n_ZXWSTzI/edit?usp=sharing" TargetMode="External"/><Relationship Id="rId2" Type="http://schemas.openxmlformats.org/officeDocument/2006/relationships/hyperlink" Target="https://docs.google.com/spreadsheets/d/1pxpyf87hbDDTndfIOzUOEJpBfb5WxHdli4UdTYE9FOM/edit?usp=sharing" TargetMode="External"/><Relationship Id="rId3" Type="http://schemas.openxmlformats.org/officeDocument/2006/relationships/hyperlink" Target="https://docs.google.com/spreadsheets/d/1U9-YqzGCFAMFa_7mnWnpuHjU9UZ70aIFUU0_KXt9UcQ/edit?usp=sharing" TargetMode="External"/><Relationship Id="rId4" Type="http://schemas.openxmlformats.org/officeDocument/2006/relationships/hyperlink" Target="https://docs.google.com/spreadsheets/d/1939PZxx4saL6PJWIzZby-c7wSx-Q0BV1ZCB7iFswQvY/edit?usp=sharing" TargetMode="External"/><Relationship Id="rId5" Type="http://schemas.openxmlformats.org/officeDocument/2006/relationships/hyperlink" Target="https://docs.google.com/spreadsheets/d/1lON6D2m3lVQ_0J9Ei_Jrt5lcSabNy4TCPV42BGzgosI/edit?usp=sharing" TargetMode="External"/><Relationship Id="rId6" Type="http://schemas.openxmlformats.org/officeDocument/2006/relationships/hyperlink" Target="https://docs.google.com/spreadsheets/d/10ytvbIXXZCDGKIFYpks3OJIfi7YYkD0PTOano0zv8bc/edit?usp=sharing" TargetMode="External"/><Relationship Id="rId7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Kr7GUr9TL6ZHez7qKPk5emCExXXRX9gvdfBv8m-dIA/edit?usp=sharing" TargetMode="External"/><Relationship Id="rId2" Type="http://schemas.openxmlformats.org/officeDocument/2006/relationships/hyperlink" Target="https://docs.google.com/spreadsheets/d/1xY3-__p51T2f3C4WBXTNdAL5R7bffkXjy5dtCitX-ic/edit?usp=sharing" TargetMode="External"/><Relationship Id="rId3" Type="http://schemas.openxmlformats.org/officeDocument/2006/relationships/hyperlink" Target="https://docs.google.com/spreadsheets/d/1HBPK3wt-e3DMH03w9ZSGO4nl2jthpHXEN6Z5xMh6idw/edit?usp=sharing" TargetMode="External"/><Relationship Id="rId4" Type="http://schemas.openxmlformats.org/officeDocument/2006/relationships/hyperlink" Target="https://docs.google.com/spreadsheets/d/1WSjI3U17qEjpRvmZ4kXxdYKD1DDbEZPu436eSs983sA/edit?usp=sharing" TargetMode="External"/><Relationship Id="rId5" Type="http://schemas.openxmlformats.org/officeDocument/2006/relationships/hyperlink" Target="https://docs.google.com/spreadsheets/d/18XS6xPzVK7_CGmAxsH7s4ekQlmuMDWSu41JzB3_wFCA/edit?usp=sharing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7v1fuRWXsbfmOod3ODEgc8vXNlVK2CoL4P1XhuQHJY/edit?usp=sharing" TargetMode="External"/><Relationship Id="rId2" Type="http://schemas.openxmlformats.org/officeDocument/2006/relationships/hyperlink" Target="https://docs.google.com/spreadsheets/d/16y-tr9k_n0TE4Lb9N0rPB_pIgB3sZj1neM0vA9XRCNo/edit?usp=sharing" TargetMode="External"/><Relationship Id="rId3" Type="http://schemas.openxmlformats.org/officeDocument/2006/relationships/hyperlink" Target="https://docs.google.com/spreadsheets/d/128ttUrEvYGxInj2p06fBTUBrehu1aDoreZhZc0Thukg/edit?usp=sharing" TargetMode="External"/><Relationship Id="rId4" Type="http://schemas.openxmlformats.org/officeDocument/2006/relationships/hyperlink" Target="https://docs.google.com/spreadsheets/d/1i_btmX40d0VcDU8YNrkmjBGwoj0-C5C_Fs_qvLZiGFE/edit?usp=sharing" TargetMode="External"/><Relationship Id="rId5" Type="http://schemas.openxmlformats.org/officeDocument/2006/relationships/hyperlink" Target="https://docs.google.com/spreadsheets/d/1u0oD1I3IA1fWmKAvDjc6ST_sW3h71A6iTz_4yDMDnWE/edit?usp=sharing" TargetMode="External"/><Relationship Id="rId6" Type="http://schemas.openxmlformats.org/officeDocument/2006/relationships/hyperlink" Target="https://docs.google.com/spreadsheets/d/1v645LbEi0H7j9jg05N-3YaimVS6EW5wYQTUvIF2YJ1M/edit?usp=sharing" TargetMode="External"/><Relationship Id="rId7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ecUY38Q_Z2oev5cHrEbshYPPKzGdh8nOWdgwDmLxwI/edit?usp=sharing" TargetMode="External"/><Relationship Id="rId2" Type="http://schemas.openxmlformats.org/officeDocument/2006/relationships/hyperlink" Target="https://docs.google.com/spreadsheets/d/1-wAieWAg6qcssn_HOgnXrTg-PlE9q6MQsOwrbWMg06Y/edit?usp=sharing" TargetMode="External"/><Relationship Id="rId3" Type="http://schemas.openxmlformats.org/officeDocument/2006/relationships/hyperlink" Target="https://docs.google.com/spreadsheets/d/14a-9bTC5oX_L5rE90C-xAn0ddoTBK10JGUHHaaEDcKs/edit?usp=sharing" TargetMode="External"/><Relationship Id="rId4" Type="http://schemas.openxmlformats.org/officeDocument/2006/relationships/hyperlink" Target="https://docs.google.com/spreadsheets/d/1yoD9Z6miuBPtqh-QvDxnDDdLT_ckF_w4-OFmbNMej88/edit?usp=sharing" TargetMode="External"/><Relationship Id="rId5" Type="http://schemas.openxmlformats.org/officeDocument/2006/relationships/hyperlink" Target="https://docs.google.com/spreadsheets/d/1zjCsciHiDnVPJyBiDFY-QH-CsaKodV-YhTJlGo7BWLo/edit?usp=sharing" TargetMode="External"/><Relationship Id="rId6" Type="http://schemas.openxmlformats.org/officeDocument/2006/relationships/hyperlink" Target="https://docs.google.com/spreadsheets/d/1u4JS29SyYJlzcyFAq93e1LgCnSj_k8EEFhZ_vRU_2sE/edit?usp=sharing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hYCOZuQYJ6FCAInd20R_J6qgX8u6SFJLu9SmY4s5OE/edit?usp=sharing" TargetMode="External"/><Relationship Id="rId2" Type="http://schemas.openxmlformats.org/officeDocument/2006/relationships/hyperlink" Target="https://docs.google.com/spreadsheets/d/1jc-XHuTFgSGGAuHAYlIEVbdK4SuzNLDTMOsc40S8yOQ/edit?usp=sharing" TargetMode="External"/><Relationship Id="rId3" Type="http://schemas.openxmlformats.org/officeDocument/2006/relationships/hyperlink" Target="https://docs.google.com/spreadsheets/d/1khYCOZuQYJ6FCAInd20R_J6qgX8u6SFJLu9SmY4s5OE/edit?usp=sharing" TargetMode="External"/><Relationship Id="rId4" Type="http://schemas.openxmlformats.org/officeDocument/2006/relationships/hyperlink" Target="https://docs.google.com/spreadsheets/d/1jc-XHuTFgSGGAuHAYlIEVbdK4SuzNLDTMOsc40S8yOQ/edit?usp=sharing" TargetMode="External"/><Relationship Id="rId5" Type="http://schemas.openxmlformats.org/officeDocument/2006/relationships/hyperlink" Target="https://docs.google.com/spreadsheets/d/1saJx46HkecPIVxot1vBtjpNgmJ0obswpAyw0Z9-15yU/edit?usp=sharing" TargetMode="External"/><Relationship Id="rId6" Type="http://schemas.openxmlformats.org/officeDocument/2006/relationships/hyperlink" Target="https://docs.google.com/spreadsheets/d/1r1x10xW0kmLtPifOiWD0NS6xq8oUg112HwHf1m5xiBw/edit?usp=sharing" TargetMode="External"/><Relationship Id="rId7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CS_Sg9T8Br0uuSUYLgfj_pYhu_mtqouPaznZ6rdTrc/edit?usp=shari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_TtkprpocjdQyKq-g6CU30yCmblcFCnSyj9AJXenFac/edit?usp=sharing" TargetMode="External"/><Relationship Id="rId2" Type="http://schemas.openxmlformats.org/officeDocument/2006/relationships/hyperlink" Target="https://docs.google.com/spreadsheets/d/1dKFI34AkVrb0kM0VZymxmrCKZLuGdt3lw7FQR1gb_Yk/edit?usp=sharing" TargetMode="External"/><Relationship Id="rId3" Type="http://schemas.openxmlformats.org/officeDocument/2006/relationships/hyperlink" Target="https://docs.google.com/spreadsheets/d/1MSXzVl1MzCQ0ocPXaRPOqCIs9I-Cp2jevIsrGHBTlRY/edit?usp=sharing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qu4oafl5C9cCcKk_un_5WiSe3it3UnZRE8KbuZAKZE/edit?usp=sharing" TargetMode="External"/><Relationship Id="rId2" Type="http://schemas.openxmlformats.org/officeDocument/2006/relationships/hyperlink" Target="https://docs.google.com/spreadsheets/d/1dZN4VB2HQEdi91v54F5PAFBc5kT64jaBo2vzF6GAs6c/edit?usp=sharing" TargetMode="External"/><Relationship Id="rId3" Type="http://schemas.openxmlformats.org/officeDocument/2006/relationships/hyperlink" Target="https://docs.google.com/spreadsheets/d/1Se6EA0QIWaRdaHgzm-viW7KpL_RHaZjyOk3iaH334O8/edit?usp=sharing" TargetMode="External"/><Relationship Id="rId4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Col="1" outlineLevelRow="1"/>
  <cols>
    <col customWidth="1" min="2" max="2" width="37.88"/>
    <col customWidth="1" min="3" max="5" width="13.25"/>
    <col customWidth="1" min="6" max="6" width="13.63"/>
    <col customWidth="1" min="7" max="7" width="13.25"/>
    <col customWidth="1" min="9" max="9" width="12.63"/>
    <col customWidth="1" min="13" max="13" width="16.63"/>
    <col customWidth="1" min="14" max="14" width="21.25"/>
  </cols>
  <sheetData>
    <row r="1">
      <c r="A1" s="2" t="s">
        <v>0</v>
      </c>
      <c r="B1" s="6" t="s">
        <v>2</v>
      </c>
      <c r="C1" s="8"/>
      <c r="D1" s="8"/>
      <c r="E1" s="8"/>
      <c r="F1" s="8"/>
      <c r="G1" s="8"/>
      <c r="H1" s="9"/>
      <c r="I1" s="8"/>
      <c r="J1" s="8"/>
      <c r="K1" s="8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>
      <c r="A2" s="2" t="s">
        <v>4</v>
      </c>
      <c r="C2" s="8"/>
      <c r="D2" s="8"/>
      <c r="E2" s="8"/>
      <c r="F2" s="8"/>
      <c r="G2" s="8"/>
      <c r="H2" s="9"/>
      <c r="I2" s="8"/>
      <c r="J2" s="8"/>
      <c r="K2" s="8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5</v>
      </c>
      <c r="B3" s="12" t="s">
        <v>6</v>
      </c>
      <c r="C3" s="13" t="s">
        <v>7</v>
      </c>
      <c r="D3" s="13" t="s">
        <v>8</v>
      </c>
      <c r="E3" s="13" t="s">
        <v>9</v>
      </c>
      <c r="F3" s="13" t="s">
        <v>3</v>
      </c>
      <c r="G3" s="13" t="s">
        <v>10</v>
      </c>
      <c r="H3" s="13" t="s">
        <v>11</v>
      </c>
      <c r="I3" s="13" t="s">
        <v>12</v>
      </c>
      <c r="J3" s="13" t="s">
        <v>13</v>
      </c>
      <c r="K3" s="13" t="s">
        <v>14</v>
      </c>
    </row>
    <row r="4">
      <c r="A4" s="14">
        <v>1.0</v>
      </c>
      <c r="B4" s="15" t="s">
        <v>15</v>
      </c>
      <c r="C4" s="22">
        <f>'RallyGully I Sector 10 Dwarka'!B26</f>
        <v>256879</v>
      </c>
      <c r="D4" s="22">
        <f>'RallyGully I Sector 10 Dwarka'!C26</f>
        <v>428482</v>
      </c>
      <c r="E4" s="22">
        <f>'RallyGully I Sector 10 Dwarka'!D26</f>
        <v>245541</v>
      </c>
      <c r="F4" s="22">
        <f>'RallyGully I Sector 10 Dwarka'!E26</f>
        <v>260770</v>
      </c>
      <c r="G4" s="24">
        <f>'RallyGully I Sector 10 Dwarka'!F26</f>
        <v>264373</v>
      </c>
      <c r="H4" s="22">
        <f>'RallyGully I Sector 10 Dwarka'!G26</f>
        <v>321329</v>
      </c>
      <c r="I4" s="24"/>
      <c r="J4" s="24"/>
      <c r="K4" s="24"/>
      <c r="M4" s="25"/>
      <c r="N4" s="25"/>
      <c r="O4" s="25"/>
      <c r="P4" s="25"/>
      <c r="Q4" s="25"/>
    </row>
    <row r="5" collapsed="1">
      <c r="A5" s="14">
        <v>2.0</v>
      </c>
      <c r="B5" s="15" t="s">
        <v>19</v>
      </c>
      <c r="C5" s="22">
        <f>'RallyGully | KLJ 83'!B26</f>
        <v>183913</v>
      </c>
      <c r="D5" s="22">
        <f>'RallyGully | KLJ 83'!E26</f>
        <v>247268</v>
      </c>
      <c r="E5" s="22">
        <f>'RallyGully | KLJ 83'!H26</f>
        <v>199285</v>
      </c>
      <c r="F5" s="22">
        <f>'RallyGully | KLJ 83'!K26</f>
        <v>245199</v>
      </c>
      <c r="G5" s="24">
        <f>'RallyGully | KLJ 83'!N26</f>
        <v>209847</v>
      </c>
      <c r="H5" s="22">
        <f>'RallyGully | KLJ 83'!Q26</f>
        <v>187469</v>
      </c>
      <c r="I5" s="24"/>
      <c r="J5" s="24"/>
      <c r="K5" s="24"/>
    </row>
    <row r="6" hidden="1" outlineLevel="1">
      <c r="A6" s="14"/>
      <c r="B6" s="15" t="s">
        <v>17</v>
      </c>
      <c r="C6" s="22">
        <f>'RallyGully | KLJ 83'!C26</f>
        <v>97738</v>
      </c>
      <c r="D6" s="22">
        <f>'RallyGully | KLJ 83'!F26</f>
        <v>137540</v>
      </c>
      <c r="E6" s="22">
        <f>'RallyGully | KLJ 83'!I26</f>
        <v>107239</v>
      </c>
      <c r="F6" s="22">
        <f>'RallyGully | KLJ 83'!L26</f>
        <v>133437</v>
      </c>
      <c r="G6" s="24">
        <f>'RallyGully | KLJ 83'!O26</f>
        <v>106073</v>
      </c>
      <c r="H6" s="24">
        <f>'RallyGully | KLJ 83'!R26</f>
        <v>102755</v>
      </c>
      <c r="I6" s="24"/>
      <c r="J6" s="24"/>
      <c r="K6" s="24"/>
    </row>
    <row r="7" hidden="1" outlineLevel="1">
      <c r="A7" s="14"/>
      <c r="B7" s="15" t="s">
        <v>18</v>
      </c>
      <c r="C7" s="22">
        <f>'RallyGully | KLJ 83'!D26</f>
        <v>85218</v>
      </c>
      <c r="D7" s="22">
        <f>'RallyGully | KLJ 83'!G26</f>
        <v>109728</v>
      </c>
      <c r="E7" s="22">
        <f>'RallyGully | KLJ 83'!J26</f>
        <v>68046</v>
      </c>
      <c r="F7" s="22">
        <f>'RallyGully | KLJ 83'!M26</f>
        <v>67309</v>
      </c>
      <c r="G7" s="24">
        <f>'RallyGully | KLJ 83'!P26</f>
        <v>94374</v>
      </c>
      <c r="H7" s="24">
        <f>'RallyGully | KLJ 83'!S26</f>
        <v>84714</v>
      </c>
      <c r="I7" s="24"/>
      <c r="J7" s="24"/>
      <c r="K7" s="24"/>
    </row>
    <row r="8">
      <c r="A8" s="14">
        <v>3.0</v>
      </c>
      <c r="B8" s="15" t="s">
        <v>32</v>
      </c>
      <c r="C8" s="22">
        <f>'RallyGully | EOK'!B26</f>
        <v>301420</v>
      </c>
      <c r="D8" s="22">
        <f>'RallyGully | EOK'!C26</f>
        <v>350844</v>
      </c>
      <c r="E8" s="22">
        <f>'RallyGully | EOK'!D26</f>
        <v>389200</v>
      </c>
      <c r="F8" s="22">
        <f>'RallyGully | EOK'!E26</f>
        <v>193062</v>
      </c>
      <c r="G8" s="24">
        <f>'RallyGully | EOK'!F26</f>
        <v>208166</v>
      </c>
      <c r="H8" s="22">
        <f>'RallyGully | EOK'!G26</f>
        <v>217526</v>
      </c>
      <c r="I8" s="24"/>
      <c r="J8" s="24"/>
      <c r="K8" s="24"/>
    </row>
    <row r="9">
      <c r="A9" s="14">
        <v>4.0</v>
      </c>
      <c r="B9" s="15" t="s">
        <v>39</v>
      </c>
      <c r="C9" s="22">
        <f>'RallyGully | DOK Dwarka'!B26</f>
        <v>85355</v>
      </c>
      <c r="D9" s="22">
        <f>'RallyGully | DOK Dwarka'!C26</f>
        <v>132322</v>
      </c>
      <c r="E9" s="22">
        <f>'RallyGully | DOK Dwarka'!D26</f>
        <v>110817</v>
      </c>
      <c r="F9" s="22">
        <f>'RallyGully | DOK Dwarka'!E26</f>
        <v>67760</v>
      </c>
      <c r="G9" s="24">
        <f>'RallyGully | DOK Dwarka'!F26</f>
        <v>64231</v>
      </c>
      <c r="H9" s="22">
        <f>'RallyGully | DOK Dwarka'!G26</f>
        <v>52735</v>
      </c>
      <c r="I9" s="24"/>
      <c r="J9" s="24"/>
      <c r="K9" s="24"/>
    </row>
    <row r="10">
      <c r="A10" s="14">
        <v>5.0</v>
      </c>
      <c r="B10" s="41" t="s">
        <v>43</v>
      </c>
      <c r="C10" s="45">
        <f>'RallyGully | DPSG'!B26</f>
        <v>95190</v>
      </c>
      <c r="D10" s="45">
        <f>'RallyGully | DPSG'!C26</f>
        <v>157033</v>
      </c>
      <c r="E10" s="45">
        <f>'RallyGully | DPSG'!D26</f>
        <v>117732</v>
      </c>
      <c r="F10" s="45">
        <f>'RallyGully | DPSG'!E26</f>
        <v>68206</v>
      </c>
      <c r="G10" s="45">
        <f>'RallyGully | DPSG'!F26</f>
        <v>62615</v>
      </c>
      <c r="H10" s="45">
        <f>'RallyGully | DPSG'!G26</f>
        <v>49069</v>
      </c>
      <c r="I10" s="47"/>
      <c r="J10" s="47"/>
      <c r="K10" s="47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4">
        <v>6.0</v>
      </c>
      <c r="B11" s="41" t="s">
        <v>46</v>
      </c>
      <c r="C11" s="45">
        <f>'RallyGully | Panchsheel'!B26</f>
        <v>126187</v>
      </c>
      <c r="D11" s="45">
        <f>'RallyGully | Panchsheel'!C26</f>
        <v>119195</v>
      </c>
      <c r="E11" s="45">
        <f>'RallyGully | Panchsheel'!D26</f>
        <v>77734</v>
      </c>
      <c r="F11" s="45">
        <f>'RallyGully | Panchsheel'!E26</f>
        <v>65801</v>
      </c>
      <c r="G11" s="45">
        <f>'RallyGully | Panchsheel'!F26</f>
        <v>38408</v>
      </c>
      <c r="H11" s="45">
        <f>'RallyGully | Panchsheel'!G26</f>
        <v>56821</v>
      </c>
      <c r="I11" s="47"/>
      <c r="J11" s="47"/>
      <c r="K11" s="47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4">
        <v>7.0</v>
      </c>
      <c r="B12" s="53" t="s">
        <v>48</v>
      </c>
      <c r="C12" s="22">
        <f>'RallyGully | LCR'!B26</f>
        <v>342681</v>
      </c>
      <c r="D12" s="22">
        <f>'RallyGully | LCR'!C26</f>
        <v>423322</v>
      </c>
      <c r="E12" s="22">
        <f>'RallyGully | LCR'!D26</f>
        <v>303555</v>
      </c>
      <c r="F12" s="22">
        <f>'RallyGully | LCR'!E26</f>
        <v>204478</v>
      </c>
      <c r="G12" s="24">
        <f>'RallyGully | LCR'!F26</f>
        <v>215489</v>
      </c>
      <c r="H12" s="22">
        <f>'RallyGully | LCR'!G26</f>
        <v>243227</v>
      </c>
      <c r="I12" s="24"/>
      <c r="J12" s="24"/>
      <c r="K12" s="24"/>
    </row>
    <row r="13" collapsed="1">
      <c r="A13" s="14">
        <v>8.0</v>
      </c>
      <c r="B13" s="41" t="s">
        <v>50</v>
      </c>
      <c r="C13" s="45">
        <f>'RallyGully | Powerplay'!B26</f>
        <v>226511</v>
      </c>
      <c r="D13" s="45">
        <f>'RallyGully | Powerplay'!F26</f>
        <v>252927</v>
      </c>
      <c r="E13" s="45">
        <f>'RallyGully | Powerplay'!J26</f>
        <v>217661</v>
      </c>
      <c r="F13" s="45">
        <f>'RallyGully | Powerplay'!N26</f>
        <v>161820</v>
      </c>
      <c r="G13" s="45">
        <f>'RallyGully | Powerplay'!R26</f>
        <v>141427</v>
      </c>
      <c r="H13" s="45">
        <f>'RallyGully | Powerplay'!V26</f>
        <v>160569</v>
      </c>
      <c r="I13" s="45"/>
      <c r="J13" s="45"/>
      <c r="K13" s="47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idden="1" outlineLevel="1">
      <c r="A14" s="14"/>
      <c r="B14" s="41" t="s">
        <v>17</v>
      </c>
      <c r="C14" s="45">
        <f>'RallyGully | Powerplay'!C26</f>
        <v>53909</v>
      </c>
      <c r="D14" s="45">
        <f>'RallyGully | Powerplay'!G26</f>
        <v>87588</v>
      </c>
      <c r="E14" s="45">
        <f>'RallyGully | Powerplay'!K26</f>
        <v>45308</v>
      </c>
      <c r="F14" s="45">
        <f>'RallyGully | Powerplay'!O26</f>
        <v>15815</v>
      </c>
      <c r="G14" s="45">
        <f>'RallyGully | Powerplay'!S26</f>
        <v>7477</v>
      </c>
      <c r="H14" s="45">
        <f>'RallyGully | Powerplay'!W26</f>
        <v>12270</v>
      </c>
      <c r="I14" s="45"/>
      <c r="J14" s="45"/>
      <c r="K14" s="47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idden="1" outlineLevel="1">
      <c r="A15" s="14"/>
      <c r="B15" s="41" t="s">
        <v>51</v>
      </c>
      <c r="C15" s="45">
        <f>'RallyGully | Powerplay'!E26</f>
        <v>118000</v>
      </c>
      <c r="D15" s="45" t="str">
        <f>'RallyGully | Powerplay'!I26</f>
        <v/>
      </c>
      <c r="E15" s="45">
        <f>'RallyGully | Powerplay'!M26</f>
        <v>118000</v>
      </c>
      <c r="F15" s="45">
        <f>'RallyGully | Powerplay'!Q26</f>
        <v>118000</v>
      </c>
      <c r="G15" s="45">
        <f>'RallyGully | Powerplay'!U26</f>
        <v>118000</v>
      </c>
      <c r="H15" s="45">
        <f>'RallyGully | Powerplay'!Y26</f>
        <v>118000</v>
      </c>
      <c r="I15" s="45"/>
      <c r="J15" s="45"/>
      <c r="K15" s="47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hidden="1" outlineLevel="1">
      <c r="A16" s="14"/>
      <c r="B16" s="41" t="s">
        <v>18</v>
      </c>
      <c r="C16" s="45">
        <f>'RallyGully | Powerplay'!D26</f>
        <v>51089</v>
      </c>
      <c r="D16" s="45" t="str">
        <f>'RallyGully | Powerplay'!H26</f>
        <v/>
      </c>
      <c r="E16" s="45">
        <f>'RallyGully | Powerplay'!L26</f>
        <v>56803</v>
      </c>
      <c r="F16" s="45">
        <f>'RallyGully | Powerplay'!P26</f>
        <v>28005</v>
      </c>
      <c r="G16" s="45">
        <f>'RallyGully | Powerplay'!T26</f>
        <v>15850</v>
      </c>
      <c r="H16" s="45">
        <f>'RallyGully | Powerplay'!X26</f>
        <v>30299</v>
      </c>
      <c r="I16" s="45"/>
      <c r="J16" s="45"/>
      <c r="K16" s="47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collapsed="1">
      <c r="A17" s="14">
        <v>9.0</v>
      </c>
      <c r="B17" s="41" t="s">
        <v>52</v>
      </c>
      <c r="C17" s="45">
        <f>'RallyGully | Commons'!B26</f>
        <v>335848</v>
      </c>
      <c r="D17" s="45">
        <f>'RallyGully | Commons'!F26</f>
        <v>563241</v>
      </c>
      <c r="E17" s="45">
        <f>'RallyGully | Commons'!J26</f>
        <v>710647</v>
      </c>
      <c r="F17" s="45">
        <f>'RallyGully | Commons'!N26</f>
        <v>614603</v>
      </c>
      <c r="G17" s="45">
        <f>'RallyGully | Commons'!R26</f>
        <v>619059</v>
      </c>
      <c r="H17" s="45">
        <f>'RallyGully | Commons'!V26</f>
        <v>635389</v>
      </c>
      <c r="I17" s="45"/>
      <c r="J17" s="45"/>
      <c r="K17" s="47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hidden="1" outlineLevel="1">
      <c r="A18" s="14"/>
      <c r="B18" s="41" t="s">
        <v>17</v>
      </c>
      <c r="C18" s="45">
        <f>'RallyGully | Commons'!C26</f>
        <v>35407</v>
      </c>
      <c r="D18" s="45">
        <f>'RallyGully | Commons'!G26</f>
        <v>145200</v>
      </c>
      <c r="E18" s="45">
        <f>'RallyGully | Commons'!K26</f>
        <v>168475</v>
      </c>
      <c r="F18" s="45">
        <f>'RallyGully | Commons'!O26</f>
        <v>75602</v>
      </c>
      <c r="G18" s="45">
        <f>'RallyGully | Commons'!S26</f>
        <v>84704</v>
      </c>
      <c r="H18" s="45">
        <f>'RallyGully | Commons'!W26</f>
        <v>93919</v>
      </c>
      <c r="I18" s="45"/>
      <c r="J18" s="45"/>
      <c r="K18" s="47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hidden="1" outlineLevel="1">
      <c r="A19" s="14"/>
      <c r="B19" s="41" t="s">
        <v>51</v>
      </c>
      <c r="C19" s="45">
        <f>'RallyGully | Commons'!E26</f>
        <v>88513</v>
      </c>
      <c r="D19" s="45">
        <f>'RallyGully | Commons'!I26</f>
        <v>71832</v>
      </c>
      <c r="E19" s="45">
        <f>'RallyGully | Commons'!M26</f>
        <v>63501</v>
      </c>
      <c r="F19" s="45">
        <f>'RallyGully | Commons'!Q26</f>
        <v>81339</v>
      </c>
      <c r="G19" s="45">
        <f>'RallyGully | Commons'!U26</f>
        <v>87157</v>
      </c>
      <c r="H19" s="45">
        <f>'RallyGully | Commons'!Y26</f>
        <v>99482</v>
      </c>
      <c r="I19" s="45"/>
      <c r="J19" s="45"/>
      <c r="K19" s="47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hidden="1" outlineLevel="1">
      <c r="A20" s="14"/>
      <c r="B20" s="41" t="s">
        <v>18</v>
      </c>
      <c r="C20" s="45">
        <f>'RallyGully | Commons'!D26</f>
        <v>178734</v>
      </c>
      <c r="D20" s="45">
        <f>'RallyGully | Commons'!H26</f>
        <v>346211</v>
      </c>
      <c r="E20" s="45">
        <f>'RallyGully | Commons'!L26</f>
        <v>474406</v>
      </c>
      <c r="F20" s="45">
        <f>'RallyGully | Commons'!P26</f>
        <v>431310</v>
      </c>
      <c r="G20" s="45">
        <f>'RallyGully | Commons'!T26</f>
        <v>363688</v>
      </c>
      <c r="H20" s="45">
        <f>'RallyGully | Commons'!X26</f>
        <v>426515</v>
      </c>
      <c r="I20" s="45"/>
      <c r="J20" s="45"/>
      <c r="K20" s="47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collapsed="1">
      <c r="A21" s="61">
        <v>10.0</v>
      </c>
      <c r="B21" s="15" t="s">
        <v>53</v>
      </c>
      <c r="C21" s="45">
        <v>0.0</v>
      </c>
      <c r="D21" s="45">
        <v>0.0</v>
      </c>
      <c r="E21" s="47">
        <f>'DOK | 83'!D26</f>
        <v>49974</v>
      </c>
      <c r="F21" s="47">
        <f>'DOK | 83'!E26</f>
        <v>91850</v>
      </c>
      <c r="G21" s="47">
        <f>'DOK | 83'!H26</f>
        <v>114611</v>
      </c>
      <c r="H21" s="45">
        <f>'DOK | 83'!I26</f>
        <v>47651</v>
      </c>
      <c r="I21" s="62"/>
      <c r="J21" s="62"/>
      <c r="K21" s="62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hidden="1" outlineLevel="1">
      <c r="A22" s="61"/>
      <c r="B22" s="41" t="s">
        <v>51</v>
      </c>
      <c r="C22" s="45">
        <v>0.0</v>
      </c>
      <c r="D22" s="45">
        <v>0.0</v>
      </c>
      <c r="E22" s="45">
        <v>0.0</v>
      </c>
      <c r="F22" s="45">
        <v>0.0</v>
      </c>
      <c r="G22" s="45">
        <v>0.0</v>
      </c>
      <c r="H22" s="45">
        <v>0.0</v>
      </c>
      <c r="I22" s="62"/>
      <c r="J22" s="62"/>
      <c r="K22" s="62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hidden="1" outlineLevel="1">
      <c r="A23" s="61"/>
      <c r="B23" s="41" t="s">
        <v>18</v>
      </c>
      <c r="C23" s="45">
        <v>0.0</v>
      </c>
      <c r="D23" s="45">
        <v>0.0</v>
      </c>
      <c r="E23" s="47">
        <f>'DOK | 83'!F21</f>
        <v>0</v>
      </c>
      <c r="F23" s="45">
        <f t="shared" ref="F23:H23" si="1">F21</f>
        <v>91850</v>
      </c>
      <c r="G23" s="45">
        <f t="shared" si="1"/>
        <v>114611</v>
      </c>
      <c r="H23" s="45">
        <f t="shared" si="1"/>
        <v>47651</v>
      </c>
      <c r="I23" s="62"/>
      <c r="J23" s="62"/>
      <c r="K23" s="62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61">
        <v>11.0</v>
      </c>
      <c r="B24" s="41" t="s">
        <v>54</v>
      </c>
      <c r="C24" s="45">
        <v>0.0</v>
      </c>
      <c r="D24" s="45">
        <v>0.0</v>
      </c>
      <c r="E24" s="45">
        <v>0.0</v>
      </c>
      <c r="F24" s="45">
        <v>0.0</v>
      </c>
      <c r="G24" s="45">
        <v>0.0</v>
      </c>
      <c r="H24" s="47">
        <f>'RallyGully | Chd'!B26</f>
        <v>20398</v>
      </c>
      <c r="I24" s="62"/>
      <c r="J24" s="62"/>
      <c r="K24" s="62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61">
        <v>12.0</v>
      </c>
      <c r="B25" s="41" t="s">
        <v>55</v>
      </c>
      <c r="C25" s="45">
        <v>0.0</v>
      </c>
      <c r="D25" s="45">
        <v>0.0</v>
      </c>
      <c r="E25" s="45">
        <v>0.0</v>
      </c>
      <c r="F25" s="45">
        <v>0.0</v>
      </c>
      <c r="G25" s="45">
        <v>0.0</v>
      </c>
      <c r="H25" s="45">
        <v>0.0</v>
      </c>
      <c r="I25" s="62"/>
      <c r="J25" s="62"/>
      <c r="K25" s="62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63"/>
      <c r="B26" s="64" t="s">
        <v>56</v>
      </c>
      <c r="C26" s="65">
        <f>'RallyGully | Gandipath Jaipur'!B26</f>
        <v>46515</v>
      </c>
      <c r="D26" s="65">
        <f>'RallyGully | Gandipath Jaipur'!C26</f>
        <v>31460</v>
      </c>
      <c r="E26" s="65">
        <f>'RallyGully | Gandipath Jaipur'!D26</f>
        <v>36755</v>
      </c>
      <c r="F26" s="65">
        <f>'RallyGully | Gandipath Jaipur'!E26</f>
        <v>49021</v>
      </c>
      <c r="G26" s="65">
        <f>'RallyGully | Gandipath Jaipur'!F26</f>
        <v>40697</v>
      </c>
      <c r="H26" s="66"/>
      <c r="I26" s="67"/>
      <c r="J26" s="67"/>
      <c r="K26" s="67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</row>
    <row r="27">
      <c r="A27" s="63"/>
      <c r="B27" s="64" t="s">
        <v>57</v>
      </c>
      <c r="C27" s="65">
        <v>0.0</v>
      </c>
      <c r="D27" s="65">
        <v>0.0</v>
      </c>
      <c r="E27" s="67">
        <f>Ambala!B26</f>
        <v>36986</v>
      </c>
      <c r="F27" s="67">
        <f>Ambala!C26</f>
        <v>73258</v>
      </c>
      <c r="G27" s="67">
        <f>Ambala!D26</f>
        <v>23536</v>
      </c>
      <c r="H27" s="65"/>
      <c r="I27" s="68"/>
      <c r="J27" s="68"/>
      <c r="K27" s="68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</row>
    <row r="28">
      <c r="A28" s="63"/>
      <c r="B28" s="64" t="s">
        <v>58</v>
      </c>
      <c r="C28" s="65">
        <v>0.0</v>
      </c>
      <c r="D28" s="65">
        <v>0.0</v>
      </c>
      <c r="E28" s="67">
        <f>Zirakpur!B26</f>
        <v>5734</v>
      </c>
      <c r="F28" s="67">
        <f>Zirakpur!C26</f>
        <v>5142</v>
      </c>
      <c r="G28" s="67">
        <f>Zirakpur!D26</f>
        <v>2242</v>
      </c>
      <c r="H28" s="67"/>
      <c r="I28" s="68"/>
      <c r="J28" s="68"/>
      <c r="K28" s="68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</row>
    <row r="29">
      <c r="A29" s="69"/>
      <c r="B29" s="46" t="s">
        <v>45</v>
      </c>
      <c r="C29" s="70">
        <f t="shared" ref="C29:D29" si="2">sum(C4,C5,C8,C9,C10,C11,C12,C26,C13,C17)</f>
        <v>2000499</v>
      </c>
      <c r="D29" s="70">
        <f t="shared" si="2"/>
        <v>2706094</v>
      </c>
      <c r="E29" s="70">
        <f t="shared" ref="E29:G29" si="3">sum(E4,E5,E8,E9,E10,E11,E12,E26,E13,E17,E21,E27,E28)</f>
        <v>2501621</v>
      </c>
      <c r="F29" s="70">
        <f t="shared" si="3"/>
        <v>2100970</v>
      </c>
      <c r="G29" s="70">
        <f t="shared" si="3"/>
        <v>2004701</v>
      </c>
      <c r="H29" s="70">
        <f>H4+H5+H8+H9+H10+H11+H12+H13+H17+H21+H24</f>
        <v>1992183</v>
      </c>
      <c r="I29" s="70">
        <f t="shared" ref="I29:K29" si="4">SUM(I4:I17)</f>
        <v>0</v>
      </c>
      <c r="J29" s="70">
        <f t="shared" si="4"/>
        <v>0</v>
      </c>
      <c r="K29" s="70">
        <f t="shared" si="4"/>
        <v>0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71"/>
      <c r="B30" s="72" t="s">
        <v>49</v>
      </c>
      <c r="C30" s="62">
        <f>'RallyGully I Sector 10 Dwarka'!B28+'RallyGully | KLJ 83'!B28+'RallyGully | EOK'!B28+'RallyGully | DOK Dwarka'!B28+'RallyGully | DPSG'!B28+'RallyGully | Panchsheel'!B28+'RallyGully | LCR'!B28+'RallyGully | Gandipath Jaipur'!B28+'RallyGully | Powerplay'!B28+'RallyGully | Commons'!B28</f>
        <v>1695338.136</v>
      </c>
      <c r="D30" s="62">
        <f>'RallyGully I Sector 10 Dwarka'!C28+'RallyGully | KLJ 83'!E28+'RallyGully | EOK'!C28+'RallyGully | DOK Dwarka'!C28+'RallyGully | DPSG'!C28+'RallyGully | Panchsheel'!C28+'RallyGully | LCR'!C28+'RallyGully | Gandipath Jaipur'!C28+'RallyGully | Powerplay'!F28+'RallyGully | Commons'!F28</f>
        <v>2293300</v>
      </c>
      <c r="E30" s="62">
        <f>'RallyGully I Sector 10 Dwarka'!D28+'RallyGully | KLJ 83'!H28+'RallyGully | EOK'!D28+'RallyGully | DOK Dwarka'!D28+'RallyGully | DPSG'!D28+'RallyGully | Panchsheel'!D28+'RallyGully | LCR'!D28+'RallyGully | Gandipath Jaipur'!D28+'RallyGully | Powerplay'!J28+'RallyGully | Commons'!J28+'DOK | 83'!F28+Ambala!B28+Zirakpur!B28</f>
        <v>2120170.339</v>
      </c>
      <c r="F30" s="62">
        <f>'RallyGully I Sector 10 Dwarka'!E28+'RallyGully | KLJ 83'!K28+'RallyGully | EOK'!E28+'RallyGully | DOK Dwarka'!E28+'RallyGully | DPSG'!E28+'RallyGully | Panchsheel'!E28+'RallyGully | LCR'!E28+'RallyGully | Gandipath Jaipur'!E28+'RallyGully | Powerplay'!N28+'RallyGully | Commons'!N28+'DOK | 83'!G28+Ambala!C28+Zirakpur!C28</f>
        <v>1780483.051</v>
      </c>
      <c r="G30" s="62">
        <f>'RallyGully I Sector 10 Dwarka'!F28+'RallyGully | KLJ 83'!N28+'RallyGully | EOK'!F28+'RallyGully | DOK Dwarka'!F28+'RallyGully | DPSG'!F28+'RallyGully | Panchsheel'!F28+'RallyGully | LCR'!F28+'RallyGully | Gandipath Jaipur'!F28+'RallyGully | Powerplay'!R28+'RallyGully | Commons'!R28+'DOK | 83'!H28+Ambala!D28+Zirakpur!D28</f>
        <v>1698899.153</v>
      </c>
      <c r="H30" s="62">
        <f>'RallyGully I Sector 10 Dwarka'!G28+'RallyGully | KLJ 83'!Q28+'RallyGully | EOK'!G28+'RallyGully | DOK Dwarka'!G28+'RallyGully | DPSG'!G28+'RallyGully | Panchsheel'!G28+'RallyGully | LCR'!G28+'RallyGully | Powerplay'!V28+'RallyGully | Commons'!V28+'DOK | 83'!I28+'RallyGully | Chd'!B28</f>
        <v>1688290.678</v>
      </c>
      <c r="I30" s="62"/>
      <c r="J30" s="62"/>
      <c r="K30" s="62"/>
      <c r="M30" s="73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74"/>
      <c r="B31" s="75"/>
      <c r="C31" s="76"/>
      <c r="D31" s="76"/>
      <c r="E31" s="76"/>
      <c r="F31" s="76"/>
      <c r="G31" s="76"/>
      <c r="H31" s="76"/>
      <c r="I31" s="73"/>
      <c r="J31" s="73"/>
      <c r="K31" s="73"/>
      <c r="L31" s="10"/>
      <c r="M31" s="73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74"/>
      <c r="B32" s="75"/>
      <c r="C32" s="77"/>
      <c r="D32" s="77"/>
      <c r="E32" s="77"/>
      <c r="F32" s="77"/>
      <c r="G32" s="77"/>
      <c r="H32" s="73"/>
      <c r="I32" s="73"/>
      <c r="J32" s="73"/>
      <c r="K32" s="73"/>
      <c r="L32" s="10"/>
      <c r="M32" s="73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78"/>
      <c r="B33" s="79" t="s">
        <v>59</v>
      </c>
      <c r="C33" s="80" t="s">
        <v>7</v>
      </c>
      <c r="D33" s="80" t="s">
        <v>8</v>
      </c>
      <c r="E33" s="80" t="s">
        <v>9</v>
      </c>
      <c r="F33" s="80" t="s">
        <v>3</v>
      </c>
      <c r="G33" s="80" t="s">
        <v>10</v>
      </c>
      <c r="H33" s="80" t="s">
        <v>11</v>
      </c>
      <c r="I33" s="80" t="s">
        <v>12</v>
      </c>
      <c r="J33" s="80" t="s">
        <v>13</v>
      </c>
      <c r="K33" s="80" t="s">
        <v>14</v>
      </c>
      <c r="L33" s="81"/>
    </row>
    <row r="34">
      <c r="A34" s="53"/>
      <c r="B34" s="82" t="s">
        <v>16</v>
      </c>
      <c r="C34" s="83">
        <f t="shared" ref="C34:H34" si="5">C35+C41</f>
        <v>1404213</v>
      </c>
      <c r="D34" s="83">
        <f t="shared" si="5"/>
        <v>1954301</v>
      </c>
      <c r="E34" s="83">
        <f t="shared" si="5"/>
        <v>1646292</v>
      </c>
      <c r="F34" s="83">
        <f t="shared" si="5"/>
        <v>1445541</v>
      </c>
      <c r="G34" s="83">
        <f t="shared" si="5"/>
        <v>1064083</v>
      </c>
      <c r="H34" s="83">
        <f t="shared" si="5"/>
        <v>1160572</v>
      </c>
      <c r="I34" s="84"/>
      <c r="J34" s="84"/>
      <c r="K34" s="84"/>
    </row>
    <row r="35" outlineLevel="1" collapsed="1">
      <c r="A35" s="53"/>
      <c r="B35" s="82" t="s">
        <v>20</v>
      </c>
      <c r="C35" s="83">
        <f t="shared" ref="C35:H35" si="6">sum(C36:C40)</f>
        <v>801801</v>
      </c>
      <c r="D35" s="83">
        <f t="shared" si="6"/>
        <v>1321278</v>
      </c>
      <c r="E35" s="83">
        <f t="shared" si="6"/>
        <v>961428</v>
      </c>
      <c r="F35" s="83">
        <f t="shared" si="6"/>
        <v>777870</v>
      </c>
      <c r="G35" s="83">
        <f t="shared" si="6"/>
        <v>675155</v>
      </c>
      <c r="H35" s="83">
        <f t="shared" si="6"/>
        <v>756313</v>
      </c>
      <c r="I35" s="83"/>
      <c r="J35" s="83"/>
      <c r="K35" s="83"/>
    </row>
    <row r="36" hidden="1" outlineLevel="2">
      <c r="A36" s="53"/>
      <c r="B36" s="85" t="s">
        <v>21</v>
      </c>
      <c r="C36" s="84">
        <f>sum('RallyGully I Sector 10 Dwarka'!B5,'RallyGully | KLJ 83'!B5,'RallyGully | EOK'!B5,'RallyGully | DOK Dwarka'!B5,'RallyGully | DPSG'!B5,'RallyGully | LCR'!B5,'RallyGully | Gandipath Jaipur'!B5,'RallyGully | Panchsheel'!B5,'RallyGully | Powerplay'!B5,'RallyGully | Commons'!B5)</f>
        <v>258239</v>
      </c>
      <c r="D36" s="84">
        <f>sum('RallyGully I Sector 10 Dwarka'!C5,'RallyGully | KLJ 83'!E5,'RallyGully | EOK'!C5,'RallyGully | DOK Dwarka'!C5,'RallyGully | DPSG'!C5,'RallyGully | LCR'!C5,'RallyGully | Gandipath Jaipur'!C5,'RallyGully | Panchsheel'!C5,'RallyGully | Powerplay'!F5,'RallyGully | Commons'!F5)</f>
        <v>996125</v>
      </c>
      <c r="E36" s="84">
        <f>sum('RallyGully I Sector 10 Dwarka'!D5,'RallyGully | KLJ 83'!H5,'RallyGully | EOK'!D5,'RallyGully | DOK Dwarka'!D5,'RallyGully | DPSG'!D5,'RallyGully | LCR'!D5,'RallyGully | Gandipath Jaipur'!D5,'RallyGully | Panchsheel'!D5,'RallyGully | Powerplay'!J5,'RallyGully | Commons'!J5+'DOK | 83'!D5+Ambala!B5+Zirakpur!B5)</f>
        <v>814906</v>
      </c>
      <c r="F36" s="84">
        <f>sum('RallyGully I Sector 10 Dwarka'!E5,'RallyGully | KLJ 83'!K5,'RallyGully | EOK'!E5,'RallyGully | DOK Dwarka'!E5,'RallyGully | DPSG'!E5,'RallyGully | LCR'!E5,'RallyGully | Gandipath Jaipur'!E5,'RallyGully | Panchsheel'!E5,'RallyGully | Powerplay'!N5,'RallyGully | Commons'!N5+'DOK | 83'!E5+Ambala!C5+Zirakpur!C5)</f>
        <v>708643</v>
      </c>
      <c r="G36" s="84">
        <f>'RallyGully I Sector 10 Dwarka'!F5+'RallyGully | KLJ 83'!N5+'RallyGully | EOK'!F5+'RallyGully | DOK Dwarka'!F5+'RallyGully | DPSG'!F5+'RallyGully | Panchsheel'!F5+'RallyGully | LCR'!F5+'RallyGully | Gandipath Jaipur'!F5+'RallyGully | Powerplay'!R5+'RallyGully | Commons'!R5+'DOK | 83'!H5+Ambala!D5+Zirakpur!D5</f>
        <v>620378</v>
      </c>
      <c r="H36" s="84">
        <f>'RallyGully I Sector 10 Dwarka'!G5+'RallyGully | KLJ 83'!Q5+'RallyGully | EOK'!G5+'RallyGully | DOK Dwarka'!G5+'RallyGully | DPSG'!G5+'RallyGully | Panchsheel'!G5+'RallyGully | LCR'!G5+'RallyGully | Powerplay'!V5+'RallyGully | Commons'!V5+'DOK | 83'!I5+'RallyGully | Chd'!B5</f>
        <v>688435</v>
      </c>
      <c r="I36" s="84"/>
      <c r="J36" s="84"/>
      <c r="K36" s="84"/>
    </row>
    <row r="37" hidden="1" outlineLevel="2">
      <c r="A37" s="53"/>
      <c r="B37" s="85" t="s">
        <v>22</v>
      </c>
      <c r="C37" s="84">
        <f>sum('RallyGully I Sector 10 Dwarka'!B6,'RallyGully | KLJ 83'!B6,'RallyGully | EOK'!B6,'RallyGully | DOK Dwarka'!B6,'RallyGully | DPSG'!B6,'RallyGully | LCR'!B6,'RallyGully | Gandipath Jaipur'!B6,'RallyGully | Panchsheel'!B6,'RallyGully | Powerplay'!B6,'RallyGully | Commons'!B6)</f>
        <v>351892</v>
      </c>
      <c r="D37" s="84">
        <f>sum('RallyGully I Sector 10 Dwarka'!C6,'RallyGully | KLJ 83'!E6,'RallyGully | EOK'!C6,'RallyGully | DOK Dwarka'!C6,'RallyGully | DPSG'!C6,'RallyGully | LCR'!C6,'RallyGully | Gandipath Jaipur'!C6,'RallyGully | Panchsheel'!C6,'RallyGully | Powerplay'!F6,'RallyGully | Commons'!F6)</f>
        <v>166290</v>
      </c>
      <c r="E37" s="84">
        <f>sum('RallyGully I Sector 10 Dwarka'!D6,'RallyGully | KLJ 83'!H6,'RallyGully | EOK'!D6,'RallyGully | DOK Dwarka'!D6,'RallyGully | DPSG'!D6,'RallyGully | LCR'!D6,'RallyGully | Gandipath Jaipur'!D6,'RallyGully | Panchsheel'!D6,'RallyGully | Powerplay'!J6,'RallyGully | Commons'!J6+'DOK | 83'!D6+Ambala!B6+Zirakpur!B6)</f>
        <v>19272</v>
      </c>
      <c r="F37" s="84">
        <f>sum('RallyGully I Sector 10 Dwarka'!E6,'RallyGully | KLJ 83'!K6,'RallyGully | EOK'!E6,'RallyGully | DOK Dwarka'!E6,'RallyGully | DPSG'!E6,'RallyGully | LCR'!E6,'RallyGully | Gandipath Jaipur'!E6,'RallyGully | Panchsheel'!E6,'RallyGully | Powerplay'!N6,'RallyGully | Commons'!N6+'DOK | 83'!E6+Ambala!C6+Zirakpur!C6)</f>
        <v>26736</v>
      </c>
      <c r="G37" s="84">
        <f>'RallyGully I Sector 10 Dwarka'!F6+'RallyGully | KLJ 83'!N6+'RallyGully | EOK'!F6+'RallyGully | DOK Dwarka'!F6+'RallyGully | DPSG'!F6+'RallyGully | Panchsheel'!F6+'RallyGully | LCR'!F6+'RallyGully | Gandipath Jaipur'!F6+'RallyGully | Powerplay'!R6+'RallyGully | Commons'!R6+'DOK | 83'!H6+Ambala!D6+Zirakpur!D6</f>
        <v>15641</v>
      </c>
      <c r="H37" s="84">
        <f>'RallyGully I Sector 10 Dwarka'!G6+'RallyGully | KLJ 83'!Q6+'RallyGully | EOK'!G6+'RallyGully | DOK Dwarka'!G6+'RallyGully | DPSG'!G6+'RallyGully | Panchsheel'!G6+'RallyGully | LCR'!G6+'RallyGully | Powerplay'!V6+'RallyGully | Commons'!V6+'DOK | 83'!I6+'RallyGully | Chd'!B6</f>
        <v>10070</v>
      </c>
      <c r="I37" s="84"/>
      <c r="J37" s="84"/>
      <c r="K37" s="84"/>
    </row>
    <row r="38" hidden="1" outlineLevel="2">
      <c r="A38" s="53"/>
      <c r="B38" s="85" t="s">
        <v>23</v>
      </c>
      <c r="C38" s="84">
        <f>sum('RallyGully I Sector 10 Dwarka'!B7,'RallyGully | KLJ 83'!B7,'RallyGully | EOK'!B7,'RallyGully | DOK Dwarka'!B7,'RallyGully | DPSG'!B7,'RallyGully | LCR'!B7,'RallyGully | Gandipath Jaipur'!B7,'RallyGully | Panchsheel'!B7,'RallyGully | Powerplay'!B7,'RallyGully | Commons'!B7)</f>
        <v>107876</v>
      </c>
      <c r="D38" s="84">
        <f>sum('RallyGully I Sector 10 Dwarka'!C7,'RallyGully | KLJ 83'!E7,'RallyGully | EOK'!C7,'RallyGully | DOK Dwarka'!C7,'RallyGully | DPSG'!C7,'RallyGully | LCR'!C7,'RallyGully | Gandipath Jaipur'!C7,'RallyGully | Panchsheel'!C7,'RallyGully | Powerplay'!F7,'RallyGully | Commons'!F7)</f>
        <v>103594</v>
      </c>
      <c r="E38" s="84">
        <f>sum('RallyGully I Sector 10 Dwarka'!D7,'RallyGully | KLJ 83'!H7,'RallyGully | EOK'!D7,'RallyGully | DOK Dwarka'!D7,'RallyGully | DPSG'!D7,'RallyGully | LCR'!D7,'RallyGully | Gandipath Jaipur'!D7,'RallyGully | Panchsheel'!D7,'RallyGully | Powerplay'!J7,'RallyGully | Commons'!J7+'DOK | 83'!D7+Ambala!B7+Zirakpur!B7)</f>
        <v>84875</v>
      </c>
      <c r="F38" s="84">
        <f>sum('RallyGully I Sector 10 Dwarka'!E7,'RallyGully | KLJ 83'!K7,'RallyGully | EOK'!E7,'RallyGully | DOK Dwarka'!E7,'RallyGully | DPSG'!E7,'RallyGully | LCR'!E7,'RallyGully | Gandipath Jaipur'!E7,'RallyGully | Panchsheel'!E7,'RallyGully | Powerplay'!N7,'RallyGully | Commons'!N7+'DOK | 83'!E7+Ambala!C7+Zirakpur!C7)</f>
        <v>27753</v>
      </c>
      <c r="G38" s="84">
        <f>'RallyGully I Sector 10 Dwarka'!F7+'RallyGully | KLJ 83'!N7+'RallyGully | EOK'!F7+'RallyGully | DOK Dwarka'!F7+'RallyGully | DPSG'!F7+'RallyGully | Panchsheel'!F7+'RallyGully | LCR'!F7+'RallyGully | Gandipath Jaipur'!F7+'RallyGully | Powerplay'!R7+'RallyGully | Commons'!R7+'DOK | 83'!H7+Ambala!D7+Zirakpur!D7</f>
        <v>26005</v>
      </c>
      <c r="H38" s="84">
        <f>'RallyGully I Sector 10 Dwarka'!G7+'RallyGully | KLJ 83'!Q7+'RallyGully | EOK'!G7+'RallyGully | DOK Dwarka'!G7+'RallyGully | DPSG'!G7+'RallyGully | Panchsheel'!G7+'RallyGully | LCR'!G7+'RallyGully | Powerplay'!V7+'RallyGully | Commons'!V7+'DOK | 83'!I7+'RallyGully | Chd'!B7</f>
        <v>44730</v>
      </c>
      <c r="I38" s="84"/>
      <c r="J38" s="84"/>
      <c r="K38" s="84"/>
    </row>
    <row r="39" hidden="1" outlineLevel="2">
      <c r="A39" s="53"/>
      <c r="B39" s="85" t="s">
        <v>24</v>
      </c>
      <c r="C39" s="84">
        <f>SUM('RallyGully I Sector 10 Dwarka'!B8,'RallyGully | KLJ 83'!B8,'RallyGully | EOK'!B8,'RallyGully | DOK Dwarka'!B8,'RallyGully | DPSG'!B8,'RallyGully | LCR'!B8,'RallyGully | Gandipath Jaipur'!B8,'RallyGully | Panchsheel'!B8,'RallyGully | Powerplay'!B8,'RallyGully | Commons'!B8)</f>
        <v>46888</v>
      </c>
      <c r="D39" s="84">
        <f>SUM('RallyGully I Sector 10 Dwarka'!C8,'RallyGully | KLJ 83'!E8,'RallyGully | EOK'!C8,'RallyGully | DOK Dwarka'!C8,'RallyGully | DPSG'!C8,'RallyGully | LCR'!C8,'RallyGully | Gandipath Jaipur'!C8,'RallyGully | Panchsheel'!C8,'RallyGully | Powerplay'!F8,'RallyGully | Commons'!F8)</f>
        <v>41275</v>
      </c>
      <c r="E39" s="84">
        <f>sum('RallyGully I Sector 10 Dwarka'!D8,'RallyGully | KLJ 83'!H8,'RallyGully | EOK'!D8,'RallyGully | DOK Dwarka'!D8,'RallyGully | DPSG'!D8,'RallyGully | LCR'!D8,'RallyGully | Gandipath Jaipur'!D8,'RallyGully | Panchsheel'!D8,'RallyGully | Powerplay'!J8,'RallyGully | Commons'!J8+'DOK | 83'!D8+Ambala!B8+Zirakpur!B8)</f>
        <v>35177</v>
      </c>
      <c r="F39" s="84">
        <f>sum('RallyGully I Sector 10 Dwarka'!E8,'RallyGully | KLJ 83'!K8,'RallyGully | EOK'!E8,'RallyGully | DOK Dwarka'!E8,'RallyGully | DPSG'!E8,'RallyGully | LCR'!E8,'RallyGully | Gandipath Jaipur'!E8,'RallyGully | Panchsheel'!E8,'RallyGully | Powerplay'!N8,'RallyGully | Commons'!N8+'DOK | 83'!E8+Ambala!C8+Zirakpur!C8)</f>
        <v>14154</v>
      </c>
      <c r="G39" s="84">
        <f>'RallyGully I Sector 10 Dwarka'!F8+'RallyGully | KLJ 83'!N8+'RallyGully | EOK'!F8+'RallyGully | DOK Dwarka'!F8+'RallyGully | DPSG'!F8+'RallyGully | Panchsheel'!F8+'RallyGully | LCR'!F8+'RallyGully | Gandipath Jaipur'!F8+'RallyGully | Powerplay'!R8+'RallyGully | Commons'!R8+'DOK | 83'!H8+Ambala!D8+Zirakpur!D8</f>
        <v>11979</v>
      </c>
      <c r="H39" s="84">
        <f>'RallyGully I Sector 10 Dwarka'!G8+'RallyGully | KLJ 83'!Q8+'RallyGully | EOK'!G8+'RallyGully | DOK Dwarka'!G8+'RallyGully | DPSG'!G8+'RallyGully | Panchsheel'!G8+'RallyGully | LCR'!G8+'RallyGully | Powerplay'!V8+'RallyGully | Commons'!V8+'DOK | 83'!I8+'RallyGully | Chd'!B8</f>
        <v>13078</v>
      </c>
      <c r="I39" s="84"/>
      <c r="J39" s="84"/>
      <c r="K39" s="84"/>
    </row>
    <row r="40" hidden="1" outlineLevel="2">
      <c r="A40" s="53"/>
      <c r="B40" s="85" t="s">
        <v>25</v>
      </c>
      <c r="C40" s="86">
        <f>'RallyGully | Gandipath Jaipur'!B9</f>
        <v>36906</v>
      </c>
      <c r="D40" s="86">
        <f>'RallyGully | Gandipath Jaipur'!C9</f>
        <v>13994</v>
      </c>
      <c r="E40" s="84">
        <f>sum('RallyGully I Sector 10 Dwarka'!D9,'RallyGully | KLJ 83'!H9,'RallyGully | EOK'!D9,'RallyGully | DOK Dwarka'!D9,'RallyGully | DPSG'!D9,'RallyGully | LCR'!D9,'RallyGully | Gandipath Jaipur'!D9,'RallyGully | Panchsheel'!D9,'RallyGully | Powerplay'!J9,'RallyGully | Commons'!J9+'DOK | 83'!D9+Ambala!B9+Zirakpur!B9)</f>
        <v>7198</v>
      </c>
      <c r="F40" s="84">
        <f>sum('RallyGully I Sector 10 Dwarka'!E9,'RallyGully | KLJ 83'!K9,'RallyGully | EOK'!E9,'RallyGully | DOK Dwarka'!E9,'RallyGully | DPSG'!E9,'RallyGully | LCR'!E9,'RallyGully | Gandipath Jaipur'!E9,'RallyGully | Panchsheel'!E9,'RallyGully | Powerplay'!N9,'RallyGully | Commons'!N9+'DOK | 83'!E9+Ambala!C9+Zirakpur!C9)</f>
        <v>584</v>
      </c>
      <c r="G40" s="84">
        <f>'RallyGully I Sector 10 Dwarka'!F9+'RallyGully | KLJ 83'!N9+'RallyGully | EOK'!F9+'RallyGully | DOK Dwarka'!F9+'RallyGully | DPSG'!F9+'RallyGully | Panchsheel'!F9+'RallyGully | LCR'!F9+'RallyGully | Gandipath Jaipur'!F9+'RallyGully | Powerplay'!R9+'RallyGully | Commons'!R9+'DOK | 83'!H9+Ambala!D9+Zirakpur!D9</f>
        <v>1152</v>
      </c>
      <c r="H40" s="84">
        <f>'RallyGully I Sector 10 Dwarka'!G9+'RallyGully | KLJ 83'!O9+'RallyGully | EOK'!G9+'RallyGully | DOK Dwarka'!G9+'RallyGully | DPSG'!G9+'RallyGully | Panchsheel'!G9+'RallyGully | LCR'!G9+'RallyGully | Gandipath Jaipur'!G9+'RallyGully | Powerplay'!S9+'RallyGully | Commons'!V9+'DOK | 83'!I9+'RallyGully | Chd'!C9</f>
        <v>0</v>
      </c>
      <c r="I40" s="84"/>
      <c r="J40" s="84"/>
      <c r="K40" s="84"/>
      <c r="Y40" s="54">
        <f>sum('RallyGully I Sector 10 Dwarka'!X9,'RallyGully | KLJ 83'!AF9,'RallyGully | EOK'!X9,'RallyGully | DOK Dwarka'!X9,'RallyGully | DPSG'!X9,'RallyGully | LCR'!X9,'RallyGully | Gandipath Jaipur'!T9,'RallyGully | Panchsheel'!X9,'RallyGully | Powerplay'!AG9,'RallyGully | Commons'!AH9+'DOK | 83'!AB9+Ambala!L9+Zirakpur!R9)</f>
        <v>0</v>
      </c>
    </row>
    <row r="41" outlineLevel="1">
      <c r="A41" s="53"/>
      <c r="B41" s="82" t="s">
        <v>26</v>
      </c>
      <c r="C41" s="52">
        <f t="shared" ref="C41:H41" si="7">sum(C42:C43)</f>
        <v>602412</v>
      </c>
      <c r="D41" s="52">
        <f t="shared" si="7"/>
        <v>633023</v>
      </c>
      <c r="E41" s="52">
        <f t="shared" si="7"/>
        <v>684864</v>
      </c>
      <c r="F41" s="52">
        <f t="shared" si="7"/>
        <v>667671</v>
      </c>
      <c r="G41" s="52">
        <f t="shared" si="7"/>
        <v>388928</v>
      </c>
      <c r="H41" s="52">
        <f t="shared" si="7"/>
        <v>404259</v>
      </c>
      <c r="I41" s="84"/>
      <c r="J41" s="84"/>
      <c r="K41" s="84"/>
    </row>
    <row r="42" outlineLevel="1">
      <c r="A42" s="53"/>
      <c r="B42" s="85" t="s">
        <v>27</v>
      </c>
      <c r="C42" s="84">
        <f>sum('RallyGully I Sector 10 Dwarka'!B11,'RallyGully | KLJ 83'!B11,'RallyGully | EOK'!B11,'RallyGully | DOK Dwarka'!B11,'RallyGully | DPSG'!B11,'RallyGully | LCR'!B11,'RallyGully | Gandipath Jaipur'!B11,'RallyGully | Panchsheel'!B11,'RallyGully | Powerplay'!B11,'RallyGully | Commons'!B11)</f>
        <v>537112</v>
      </c>
      <c r="D42" s="84">
        <f>sum('RallyGully I Sector 10 Dwarka'!C11,'RallyGully | KLJ 83'!E11,'RallyGully | EOK'!C11,'RallyGully | DOK Dwarka'!C11,'RallyGully | DPSG'!C11,'RallyGully | LCR'!C11,'RallyGully | Gandipath Jaipur'!C11,'RallyGully | Panchsheel'!C11,'RallyGully | Powerplay'!F11,'RallyGully | Commons'!F11)</f>
        <v>485023</v>
      </c>
      <c r="E42" s="84">
        <f>sum('RallyGully I Sector 10 Dwarka'!D11,'RallyGully | KLJ 83'!H11,'RallyGully | EOK'!D11,'RallyGully | DOK Dwarka'!D11,'RallyGully | DPSG'!D11,'RallyGully | LCR'!D11,'RallyGully | Gandipath Jaipur'!D11,'RallyGully | Panchsheel'!D11,'RallyGully | Powerplay'!J11,'RallyGully | Commons'!J11+'DOK | 83'!D11+Ambala!B11+Zirakpur!B11)</f>
        <v>612084</v>
      </c>
      <c r="F42" s="84">
        <f>sum('RallyGully I Sector 10 Dwarka'!E11,'RallyGully | KLJ 83'!K11,'RallyGully | EOK'!E11,'RallyGully | DOK Dwarka'!E11,'RallyGully | DPSG'!E11,'RallyGully | LCR'!E11,'RallyGully | Gandipath Jaipur'!E11,'RallyGully | Panchsheel'!E11,'RallyGully | Powerplay'!N11,'RallyGully | Commons'!N11+'DOK | 83'!E11+Ambala!C11+Zirakpur!C11)</f>
        <v>538071</v>
      </c>
      <c r="G42" s="84">
        <f>'RallyGully I Sector 10 Dwarka'!F11+'RallyGully | KLJ 83'!N11+'RallyGully | EOK'!F11+'RallyGully | DOK Dwarka'!F11+'RallyGully | DPSG'!F11+'RallyGully | Panchsheel'!F11+'RallyGully | LCR'!F11+'RallyGully | Gandipath Jaipur'!F11+'RallyGully | Powerplay'!R11+'RallyGully | Commons'!R11+'DOK | 83'!H11+Ambala!D11+Zirakpur!D11</f>
        <v>321328</v>
      </c>
      <c r="H42" s="84">
        <f>'RallyGully I Sector 10 Dwarka'!G11+'RallyGully | KLJ 83'!Q11+'RallyGully | EOK'!G11+'RallyGully | DOK Dwarka'!G11+'RallyGully | DPSG'!G11+'RallyGully | Panchsheel'!G11+'RallyGully | LCR'!G11+'RallyGully | Powerplay'!V11+'RallyGully | Commons'!V11+'DOK | 83'!I11+'RallyGully | Chd'!B11</f>
        <v>275359</v>
      </c>
      <c r="I42" s="84"/>
      <c r="J42" s="84"/>
      <c r="K42" s="84"/>
    </row>
    <row r="43" outlineLevel="1">
      <c r="A43" s="53"/>
      <c r="B43" s="85" t="s">
        <v>28</v>
      </c>
      <c r="C43" s="84">
        <f>sum('RallyGully I Sector 10 Dwarka'!B12,'RallyGully | KLJ 83'!B12,'RallyGully | EOK'!B12,'RallyGully | DOK Dwarka'!B12,'RallyGully | DPSG'!B12,'RallyGully | LCR'!B12,'RallyGully | Gandipath Jaipur'!B12,'RallyGully | Panchsheel'!B12,'RallyGully | Powerplay'!B12,'RallyGully | Commons'!B12)</f>
        <v>65300</v>
      </c>
      <c r="D43" s="84">
        <f>sum('RallyGully I Sector 10 Dwarka'!C12,'RallyGully | KLJ 83'!E12,'RallyGully | EOK'!C12,'RallyGully | DOK Dwarka'!C12,'RallyGully | DPSG'!C12,'RallyGully | LCR'!C12,'RallyGully | Gandipath Jaipur'!C12,'RallyGully | Panchsheel'!C12,'RallyGully | Powerplay'!F12,'RallyGully | Commons'!F12)</f>
        <v>148000</v>
      </c>
      <c r="E43" s="84">
        <f>sum('RallyGully I Sector 10 Dwarka'!D12,'RallyGully | KLJ 83'!H12,'RallyGully | EOK'!D12,'RallyGully | DOK Dwarka'!D12,'RallyGully | DPSG'!D12,'RallyGully | LCR'!D12,'RallyGully | Gandipath Jaipur'!D12,'RallyGully | Panchsheel'!D12,'RallyGully | Powerplay'!J12,'RallyGully | Commons'!J12+'DOK | 83'!D12+Ambala!B12+Zirakpur!B12)</f>
        <v>72780</v>
      </c>
      <c r="F43" s="84">
        <f>sum('RallyGully I Sector 10 Dwarka'!E12,'RallyGully | KLJ 83'!K12,'RallyGully | EOK'!E12,'RallyGully | DOK Dwarka'!E12,'RallyGully | DPSG'!E12,'RallyGully | LCR'!E12,'RallyGully | Gandipath Jaipur'!E12,'RallyGully | Panchsheel'!E12,'RallyGully | Powerplay'!N12,'RallyGully | Commons'!N12+'DOK | 83'!E12+Ambala!C12+Zirakpur!C12)</f>
        <v>129600</v>
      </c>
      <c r="G43" s="84">
        <f>'RallyGully I Sector 10 Dwarka'!F12+'RallyGully | KLJ 83'!N12+'RallyGully | EOK'!F12+'RallyGully | DOK Dwarka'!F12+'RallyGully | DPSG'!F12+'RallyGully | Panchsheel'!F12+'RallyGully | LCR'!F12+'RallyGully | Gandipath Jaipur'!F12+'RallyGully | Powerplay'!R12+'RallyGully | Commons'!R12+'DOK | 83'!H12+Ambala!D12+Zirakpur!D12</f>
        <v>67600</v>
      </c>
      <c r="H43" s="84">
        <f>'RallyGully I Sector 10 Dwarka'!G12+'RallyGully | KLJ 83'!Q12+'RallyGully | EOK'!G12+'RallyGully | DOK Dwarka'!G12+'RallyGully | DPSG'!G12+'RallyGully | Panchsheel'!G12+'RallyGully | LCR'!G12+'RallyGully | Powerplay'!V12+'RallyGully | Commons'!V12+'DOK | 83'!I12+'RallyGully | Chd'!B12</f>
        <v>128900</v>
      </c>
      <c r="I43" s="84"/>
      <c r="J43" s="84"/>
      <c r="K43" s="84"/>
    </row>
    <row r="44" collapsed="1">
      <c r="A44" s="53"/>
      <c r="B44" s="82" t="s">
        <v>29</v>
      </c>
      <c r="C44" s="52">
        <f t="shared" ref="C44:H44" si="8">sum(C45:C47)</f>
        <v>202186</v>
      </c>
      <c r="D44" s="52">
        <f t="shared" si="8"/>
        <v>207210</v>
      </c>
      <c r="E44" s="52">
        <f t="shared" si="8"/>
        <v>202254</v>
      </c>
      <c r="F44" s="52">
        <f t="shared" si="8"/>
        <v>161922</v>
      </c>
      <c r="G44" s="52">
        <f t="shared" si="8"/>
        <v>299951</v>
      </c>
      <c r="H44" s="52">
        <f t="shared" si="8"/>
        <v>235548</v>
      </c>
      <c r="I44" s="84"/>
      <c r="J44" s="84"/>
      <c r="K44" s="84"/>
    </row>
    <row r="45" hidden="1" outlineLevel="1">
      <c r="A45" s="53"/>
      <c r="B45" s="85" t="s">
        <v>30</v>
      </c>
      <c r="C45" s="84">
        <f>sum('RallyGully I Sector 10 Dwarka'!B14,'RallyGully | KLJ 83'!B14,'RallyGully | EOK'!B14,'RallyGully | DOK Dwarka'!B14,'RallyGully | DPSG'!B14,'RallyGully | LCR'!B14,'RallyGully | Gandipath Jaipur'!B14,'RallyGully | Panchsheel'!B14,'RallyGully | Powerplay'!B14,'RallyGully | Commons'!B14)</f>
        <v>98794</v>
      </c>
      <c r="D45" s="84">
        <f>sum('RallyGully I Sector 10 Dwarka'!C14,'RallyGully | KLJ 83'!E14,'RallyGully | EOK'!C14,'RallyGully | DOK Dwarka'!C14,'RallyGully | DPSG'!C14,'RallyGully | LCR'!C14,'RallyGully | Gandipath Jaipur'!C14,'RallyGully | Panchsheel'!C14,'RallyGully | Powerplay'!F14,'RallyGully | Commons'!F14)</f>
        <v>119100</v>
      </c>
      <c r="E45" s="84">
        <f>sum('RallyGully I Sector 10 Dwarka'!D14,'RallyGully | KLJ 83'!H14,'RallyGully | EOK'!D14,'RallyGully | DOK Dwarka'!D14,'RallyGully | DPSG'!D14,'RallyGully | LCR'!D14,'RallyGully | Gandipath Jaipur'!D14,'RallyGully | Panchsheel'!D14,'RallyGully | Powerplay'!J14,'RallyGully | Commons'!J14+'DOK | 83'!D14+Ambala!B14+Zirakpur!B14)</f>
        <v>86440</v>
      </c>
      <c r="F45" s="84">
        <f>sum('RallyGully I Sector 10 Dwarka'!E14,'RallyGully | KLJ 83'!K14,'RallyGully | EOK'!E14,'RallyGully | DOK Dwarka'!E14,'RallyGully | DPSG'!E14,'RallyGully | LCR'!E14,'RallyGully | Gandipath Jaipur'!E14,'RallyGully | Panchsheel'!E14,'RallyGully | Powerplay'!N14,'RallyGully | Commons'!N14+'DOK | 83'!E14+Ambala!C14+Zirakpur!C14)</f>
        <v>113989</v>
      </c>
      <c r="G45" s="84">
        <f>'RallyGully I Sector 10 Dwarka'!F14+'RallyGully | KLJ 83'!N14+'RallyGully | EOK'!F14+'RallyGully | DOK Dwarka'!F14+'RallyGully | DPSG'!F14+'RallyGully | Panchsheel'!F14+'RallyGully | LCR'!F14+'RallyGully | Gandipath Jaipur'!F14+'RallyGully | Powerplay'!R14+'RallyGully | Commons'!R14+'DOK | 83'!H14+Ambala!D14+Zirakpur!D14</f>
        <v>110675</v>
      </c>
      <c r="H45" s="84">
        <f>'RallyGully I Sector 10 Dwarka'!G14+'RallyGully | KLJ 83'!Q14+'RallyGully | EOK'!G14+'RallyGully | DOK Dwarka'!G14+'RallyGully | DPSG'!G14+'RallyGully | Panchsheel'!G14+'RallyGully | LCR'!G14+'RallyGully | Powerplay'!V14+'RallyGully | Commons'!V14+'DOK | 83'!I14+'RallyGully | Chd'!B14</f>
        <v>129421</v>
      </c>
      <c r="I45" s="84"/>
      <c r="J45" s="84"/>
      <c r="K45" s="84"/>
    </row>
    <row r="46" hidden="1" outlineLevel="1">
      <c r="A46" s="53"/>
      <c r="B46" s="85" t="s">
        <v>31</v>
      </c>
      <c r="C46" s="84">
        <f>sum('RallyGully I Sector 10 Dwarka'!B15,'RallyGully | KLJ 83'!B15,'RallyGully | EOK'!B15,'RallyGully | DOK Dwarka'!B15,'RallyGully | DPSG'!B15,'RallyGully | LCR'!B15,'RallyGully | Gandipath Jaipur'!B15,'RallyGully | Panchsheel'!B15,'RallyGully | Powerplay'!B15,'RallyGully | Commons'!B15)</f>
        <v>103392</v>
      </c>
      <c r="D46" s="84">
        <f>sum('RallyGully I Sector 10 Dwarka'!C15,'RallyGully | KLJ 83'!E15,'RallyGully | EOK'!C15,'RallyGully | DOK Dwarka'!C15,'RallyGully | DPSG'!C15,'RallyGully | LCR'!C15,'RallyGully | Gandipath Jaipur'!C15,'RallyGully | Panchsheel'!C15,'RallyGully | Powerplay'!F15,'RallyGully | Commons'!F15)</f>
        <v>88110</v>
      </c>
      <c r="E46" s="84">
        <f>sum('RallyGully I Sector 10 Dwarka'!D15,'RallyGully | KLJ 83'!H15,'RallyGully | EOK'!D15,'RallyGully | DOK Dwarka'!D15,'RallyGully | DPSG'!D15,'RallyGully | LCR'!D15,'RallyGully | Gandipath Jaipur'!D15,'RallyGully | Panchsheel'!D15,'RallyGully | Powerplay'!J15,'RallyGully | Commons'!J15+'DOK | 83'!D15+Ambala!B15+Zirakpur!B15)</f>
        <v>115814</v>
      </c>
      <c r="F46" s="84">
        <f>sum('RallyGully I Sector 10 Dwarka'!E15,'RallyGully | KLJ 83'!K15,'RallyGully | EOK'!E15,'RallyGully | DOK Dwarka'!E15,'RallyGully | DPSG'!E15,'RallyGully | LCR'!E15,'RallyGully | Gandipath Jaipur'!E15,'RallyGully | Panchsheel'!E15,'RallyGully | Powerplay'!N15,'RallyGully | Commons'!N15+'DOK | 83'!E15+Ambala!C15+Zirakpur!C15)</f>
        <v>47933</v>
      </c>
      <c r="G46" s="84">
        <f>'RallyGully I Sector 10 Dwarka'!F15+'RallyGully | KLJ 83'!N15+'RallyGully | EOK'!F15+'RallyGully | DOK Dwarka'!F15+'RallyGully | DPSG'!F15+'RallyGully | Panchsheel'!F15+'RallyGully | LCR'!F15+'RallyGully | Gandipath Jaipur'!F15+'RallyGully | Powerplay'!R15+'RallyGully | Commons'!R15+'DOK | 83'!H15+Ambala!D15+Zirakpur!D15</f>
        <v>92923</v>
      </c>
      <c r="H46" s="84">
        <f>'RallyGully I Sector 10 Dwarka'!G15+'RallyGully | KLJ 83'!Q15+'RallyGully | EOK'!G15+'RallyGully | DOK Dwarka'!G15+'RallyGully | DPSG'!G15+'RallyGully | Panchsheel'!G15+'RallyGully | LCR'!G15+'RallyGully | Powerplay'!V15+'RallyGully | Commons'!V15+'DOK | 83'!I15+'RallyGully | Chd'!B15</f>
        <v>24196</v>
      </c>
      <c r="I46" s="84"/>
      <c r="J46" s="84"/>
      <c r="K46" s="84"/>
    </row>
    <row r="47" hidden="1" outlineLevel="1">
      <c r="A47" s="53"/>
      <c r="B47" s="87" t="s">
        <v>60</v>
      </c>
      <c r="C47" s="86">
        <v>0.0</v>
      </c>
      <c r="D47" s="86">
        <v>0.0</v>
      </c>
      <c r="E47" s="86">
        <v>0.0</v>
      </c>
      <c r="F47" s="86">
        <v>0.0</v>
      </c>
      <c r="G47" s="84">
        <f>'RallyGully I Sector 10 Dwarka'!F16+'RallyGully | KLJ 83'!N16+'RallyGully | EOK'!F16+'RallyGully | DOK Dwarka'!F16+'RallyGully | DPSG'!F16+'RallyGully | Panchsheel'!F16+'RallyGully | LCR'!F16+'RallyGully | Gandipath Jaipur'!F16+'RallyGully | Powerplay'!R16+'RallyGully | Commons'!R16+'DOK | 83'!H16+Ambala!D16+Zirakpur!D16</f>
        <v>96353</v>
      </c>
      <c r="H47" s="84">
        <f>'RallyGully I Sector 10 Dwarka'!G16+'RallyGully | KLJ 83'!Q16+'RallyGully | EOK'!G16+'RallyGully | DOK Dwarka'!G16+'RallyGully | DPSG'!G16+'RallyGully | Panchsheel'!G16+'RallyGully | LCR'!G16+'RallyGully | Powerplay'!V16+'RallyGully | Commons'!V16+'DOK | 83'!I16+'RallyGully | Chd'!B16</f>
        <v>81931</v>
      </c>
      <c r="I47" s="84"/>
      <c r="J47" s="84"/>
      <c r="K47" s="84"/>
    </row>
    <row r="48">
      <c r="A48" s="53"/>
      <c r="B48" s="82" t="s">
        <v>34</v>
      </c>
      <c r="C48" s="83">
        <f>sum('RallyGully I Sector 10 Dwarka'!B17,'RallyGully | KLJ 83'!B17,'RallyGully | EOK'!B17,'RallyGully | DOK Dwarka'!B17,'RallyGully | DPSG'!B17,'RallyGully | LCR'!B17,'RallyGully | Gandipath Jaipur'!B17,'RallyGully | Panchsheel'!B17,'RallyGully | Powerplay'!B17,'RallyGully | Commons'!B17)</f>
        <v>0</v>
      </c>
      <c r="D48" s="83">
        <f>sum('RallyGully I Sector 10 Dwarka'!C17,'RallyGully | KLJ 83'!E17,'RallyGully | EOK'!C17,'RallyGully | DOK Dwarka'!C17,'RallyGully | DPSG'!C17,'RallyGully | LCR'!C17,'RallyGully | Gandipath Jaipur'!C17,'RallyGully | Panchsheel'!C17,'RallyGully | Powerplay'!F17,'RallyGully | Commons'!F17)</f>
        <v>98200</v>
      </c>
      <c r="E48" s="83">
        <f>sum('RallyGully I Sector 10 Dwarka'!D17,'RallyGully | KLJ 83'!H17,'RallyGully | EOK'!D17,'RallyGully | DOK Dwarka'!D17,'RallyGully | DPSG'!D17,'RallyGully | LCR'!D17,'RallyGully | Gandipath Jaipur'!D17,'RallyGully | Panchsheel'!D17,'RallyGully | Powerplay'!J17,'RallyGully | Commons'!J17+'DOK | 83'!D17+Ambala!B17+Zirakpur!B17)</f>
        <v>90200</v>
      </c>
      <c r="F48" s="83">
        <f>sum('RallyGully I Sector 10 Dwarka'!E17,'RallyGully | KLJ 83'!K17,'RallyGully | EOK'!E17,'RallyGully | DOK Dwarka'!E17,'RallyGully | DPSG'!E17,'RallyGully | LCR'!E17,'RallyGully | Gandipath Jaipur'!E17,'RallyGully | Panchsheel'!E17,'RallyGully | Powerplay'!N17,'RallyGully | Commons'!N17+'DOK | 83'!E17+Ambala!C17+Zirakpur!C17)</f>
        <v>106200</v>
      </c>
      <c r="G48" s="83">
        <f>'RallyGully I Sector 10 Dwarka'!F17+'RallyGully | KLJ 83'!N17+'RallyGully | EOK'!F17+'RallyGully | DOK Dwarka'!F17+'RallyGully | DPSG'!F17+'RallyGully | Panchsheel'!F17+'RallyGully | LCR'!F17+'RallyGully | Gandipath Jaipur'!F17+'RallyGully | Powerplay'!R17+'RallyGully | Commons'!R17+'DOK | 83'!H17+Ambala!D17+Zirakpur!D17</f>
        <v>188600</v>
      </c>
      <c r="H48" s="83">
        <f>'RallyGully I Sector 10 Dwarka'!G17+'RallyGully | KLJ 83'!Q17+'RallyGully | EOK'!G17+'RallyGully | DOK Dwarka'!G17+'RallyGully | DPSG'!G17+'RallyGully | Panchsheel'!G17+'RallyGully | LCR'!G17+'RallyGully | Powerplay'!V17+'RallyGully | Commons'!V17+'DOK | 83'!I17+'RallyGully | Chd'!B17</f>
        <v>115320</v>
      </c>
      <c r="I48" s="84"/>
      <c r="J48" s="84"/>
      <c r="K48" s="84"/>
    </row>
    <row r="49">
      <c r="A49" s="53"/>
      <c r="B49" s="88" t="s">
        <v>35</v>
      </c>
      <c r="C49" s="52">
        <f t="shared" ref="C49:H49" si="9">sum(C50:C51)</f>
        <v>50560</v>
      </c>
      <c r="D49" s="52">
        <f t="shared" si="9"/>
        <v>98663</v>
      </c>
      <c r="E49" s="52">
        <f t="shared" si="9"/>
        <v>202766</v>
      </c>
      <c r="F49" s="52">
        <f t="shared" si="9"/>
        <v>45810</v>
      </c>
      <c r="G49" s="52">
        <f t="shared" si="9"/>
        <v>131137</v>
      </c>
      <c r="H49" s="52">
        <f t="shared" si="9"/>
        <v>169615</v>
      </c>
      <c r="I49" s="84"/>
      <c r="J49" s="84"/>
      <c r="K49" s="84"/>
    </row>
    <row r="50" outlineLevel="1">
      <c r="A50" s="53"/>
      <c r="B50" s="85" t="s">
        <v>36</v>
      </c>
      <c r="C50" s="84">
        <f>sum('RallyGully I Sector 10 Dwarka'!B19,'RallyGully | KLJ 83'!B19,'RallyGully | EOK'!B19,'RallyGully | DOK Dwarka'!B19,'RallyGully | DPSG'!B19,'RallyGully | LCR'!B19,'RallyGully | Gandipath Jaipur'!B19,'RallyGully | Panchsheel'!B19,'RallyGully | Powerplay'!B19,'RallyGully | Commons'!B19)</f>
        <v>20560</v>
      </c>
      <c r="D50" s="84">
        <f>sum('RallyGully I Sector 10 Dwarka'!C19,'RallyGully | KLJ 83'!E19,'RallyGully | EOK'!C19,'RallyGully | DOK Dwarka'!C19,'RallyGully | DPSG'!C19,'RallyGully | LCR'!C19,'RallyGully | Gandipath Jaipur'!C19,'RallyGully | Panchsheel'!C19,'RallyGully | Powerplay'!F19,'RallyGully | Commons'!F19)</f>
        <v>83663</v>
      </c>
      <c r="E50" s="84">
        <f>sum('RallyGully I Sector 10 Dwarka'!D19,'RallyGully | KLJ 83'!H19,'RallyGully | EOK'!D19,'RallyGully | DOK Dwarka'!D19,'RallyGully | DPSG'!D19,'RallyGully | LCR'!D19,'RallyGully | Gandipath Jaipur'!D19,'RallyGully | Panchsheel'!D19,'RallyGully | Powerplay'!J19,'RallyGully | Commons'!J19+'DOK | 83'!D19+Ambala!B19+Zirakpur!B19)</f>
        <v>105880</v>
      </c>
      <c r="F50" s="84">
        <f>sum('RallyGully I Sector 10 Dwarka'!E19,'RallyGully | KLJ 83'!K19,'RallyGully | EOK'!E19,'RallyGully | DOK Dwarka'!E19,'RallyGully | DPSG'!E19,'RallyGully | LCR'!E19,'RallyGully | Gandipath Jaipur'!E19,'RallyGully | Panchsheel'!E19,'RallyGully | Powerplay'!N19,'RallyGully | Commons'!N19+'DOK | 83'!E19+Ambala!C19+Zirakpur!C19)</f>
        <v>39810</v>
      </c>
      <c r="G50" s="84">
        <f>'RallyGully I Sector 10 Dwarka'!F19+'RallyGully | KLJ 83'!N19+'RallyGully | EOK'!F19+'RallyGully | DOK Dwarka'!F19+'RallyGully | DPSG'!F19+'RallyGully | Panchsheel'!F19+'RallyGully | LCR'!F19+'RallyGully | Gandipath Jaipur'!F19+'RallyGully | Powerplay'!R19+'RallyGully | Commons'!R19+'DOK | 83'!H19+Ambala!D19+Zirakpur!D19</f>
        <v>131137</v>
      </c>
      <c r="H50" s="84">
        <f>'RallyGully I Sector 10 Dwarka'!G19+'RallyGully | KLJ 83'!Q19+'RallyGully | EOK'!G19+'RallyGully | DOK Dwarka'!G19+'RallyGully | DPSG'!G19+'RallyGully | Panchsheel'!G19+'RallyGully | LCR'!G19+'RallyGully | Powerplay'!V19+'RallyGully | Commons'!V19+'DOK | 83'!I19+'RallyGully | Chd'!B19</f>
        <v>132530</v>
      </c>
      <c r="I50" s="84"/>
      <c r="J50" s="84"/>
      <c r="K50" s="84"/>
    </row>
    <row r="51" outlineLevel="1">
      <c r="A51" s="89"/>
      <c r="B51" s="85" t="s">
        <v>37</v>
      </c>
      <c r="C51" s="90">
        <f>sum('RallyGully I Sector 10 Dwarka'!B20,'RallyGully | KLJ 83'!B20,'RallyGully | EOK'!B20,'RallyGully | DOK Dwarka'!B20,'RallyGully | DPSG'!B20,'RallyGully | LCR'!B20,'RallyGully | Gandipath Jaipur'!B20,'RallyGully | Panchsheel'!B20,'RallyGully | Powerplay'!B20,'RallyGully | Commons'!B20)</f>
        <v>30000</v>
      </c>
      <c r="D51" s="90">
        <f>sum('RallyGully I Sector 10 Dwarka'!C20,'RallyGully | KLJ 83'!E20,'RallyGully | EOK'!C20,'RallyGully | DOK Dwarka'!C20,'RallyGully | DPSG'!C20,'RallyGully | LCR'!C20,'RallyGully | Gandipath Jaipur'!C20,'RallyGully | Panchsheel'!C20,'RallyGully | Powerplay'!F20,'RallyGully | Commons'!F20)</f>
        <v>15000</v>
      </c>
      <c r="E51" s="84">
        <f>sum('RallyGully I Sector 10 Dwarka'!D20,'RallyGully | KLJ 83'!H20,'RallyGully | EOK'!D20,'RallyGully | DOK Dwarka'!D20,'RallyGully | DPSG'!D20,'RallyGully | LCR'!D20,'RallyGully | Gandipath Jaipur'!D20,'RallyGully | Panchsheel'!D20,'RallyGully | Powerplay'!J20,'RallyGully | Commons'!J20+'DOK | 83'!D20+Ambala!B20+Zirakpur!B20)</f>
        <v>96886</v>
      </c>
      <c r="F51" s="84">
        <f>sum('RallyGully I Sector 10 Dwarka'!E20,'RallyGully | KLJ 83'!K20,'RallyGully | EOK'!E20,'RallyGully | DOK Dwarka'!E20,'RallyGully | DPSG'!E20,'RallyGully | LCR'!E20,'RallyGully | Gandipath Jaipur'!E20,'RallyGully | Panchsheel'!E20,'RallyGully | Powerplay'!N20,'RallyGully | Commons'!N20+'DOK | 83'!E20+Ambala!C20+Zirakpur!C20)</f>
        <v>6000</v>
      </c>
      <c r="G51" s="84">
        <f>'RallyGully I Sector 10 Dwarka'!F20+'RallyGully | KLJ 83'!N20+'RallyGully | EOK'!F20+'RallyGully | DOK Dwarka'!F20+'RallyGully | DPSG'!F20+'RallyGully | Panchsheel'!F20+'RallyGully | LCR'!F20+'RallyGully | Gandipath Jaipur'!F20+'RallyGully | Powerplay'!R20+'RallyGully | Commons'!R20+'DOK | 83'!H20+Ambala!D20+Zirakpur!D20</f>
        <v>0</v>
      </c>
      <c r="H51" s="84">
        <f>'RallyGully I Sector 10 Dwarka'!G20+'RallyGully | KLJ 83'!Q20+'RallyGully | EOK'!G20+'RallyGully | DOK Dwarka'!G20+'RallyGully | DPSG'!G20+'RallyGully | Panchsheel'!G20+'RallyGully | LCR'!G20+'RallyGully | Powerplay'!V20+'RallyGully | Commons'!V20+'DOK | 83'!I20+'RallyGully | Chd'!B20</f>
        <v>37085</v>
      </c>
      <c r="I51" s="94"/>
      <c r="J51" s="94"/>
      <c r="K51" s="94"/>
    </row>
    <row r="52">
      <c r="A52" s="54"/>
      <c r="B52" s="82" t="s">
        <v>38</v>
      </c>
      <c r="C52" s="52">
        <f t="shared" ref="C52:H52" si="10">sum(C53:C55)</f>
        <v>87540</v>
      </c>
      <c r="D52" s="52">
        <f t="shared" si="10"/>
        <v>91720</v>
      </c>
      <c r="E52" s="52">
        <f t="shared" si="10"/>
        <v>104109</v>
      </c>
      <c r="F52" s="52">
        <f t="shared" si="10"/>
        <v>88497</v>
      </c>
      <c r="G52" s="52">
        <f t="shared" si="10"/>
        <v>75430</v>
      </c>
      <c r="H52" s="52">
        <f t="shared" si="10"/>
        <v>73128</v>
      </c>
      <c r="I52" s="84"/>
      <c r="J52" s="84"/>
      <c r="K52" s="84"/>
    </row>
    <row r="53" outlineLevel="1">
      <c r="A53" s="54"/>
      <c r="B53" s="85" t="s">
        <v>40</v>
      </c>
      <c r="C53" s="84">
        <f>sum('RallyGully I Sector 10 Dwarka'!B22,'RallyGully | KLJ 83'!B22,'RallyGully | EOK'!B22,'RallyGully | DOK Dwarka'!B22,'RallyGully | DPSG'!B22,'RallyGully | LCR'!B22,'RallyGully | Gandipath Jaipur'!B22,'RallyGully | Panchsheel'!B22,'RallyGully | Powerplay'!B22,'RallyGully | Commons'!B22)</f>
        <v>82310</v>
      </c>
      <c r="D53" s="84">
        <f>sum('RallyGully I Sector 10 Dwarka'!C22,'RallyGully | KLJ 83'!E22,'RallyGully | EOK'!C22,'RallyGully | DOK Dwarka'!C22,'RallyGully | DPSG'!C22,'RallyGully | LCR'!C22,'RallyGully | Gandipath Jaipur'!C22,'RallyGully | Panchsheel'!C22,'RallyGully | Powerplay'!F22,'RallyGully | Commons'!F22)</f>
        <v>85820</v>
      </c>
      <c r="E53" s="84">
        <f>sum('RallyGully I Sector 10 Dwarka'!D22,'RallyGully | KLJ 83'!H22,'RallyGully | EOK'!D22,'RallyGully | DOK Dwarka'!D22,'RallyGully | DPSG'!D22,'RallyGully | LCR'!D22,'RallyGully | Gandipath Jaipur'!D22,'RallyGully | Panchsheel'!D22,'RallyGully | Powerplay'!J22,'RallyGully | Commons'!J22+'DOK | 83'!D22+Ambala!B22+Zirakpur!B22)</f>
        <v>91315</v>
      </c>
      <c r="F53" s="84">
        <f>sum('RallyGully I Sector 10 Dwarka'!E22,'RallyGully | KLJ 83'!K22,'RallyGully | EOK'!E22,'RallyGully | DOK Dwarka'!E22,'RallyGully | DPSG'!E22,'RallyGully | LCR'!E22,'RallyGully | Gandipath Jaipur'!E22,'RallyGully | Panchsheel'!E22,'RallyGully | Powerplay'!N22,'RallyGully | Commons'!N22+'DOK | 83'!E22+Ambala!C22+Zirakpur!C22)</f>
        <v>62937</v>
      </c>
      <c r="G53" s="84">
        <f>'RallyGully I Sector 10 Dwarka'!F22+'RallyGully | KLJ 83'!N22+'RallyGully | EOK'!F22+'RallyGully | DOK Dwarka'!F22+'RallyGully | DPSG'!F22+'RallyGully | Panchsheel'!F22+'RallyGully | LCR'!F22+'RallyGully | Gandipath Jaipur'!F22+'RallyGully | Powerplay'!R22+'RallyGully | Commons'!R22+'DOK | 83'!H22+Ambala!D22+Zirakpur!D22</f>
        <v>50150</v>
      </c>
      <c r="H53" s="84">
        <f>'RallyGully I Sector 10 Dwarka'!G22+'RallyGully | KLJ 83'!Q22+'RallyGully | EOK'!G22+'RallyGully | DOK Dwarka'!G22+'RallyGully | DPSG'!G22+'RallyGully | Panchsheel'!G22+'RallyGully | LCR'!G22+'RallyGully | Powerplay'!V22+'RallyGully | Commons'!V22+'DOK | 83'!I22+'RallyGully | Chd'!B22</f>
        <v>47340</v>
      </c>
      <c r="I53" s="84"/>
      <c r="J53" s="84"/>
      <c r="K53" s="84"/>
    </row>
    <row r="54" outlineLevel="1">
      <c r="A54" s="54"/>
      <c r="B54" s="85" t="s">
        <v>41</v>
      </c>
      <c r="C54" s="84">
        <f>sum('RallyGully I Sector 10 Dwarka'!B23,'RallyGully | KLJ 83'!B23,'RallyGully | EOK'!B23,'RallyGully | DOK Dwarka'!B23,'RallyGully | DPSG'!B23,'RallyGully | LCR'!B23,'RallyGully | Gandipath Jaipur'!B23,'RallyGully | Panchsheel'!B23,'RallyGully | Powerplay'!B23,'RallyGully | Commons'!B23)</f>
        <v>0</v>
      </c>
      <c r="D54" s="84">
        <f>sum('RallyGully I Sector 10 Dwarka'!C23,'RallyGully | KLJ 83'!E23,'RallyGully | EOK'!C23,'RallyGully | DOK Dwarka'!C23,'RallyGully | DPSG'!C23,'RallyGully | LCR'!C23,'RallyGully | Gandipath Jaipur'!C23,'RallyGully | Panchsheel'!C23,'RallyGully | Powerplay'!F23,'RallyGully | Commons'!F23)</f>
        <v>1200</v>
      </c>
      <c r="E54" s="84">
        <f>sum('RallyGully I Sector 10 Dwarka'!D23,'RallyGully | KLJ 83'!H23,'RallyGully | EOK'!D23,'RallyGully | DOK Dwarka'!D23,'RallyGully | DPSG'!D23,'RallyGully | LCR'!D23,'RallyGully | Gandipath Jaipur'!D23,'RallyGully | Panchsheel'!D23,'RallyGully | Powerplay'!J23,'RallyGully | Commons'!J23+'DOK | 83'!D23+Ambala!B23+Zirakpur!B23)</f>
        <v>2399</v>
      </c>
      <c r="F54" s="84">
        <f>sum('RallyGully I Sector 10 Dwarka'!E23,'RallyGully | KLJ 83'!K23,'RallyGully | EOK'!E23,'RallyGully | DOK Dwarka'!E23,'RallyGully | DPSG'!E23,'RallyGully | LCR'!E23,'RallyGully | Gandipath Jaipur'!E23,'RallyGully | Panchsheel'!E23,'RallyGully | Powerplay'!N23,'RallyGully | Commons'!N23+'DOK | 83'!E23+Ambala!C23+Zirakpur!C23)</f>
        <v>0</v>
      </c>
      <c r="G54" s="84">
        <f>'RallyGully I Sector 10 Dwarka'!F23+'RallyGully | KLJ 83'!N23+'RallyGully | EOK'!F23+'RallyGully | DOK Dwarka'!F23+'RallyGully | DPSG'!F23+'RallyGully | Panchsheel'!F23+'RallyGully | LCR'!F23+'RallyGully | Gandipath Jaipur'!F23+'RallyGully | Powerplay'!R23+'RallyGully | Commons'!R23+'DOK | 83'!H23+Ambala!D23+Zirakpur!D23</f>
        <v>0</v>
      </c>
      <c r="H54" s="84">
        <f>'RallyGully I Sector 10 Dwarka'!G23+'RallyGully | KLJ 83'!Q23+'RallyGully | EOK'!G23+'RallyGully | DOK Dwarka'!G23+'RallyGully | DPSG'!G23+'RallyGully | Panchsheel'!G23+'RallyGully | LCR'!G23+'RallyGully | Powerplay'!V23+'RallyGully | Commons'!V23+'DOK | 83'!I23+'RallyGully | Chd'!B23</f>
        <v>0</v>
      </c>
      <c r="I54" s="84"/>
      <c r="J54" s="84"/>
      <c r="K54" s="84"/>
    </row>
    <row r="55" outlineLevel="1">
      <c r="A55" s="54"/>
      <c r="B55" s="85" t="s">
        <v>42</v>
      </c>
      <c r="C55" s="84">
        <f>sum('RallyGully I Sector 10 Dwarka'!B24,'RallyGully | KLJ 83'!B24,'RallyGully | EOK'!B24,'RallyGully | DOK Dwarka'!B24,'RallyGully | DPSG'!B24,'RallyGully | LCR'!B24,'RallyGully | Gandipath Jaipur'!B24,'RallyGully | Panchsheel'!B24,'RallyGully | Powerplay'!B24,'RallyGully | Commons'!B24)</f>
        <v>5230</v>
      </c>
      <c r="D55" s="84">
        <f>sum('RallyGully I Sector 10 Dwarka'!C24,'RallyGully | KLJ 83'!E24,'RallyGully | EOK'!C24,'RallyGully | DOK Dwarka'!C24,'RallyGully | DPSG'!C24,'RallyGully | LCR'!C24,'RallyGully | Gandipath Jaipur'!C24,'RallyGully | Panchsheel'!C24,'RallyGully | Powerplay'!F24,'RallyGully | Commons'!F24)</f>
        <v>4700</v>
      </c>
      <c r="E55" s="84">
        <f>sum('RallyGully I Sector 10 Dwarka'!D24,'RallyGully | KLJ 83'!H24,'RallyGully | EOK'!D24,'RallyGully | DOK Dwarka'!D24,'RallyGully | DPSG'!D24,'RallyGully | LCR'!D24,'RallyGully | Gandipath Jaipur'!D24,'RallyGully | Panchsheel'!D24,'RallyGully | Powerplay'!J24,'RallyGully | Commons'!J24+'DOK | 83'!D24+Ambala!B24+Zirakpur!B24)</f>
        <v>10395</v>
      </c>
      <c r="F55" s="84">
        <f>sum('RallyGully I Sector 10 Dwarka'!E24,'RallyGully | KLJ 83'!K24,'RallyGully | EOK'!E24,'RallyGully | DOK Dwarka'!E24,'RallyGully | DPSG'!E24,'RallyGully | LCR'!E24,'RallyGully | Gandipath Jaipur'!E24,'RallyGully | Panchsheel'!E24,'RallyGully | Powerplay'!N24,'RallyGully | Commons'!N24+'DOK | 83'!E24+Ambala!C24+Zirakpur!C24)</f>
        <v>25560</v>
      </c>
      <c r="G55" s="84">
        <f>'RallyGully I Sector 10 Dwarka'!F24+'RallyGully | KLJ 83'!N24+'RallyGully | EOK'!F24+'RallyGully | DOK Dwarka'!F24+'RallyGully | DPSG'!F24+'RallyGully | Panchsheel'!F24+'RallyGully | LCR'!F24+'RallyGully | Gandipath Jaipur'!F24+'RallyGully | Powerplay'!R24+'RallyGully | Commons'!R24+'DOK | 83'!H24+Ambala!D24+Zirakpur!D24</f>
        <v>25280</v>
      </c>
      <c r="H55" s="84">
        <f>'RallyGully I Sector 10 Dwarka'!G24+'RallyGully | KLJ 83'!Q24+'RallyGully | EOK'!G24+'RallyGully | DOK Dwarka'!G24+'RallyGully | DPSG'!G24+'RallyGully | Panchsheel'!G24+'RallyGully | LCR'!G24+'RallyGully | Powerplay'!V24+'RallyGully | Commons'!V24+'DOK | 83'!I24+'RallyGully | Chd'!B24</f>
        <v>25788</v>
      </c>
      <c r="I55" s="84"/>
      <c r="J55" s="84"/>
      <c r="K55" s="84"/>
    </row>
    <row r="56">
      <c r="A56" s="54"/>
      <c r="B56" s="82" t="s">
        <v>44</v>
      </c>
      <c r="C56" s="83">
        <f>sum('RallyGully I Sector 10 Dwarka'!B25,'RallyGully | KLJ 83'!B25,'RallyGully | EOK'!B25,'RallyGully | DOK Dwarka'!B25,'RallyGully | DPSG'!B25,'RallyGully | LCR'!B25,'RallyGully | Gandipath Jaipur'!B25,'RallyGully | Panchsheel'!B25,'RallyGully | Powerplay'!B25,'RallyGully | Commons'!B25)</f>
        <v>256000</v>
      </c>
      <c r="D56" s="83">
        <f>sum('RallyGully I Sector 10 Dwarka'!C25,'RallyGully | KLJ 83'!E25,'RallyGully | EOK'!C25,'RallyGully | DOK Dwarka'!C25,'RallyGully | DPSG'!C25,'RallyGully | LCR'!C25,'RallyGully | Gandipath Jaipur'!C25,'RallyGully | Panchsheel'!C25,'RallyGully | Powerplay'!F25,'RallyGully | Commons'!F25)</f>
        <v>256000</v>
      </c>
      <c r="E56" s="83">
        <f>sum('RallyGully I Sector 10 Dwarka'!D25,'RallyGully | KLJ 83'!H25,'RallyGully | EOK'!D25,'RallyGully | DOK Dwarka'!D25,'RallyGully | DPSG'!D25,'RallyGully | LCR'!D25,'RallyGully | Gandipath Jaipur'!D25,'RallyGully | Panchsheel'!D25,'RallyGully | Powerplay'!J25,'RallyGully | Commons'!J25+'DOK | 83'!D25+Ambala!B25+Zirakpur!B25)</f>
        <v>256000</v>
      </c>
      <c r="F56" s="83">
        <f>sum('RallyGully I Sector 10 Dwarka'!E25,'RallyGully | KLJ 83'!K25,'RallyGully | EOK'!E25,'RallyGully | DOK Dwarka'!E25,'RallyGully | DPSG'!E25,'RallyGully | LCR'!E25,'RallyGully | Gandipath Jaipur'!E25,'RallyGully | Panchsheel'!E25,'RallyGully | Powerplay'!N25,'RallyGully | Commons'!N25+'DOK | 83'!E25+Ambala!C25+Zirakpur!C25)</f>
        <v>253000</v>
      </c>
      <c r="G56" s="83">
        <f>'RallyGully I Sector 10 Dwarka'!F25+'RallyGully | KLJ 83'!N25+'RallyGully | EOK'!F25+'RallyGully | DOK Dwarka'!F25+'RallyGully | DPSG'!F25+'RallyGully | Panchsheel'!F25+'RallyGully | LCR'!F25+'RallyGully | Gandipath Jaipur'!F25+'RallyGully | Powerplay'!R25+'RallyGully | Commons'!R25+'DOK | 83'!H25+Ambala!D25+Zirakpur!D25</f>
        <v>245500</v>
      </c>
      <c r="H56" s="83">
        <f>'RallyGully I Sector 10 Dwarka'!G25+'RallyGully | KLJ 83'!Q25+'RallyGully | EOK'!G25+'RallyGully | DOK Dwarka'!G25+'RallyGully | DPSG'!G25+'RallyGully | Panchsheel'!G25+'RallyGully | LCR'!G25+'RallyGully | Powerplay'!V25+'RallyGully | Commons'!V25+'DOK | 83'!I25+'RallyGully | Chd'!B25</f>
        <v>238000</v>
      </c>
      <c r="I56" s="83"/>
      <c r="J56" s="83"/>
      <c r="K56" s="83"/>
    </row>
    <row r="57">
      <c r="A57" s="98"/>
      <c r="B57" s="99" t="s">
        <v>45</v>
      </c>
      <c r="C57" s="100">
        <f t="shared" ref="C57:H57" si="11">sum(C34,C44,C48,C49,C52,C56)</f>
        <v>2000499</v>
      </c>
      <c r="D57" s="100">
        <f t="shared" si="11"/>
        <v>2706094</v>
      </c>
      <c r="E57" s="100">
        <f t="shared" si="11"/>
        <v>2501621</v>
      </c>
      <c r="F57" s="100">
        <f t="shared" si="11"/>
        <v>2100970</v>
      </c>
      <c r="G57" s="100">
        <f t="shared" si="11"/>
        <v>2004701</v>
      </c>
      <c r="H57" s="100">
        <f t="shared" si="11"/>
        <v>1992183</v>
      </c>
      <c r="I57" s="101"/>
      <c r="J57" s="101"/>
      <c r="K57" s="101"/>
    </row>
    <row r="58">
      <c r="F58" s="57">
        <f>G57+G58</f>
        <v>3304701</v>
      </c>
      <c r="G58" s="102">
        <f>1300000</f>
        <v>1300000</v>
      </c>
      <c r="H58" s="102">
        <f>1128700</f>
        <v>1128700</v>
      </c>
      <c r="I58" s="57">
        <f>H58+H57</f>
        <v>3120883</v>
      </c>
    </row>
    <row r="59">
      <c r="A59" s="78"/>
      <c r="B59" s="104" t="s">
        <v>59</v>
      </c>
      <c r="C59" s="13" t="s">
        <v>7</v>
      </c>
      <c r="D59" s="13" t="s">
        <v>8</v>
      </c>
      <c r="E59" s="13" t="s">
        <v>9</v>
      </c>
      <c r="F59" s="13" t="s">
        <v>3</v>
      </c>
      <c r="G59" s="13" t="s">
        <v>10</v>
      </c>
      <c r="H59" s="13" t="s">
        <v>11</v>
      </c>
      <c r="I59" s="13" t="s">
        <v>12</v>
      </c>
      <c r="J59" s="13" t="s">
        <v>13</v>
      </c>
      <c r="K59" s="13" t="s">
        <v>14</v>
      </c>
    </row>
    <row r="60">
      <c r="A60" s="53"/>
      <c r="B60" s="21" t="s">
        <v>16</v>
      </c>
      <c r="C60" s="106">
        <f t="shared" ref="C60:C72" si="12">C34/$C$57</f>
        <v>0.7019313681</v>
      </c>
      <c r="D60" s="106">
        <f t="shared" ref="D60:D72" si="13">D34/$D$57</f>
        <v>0.7221851865</v>
      </c>
      <c r="E60" s="106">
        <f t="shared" ref="E60:E72" si="14">E34/$E$57</f>
        <v>0.6580900944</v>
      </c>
      <c r="F60" s="106">
        <f>F34/$F$57</f>
        <v>0.6880350505</v>
      </c>
      <c r="G60" s="106">
        <f>G34/G57</f>
        <v>0.530793869</v>
      </c>
      <c r="H60" s="106">
        <f t="shared" ref="H60:H83" si="15">H34/$H$57</f>
        <v>0.5825629473</v>
      </c>
      <c r="I60" s="106"/>
      <c r="J60" s="106"/>
      <c r="K60" s="106"/>
    </row>
    <row r="61" outlineLevel="1">
      <c r="A61" s="53"/>
      <c r="B61" s="21" t="s">
        <v>20</v>
      </c>
      <c r="C61" s="106">
        <f t="shared" si="12"/>
        <v>0.4008005003</v>
      </c>
      <c r="D61" s="106">
        <f t="shared" si="13"/>
        <v>0.4882602009</v>
      </c>
      <c r="E61" s="106">
        <f t="shared" si="14"/>
        <v>0.3843220056</v>
      </c>
      <c r="F61" s="106">
        <f>E35/$F$57</f>
        <v>0.4576114842</v>
      </c>
      <c r="G61" s="106">
        <f>G35/G57</f>
        <v>0.3367858848</v>
      </c>
      <c r="H61" s="106">
        <f t="shared" si="15"/>
        <v>0.3796403242</v>
      </c>
      <c r="I61" s="106"/>
      <c r="J61" s="106"/>
      <c r="K61" s="106"/>
    </row>
    <row r="62" outlineLevel="2">
      <c r="A62" s="53"/>
      <c r="B62" s="28" t="s">
        <v>21</v>
      </c>
      <c r="C62" s="111">
        <f t="shared" si="12"/>
        <v>0.1290872927</v>
      </c>
      <c r="D62" s="111">
        <f t="shared" si="13"/>
        <v>0.36810436</v>
      </c>
      <c r="E62" s="111">
        <f t="shared" si="14"/>
        <v>0.3257511829</v>
      </c>
      <c r="F62" s="111">
        <f t="shared" ref="F62:F72" si="16">F36/$F$57</f>
        <v>0.3372932503</v>
      </c>
      <c r="G62" s="111">
        <f>G36/G57</f>
        <v>0.3094616105</v>
      </c>
      <c r="H62" s="111">
        <f t="shared" si="15"/>
        <v>0.3455681531</v>
      </c>
      <c r="I62" s="111"/>
      <c r="J62" s="111"/>
      <c r="K62" s="111"/>
    </row>
    <row r="63" outlineLevel="2">
      <c r="A63" s="53"/>
      <c r="B63" s="28" t="s">
        <v>22</v>
      </c>
      <c r="C63" s="111">
        <f t="shared" si="12"/>
        <v>0.1759021124</v>
      </c>
      <c r="D63" s="111">
        <f t="shared" si="13"/>
        <v>0.06145019353</v>
      </c>
      <c r="E63" s="111">
        <f t="shared" si="14"/>
        <v>0.007703804853</v>
      </c>
      <c r="F63" s="111">
        <f t="shared" si="16"/>
        <v>0.01272555058</v>
      </c>
      <c r="G63" s="111">
        <f t="shared" ref="G63:G83" si="17">G37/$G$57</f>
        <v>0.007802161021</v>
      </c>
      <c r="H63" s="111">
        <f t="shared" si="15"/>
        <v>0.005054756516</v>
      </c>
      <c r="I63" s="111"/>
      <c r="J63" s="111"/>
      <c r="K63" s="111"/>
    </row>
    <row r="64" outlineLevel="2">
      <c r="A64" s="53"/>
      <c r="B64" s="28" t="s">
        <v>23</v>
      </c>
      <c r="C64" s="111">
        <f t="shared" si="12"/>
        <v>0.05392454583</v>
      </c>
      <c r="D64" s="111">
        <f t="shared" si="13"/>
        <v>0.03828174483</v>
      </c>
      <c r="E64" s="111">
        <f t="shared" si="14"/>
        <v>0.03392800108</v>
      </c>
      <c r="F64" s="111">
        <f t="shared" si="16"/>
        <v>0.0132096127</v>
      </c>
      <c r="G64" s="111">
        <f t="shared" si="17"/>
        <v>0.01297200929</v>
      </c>
      <c r="H64" s="111">
        <f t="shared" si="15"/>
        <v>0.0224527566</v>
      </c>
      <c r="I64" s="111"/>
      <c r="J64" s="111"/>
      <c r="K64" s="111"/>
    </row>
    <row r="65" outlineLevel="2">
      <c r="A65" s="53"/>
      <c r="B65" s="28" t="s">
        <v>24</v>
      </c>
      <c r="C65" s="111">
        <f t="shared" si="12"/>
        <v>0.02343815218</v>
      </c>
      <c r="D65" s="111">
        <f t="shared" si="13"/>
        <v>0.01525261133</v>
      </c>
      <c r="E65" s="111">
        <f t="shared" si="14"/>
        <v>0.01406168241</v>
      </c>
      <c r="F65" s="111">
        <f t="shared" si="16"/>
        <v>0.006736888199</v>
      </c>
      <c r="G65" s="111">
        <f t="shared" si="17"/>
        <v>0.005975454694</v>
      </c>
      <c r="H65" s="111">
        <f t="shared" si="15"/>
        <v>0.006564657966</v>
      </c>
      <c r="I65" s="111"/>
      <c r="J65" s="111"/>
      <c r="K65" s="111"/>
    </row>
    <row r="66" outlineLevel="2">
      <c r="A66" s="53"/>
      <c r="B66" s="28" t="s">
        <v>25</v>
      </c>
      <c r="C66" s="111">
        <f t="shared" si="12"/>
        <v>0.01844839712</v>
      </c>
      <c r="D66" s="111">
        <f t="shared" si="13"/>
        <v>0.005171291167</v>
      </c>
      <c r="E66" s="111">
        <f t="shared" si="14"/>
        <v>0.002877334336</v>
      </c>
      <c r="F66" s="111">
        <f t="shared" si="16"/>
        <v>0.0002779668439</v>
      </c>
      <c r="G66" s="111">
        <f t="shared" si="17"/>
        <v>0.0005746492869</v>
      </c>
      <c r="H66" s="111">
        <f t="shared" si="15"/>
        <v>0</v>
      </c>
      <c r="I66" s="111"/>
      <c r="J66" s="111"/>
      <c r="K66" s="111"/>
    </row>
    <row r="67" outlineLevel="1">
      <c r="A67" s="53"/>
      <c r="B67" s="21" t="s">
        <v>26</v>
      </c>
      <c r="C67" s="106">
        <f t="shared" si="12"/>
        <v>0.3011308678</v>
      </c>
      <c r="D67" s="106">
        <f t="shared" si="13"/>
        <v>0.2339249856</v>
      </c>
      <c r="E67" s="106">
        <f t="shared" si="14"/>
        <v>0.2737680888</v>
      </c>
      <c r="F67" s="106">
        <f t="shared" si="16"/>
        <v>0.3177917819</v>
      </c>
      <c r="G67" s="106">
        <f t="shared" si="17"/>
        <v>0.1940079842</v>
      </c>
      <c r="H67" s="106">
        <f t="shared" si="15"/>
        <v>0.2029226231</v>
      </c>
      <c r="I67" s="106"/>
      <c r="J67" s="106"/>
      <c r="K67" s="106"/>
    </row>
    <row r="68" outlineLevel="1">
      <c r="A68" s="53"/>
      <c r="B68" s="28" t="s">
        <v>27</v>
      </c>
      <c r="C68" s="111">
        <f t="shared" si="12"/>
        <v>0.268489012</v>
      </c>
      <c r="D68" s="111">
        <f t="shared" si="13"/>
        <v>0.1792336112</v>
      </c>
      <c r="E68" s="111">
        <f t="shared" si="14"/>
        <v>0.2446749528</v>
      </c>
      <c r="F68" s="111">
        <f t="shared" si="16"/>
        <v>0.2561059891</v>
      </c>
      <c r="G68" s="111">
        <f t="shared" si="17"/>
        <v>0.1602872448</v>
      </c>
      <c r="H68" s="111">
        <f t="shared" si="15"/>
        <v>0.1382197318</v>
      </c>
      <c r="I68" s="111"/>
      <c r="J68" s="111"/>
      <c r="K68" s="111"/>
    </row>
    <row r="69" outlineLevel="1">
      <c r="A69" s="53"/>
      <c r="B69" s="28" t="s">
        <v>28</v>
      </c>
      <c r="C69" s="111">
        <f t="shared" si="12"/>
        <v>0.03264185586</v>
      </c>
      <c r="D69" s="111">
        <f t="shared" si="13"/>
        <v>0.05469137436</v>
      </c>
      <c r="E69" s="111">
        <f t="shared" si="14"/>
        <v>0.02909313601</v>
      </c>
      <c r="F69" s="111">
        <f t="shared" si="16"/>
        <v>0.06168579275</v>
      </c>
      <c r="G69" s="111">
        <f t="shared" si="17"/>
        <v>0.0337207394</v>
      </c>
      <c r="H69" s="111">
        <f t="shared" si="15"/>
        <v>0.06470289125</v>
      </c>
      <c r="I69" s="111"/>
      <c r="J69" s="111"/>
      <c r="K69" s="111"/>
    </row>
    <row r="70">
      <c r="A70" s="53"/>
      <c r="B70" s="21" t="s">
        <v>29</v>
      </c>
      <c r="C70" s="106">
        <f t="shared" si="12"/>
        <v>0.1010677836</v>
      </c>
      <c r="D70" s="106">
        <f t="shared" si="13"/>
        <v>0.07657161946</v>
      </c>
      <c r="E70" s="106">
        <f t="shared" si="14"/>
        <v>0.08084917739</v>
      </c>
      <c r="F70" s="106">
        <f t="shared" si="16"/>
        <v>0.07707011523</v>
      </c>
      <c r="G70" s="106">
        <f t="shared" si="17"/>
        <v>0.1496238092</v>
      </c>
      <c r="H70" s="106">
        <f t="shared" si="15"/>
        <v>0.1182361259</v>
      </c>
      <c r="I70" s="106"/>
      <c r="J70" s="106"/>
      <c r="K70" s="106"/>
    </row>
    <row r="71" outlineLevel="1">
      <c r="A71" s="53"/>
      <c r="B71" s="28" t="s">
        <v>30</v>
      </c>
      <c r="C71" s="111">
        <f t="shared" si="12"/>
        <v>0.04938467852</v>
      </c>
      <c r="D71" s="111">
        <f t="shared" si="13"/>
        <v>0.04401177491</v>
      </c>
      <c r="E71" s="111">
        <f t="shared" si="14"/>
        <v>0.03455359545</v>
      </c>
      <c r="F71" s="111">
        <f t="shared" si="16"/>
        <v>0.05425541536</v>
      </c>
      <c r="G71" s="111">
        <f t="shared" si="17"/>
        <v>0.05520773422</v>
      </c>
      <c r="H71" s="111">
        <f t="shared" si="15"/>
        <v>0.06496441341</v>
      </c>
      <c r="I71" s="111"/>
      <c r="J71" s="111"/>
      <c r="K71" s="111"/>
    </row>
    <row r="72" outlineLevel="1">
      <c r="A72" s="53"/>
      <c r="B72" s="116" t="s">
        <v>31</v>
      </c>
      <c r="C72" s="111">
        <f t="shared" si="12"/>
        <v>0.05168310507</v>
      </c>
      <c r="D72" s="111">
        <f t="shared" si="13"/>
        <v>0.03255984456</v>
      </c>
      <c r="E72" s="111">
        <f t="shared" si="14"/>
        <v>0.04629558194</v>
      </c>
      <c r="F72" s="111">
        <f t="shared" si="16"/>
        <v>0.02281469988</v>
      </c>
      <c r="G72" s="111">
        <f t="shared" si="17"/>
        <v>0.04635254834</v>
      </c>
      <c r="H72" s="111">
        <f t="shared" si="15"/>
        <v>0.01214547057</v>
      </c>
      <c r="I72" s="111"/>
      <c r="J72" s="111"/>
      <c r="K72" s="111"/>
    </row>
    <row r="73" outlineLevel="1">
      <c r="A73" s="53"/>
      <c r="B73" s="117" t="s">
        <v>33</v>
      </c>
      <c r="C73" s="118">
        <v>0.0</v>
      </c>
      <c r="D73" s="118">
        <v>0.0</v>
      </c>
      <c r="E73" s="118">
        <v>0.0</v>
      </c>
      <c r="F73" s="118">
        <v>0.0</v>
      </c>
      <c r="G73" s="111">
        <f t="shared" si="17"/>
        <v>0.04806352668</v>
      </c>
      <c r="H73" s="111">
        <f t="shared" si="15"/>
        <v>0.04112624192</v>
      </c>
      <c r="I73" s="111"/>
      <c r="J73" s="111"/>
      <c r="K73" s="111"/>
    </row>
    <row r="74">
      <c r="A74" s="53"/>
      <c r="B74" s="21" t="s">
        <v>34</v>
      </c>
      <c r="C74" s="106">
        <f t="shared" ref="C74:C83" si="18">C48/$C$57</f>
        <v>0</v>
      </c>
      <c r="D74" s="106">
        <f t="shared" ref="D74:D83" si="19">D48/$D$57</f>
        <v>0.03628846596</v>
      </c>
      <c r="E74" s="106">
        <f t="shared" ref="E74:E83" si="20">E48/$E$57</f>
        <v>0.03605662089</v>
      </c>
      <c r="F74" s="106">
        <f t="shared" ref="F74:F83" si="21">F48/$F$57</f>
        <v>0.05054808017</v>
      </c>
      <c r="G74" s="106">
        <f t="shared" si="17"/>
        <v>0.09407886762</v>
      </c>
      <c r="H74" s="106">
        <f t="shared" si="15"/>
        <v>0.0578862484</v>
      </c>
      <c r="I74" s="106"/>
      <c r="J74" s="106"/>
      <c r="K74" s="106"/>
    </row>
    <row r="75">
      <c r="A75" s="53"/>
      <c r="B75" s="38" t="s">
        <v>35</v>
      </c>
      <c r="C75" s="106">
        <f t="shared" si="18"/>
        <v>0.02527369421</v>
      </c>
      <c r="D75" s="106">
        <f t="shared" si="19"/>
        <v>0.03645956127</v>
      </c>
      <c r="E75" s="106">
        <f t="shared" si="20"/>
        <v>0.08105384469</v>
      </c>
      <c r="F75" s="106">
        <f t="shared" si="21"/>
        <v>0.02180421424</v>
      </c>
      <c r="G75" s="106">
        <f t="shared" si="17"/>
        <v>0.06541474265</v>
      </c>
      <c r="H75" s="106">
        <f t="shared" si="15"/>
        <v>0.08514027075</v>
      </c>
      <c r="I75" s="106"/>
      <c r="J75" s="106"/>
      <c r="K75" s="106"/>
    </row>
    <row r="76" outlineLevel="1">
      <c r="A76" s="53"/>
      <c r="B76" s="28" t="s">
        <v>36</v>
      </c>
      <c r="C76" s="111">
        <f t="shared" si="18"/>
        <v>0.01027743578</v>
      </c>
      <c r="D76" s="111">
        <f t="shared" si="19"/>
        <v>0.03091651657</v>
      </c>
      <c r="E76" s="111">
        <f t="shared" si="20"/>
        <v>0.04232455676</v>
      </c>
      <c r="F76" s="111">
        <f t="shared" si="21"/>
        <v>0.01894839051</v>
      </c>
      <c r="G76" s="111">
        <f t="shared" si="17"/>
        <v>0.06541474265</v>
      </c>
      <c r="H76" s="111">
        <f t="shared" si="15"/>
        <v>0.06652501301</v>
      </c>
      <c r="I76" s="111"/>
      <c r="J76" s="111"/>
      <c r="K76" s="111"/>
      <c r="M76" s="119"/>
    </row>
    <row r="77" outlineLevel="1">
      <c r="A77" s="53"/>
      <c r="B77" s="120" t="s">
        <v>37</v>
      </c>
      <c r="C77" s="111">
        <f t="shared" si="18"/>
        <v>0.01499625843</v>
      </c>
      <c r="D77" s="111">
        <f t="shared" si="19"/>
        <v>0.005543044698</v>
      </c>
      <c r="E77" s="111">
        <f t="shared" si="20"/>
        <v>0.03872928793</v>
      </c>
      <c r="F77" s="111">
        <f t="shared" si="21"/>
        <v>0.002855823739</v>
      </c>
      <c r="G77" s="111">
        <f t="shared" si="17"/>
        <v>0</v>
      </c>
      <c r="H77" s="111">
        <f t="shared" si="15"/>
        <v>0.01861525773</v>
      </c>
      <c r="I77" s="111"/>
      <c r="J77" s="111"/>
      <c r="K77" s="111"/>
    </row>
    <row r="78">
      <c r="A78" s="53"/>
      <c r="B78" s="121" t="s">
        <v>38</v>
      </c>
      <c r="C78" s="106">
        <f t="shared" si="18"/>
        <v>0.04375908211</v>
      </c>
      <c r="D78" s="106">
        <f t="shared" si="19"/>
        <v>0.03389387065</v>
      </c>
      <c r="E78" s="106">
        <f t="shared" si="20"/>
        <v>0.04161661579</v>
      </c>
      <c r="F78" s="106">
        <f t="shared" si="21"/>
        <v>0.04212197223</v>
      </c>
      <c r="G78" s="106">
        <f t="shared" si="17"/>
        <v>0.03762655877</v>
      </c>
      <c r="H78" s="106">
        <f t="shared" si="15"/>
        <v>0.03670747115</v>
      </c>
      <c r="I78" s="106"/>
      <c r="J78" s="106"/>
      <c r="K78" s="106"/>
    </row>
    <row r="79" outlineLevel="1">
      <c r="A79" s="53"/>
      <c r="B79" s="103" t="s">
        <v>40</v>
      </c>
      <c r="C79" s="111">
        <f t="shared" si="18"/>
        <v>0.04114473439</v>
      </c>
      <c r="D79" s="111">
        <f t="shared" si="19"/>
        <v>0.0317136064</v>
      </c>
      <c r="E79" s="111">
        <f t="shared" si="20"/>
        <v>0.03650233189</v>
      </c>
      <c r="F79" s="111">
        <f t="shared" si="21"/>
        <v>0.02995616311</v>
      </c>
      <c r="G79" s="111">
        <f t="shared" si="17"/>
        <v>0.02501619942</v>
      </c>
      <c r="H79" s="111">
        <f t="shared" si="15"/>
        <v>0.02376287721</v>
      </c>
      <c r="I79" s="111"/>
      <c r="J79" s="111"/>
      <c r="K79" s="111"/>
    </row>
    <row r="80" outlineLevel="1">
      <c r="A80" s="53"/>
      <c r="B80" s="103" t="s">
        <v>41</v>
      </c>
      <c r="C80" s="111">
        <f t="shared" si="18"/>
        <v>0</v>
      </c>
      <c r="D80" s="111">
        <f t="shared" si="19"/>
        <v>0.0004434435759</v>
      </c>
      <c r="E80" s="111">
        <f t="shared" si="20"/>
        <v>0.0009589781985</v>
      </c>
      <c r="F80" s="111">
        <f t="shared" si="21"/>
        <v>0</v>
      </c>
      <c r="G80" s="111">
        <f t="shared" si="17"/>
        <v>0</v>
      </c>
      <c r="H80" s="111">
        <f t="shared" si="15"/>
        <v>0</v>
      </c>
      <c r="I80" s="111"/>
      <c r="J80" s="111"/>
      <c r="K80" s="111"/>
    </row>
    <row r="81" outlineLevel="1">
      <c r="A81" s="53"/>
      <c r="B81" s="103" t="s">
        <v>42</v>
      </c>
      <c r="C81" s="111">
        <f t="shared" si="18"/>
        <v>0.00261434772</v>
      </c>
      <c r="D81" s="111">
        <f t="shared" si="19"/>
        <v>0.001736820672</v>
      </c>
      <c r="E81" s="111">
        <f t="shared" si="20"/>
        <v>0.0041553057</v>
      </c>
      <c r="F81" s="111">
        <f t="shared" si="21"/>
        <v>0.01216580913</v>
      </c>
      <c r="G81" s="111">
        <f t="shared" si="17"/>
        <v>0.01261035935</v>
      </c>
      <c r="H81" s="111">
        <f t="shared" si="15"/>
        <v>0.01294459395</v>
      </c>
      <c r="I81" s="111"/>
      <c r="J81" s="111"/>
      <c r="K81" s="111"/>
    </row>
    <row r="82">
      <c r="A82" s="124"/>
      <c r="B82" s="125" t="s">
        <v>44</v>
      </c>
      <c r="C82" s="106">
        <f t="shared" si="18"/>
        <v>0.127968072</v>
      </c>
      <c r="D82" s="106">
        <f t="shared" si="19"/>
        <v>0.09460129619</v>
      </c>
      <c r="E82" s="106">
        <f t="shared" si="20"/>
        <v>0.1023336469</v>
      </c>
      <c r="F82" s="106">
        <f t="shared" si="21"/>
        <v>0.1204205676</v>
      </c>
      <c r="G82" s="106">
        <f t="shared" si="17"/>
        <v>0.1224621527</v>
      </c>
      <c r="H82" s="111">
        <f t="shared" si="15"/>
        <v>0.1194669365</v>
      </c>
      <c r="I82" s="126"/>
      <c r="J82" s="126"/>
      <c r="K82" s="126"/>
    </row>
    <row r="83">
      <c r="B83" s="127" t="s">
        <v>45</v>
      </c>
      <c r="C83" s="128">
        <f t="shared" si="18"/>
        <v>1</v>
      </c>
      <c r="D83" s="128">
        <f t="shared" si="19"/>
        <v>1</v>
      </c>
      <c r="E83" s="128">
        <f t="shared" si="20"/>
        <v>1</v>
      </c>
      <c r="F83" s="128">
        <f t="shared" si="21"/>
        <v>1</v>
      </c>
      <c r="G83" s="128">
        <f t="shared" si="17"/>
        <v>1</v>
      </c>
      <c r="H83" s="128">
        <f t="shared" si="15"/>
        <v>1</v>
      </c>
      <c r="I83" s="98"/>
      <c r="J83" s="98"/>
      <c r="K83" s="98"/>
    </row>
  </sheetData>
  <hyperlinks>
    <hyperlink r:id="rId1" ref="B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</cols>
  <sheetData>
    <row r="1">
      <c r="A1" s="3"/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16" t="s">
        <v>1</v>
      </c>
      <c r="H1" s="17"/>
      <c r="I1" s="17"/>
      <c r="J1" s="17"/>
      <c r="K1" s="18"/>
      <c r="L1" s="19"/>
    </row>
    <row r="2">
      <c r="A2" s="1" t="s">
        <v>6</v>
      </c>
      <c r="B2" s="7" t="s">
        <v>7</v>
      </c>
      <c r="C2" s="7" t="s">
        <v>8</v>
      </c>
      <c r="D2" s="7" t="s">
        <v>9</v>
      </c>
      <c r="E2" s="7" t="s">
        <v>3</v>
      </c>
      <c r="F2" s="7" t="s">
        <v>10</v>
      </c>
      <c r="G2" s="20" t="s">
        <v>11</v>
      </c>
      <c r="H2" s="7" t="s">
        <v>12</v>
      </c>
      <c r="I2" s="7" t="s">
        <v>13</v>
      </c>
      <c r="J2" s="7" t="s">
        <v>14</v>
      </c>
      <c r="K2" s="18"/>
      <c r="L2" s="19"/>
    </row>
    <row r="3">
      <c r="A3" s="21" t="s">
        <v>16</v>
      </c>
      <c r="B3" s="23">
        <f t="shared" ref="B3:G3" si="1">sum(B4,B10)</f>
        <v>120359</v>
      </c>
      <c r="C3" s="23">
        <f t="shared" si="1"/>
        <v>339577</v>
      </c>
      <c r="D3" s="23">
        <f t="shared" si="1"/>
        <v>186067</v>
      </c>
      <c r="E3" s="23">
        <f t="shared" si="1"/>
        <v>174333</v>
      </c>
      <c r="F3" s="23">
        <f t="shared" si="1"/>
        <v>130433</v>
      </c>
      <c r="G3" s="23">
        <f t="shared" si="1"/>
        <v>180690</v>
      </c>
      <c r="H3" s="23"/>
      <c r="I3" s="23"/>
      <c r="J3" s="23"/>
      <c r="K3" s="26"/>
    </row>
    <row r="4" outlineLevel="1">
      <c r="A4" s="21" t="s">
        <v>20</v>
      </c>
      <c r="B4" s="23">
        <f t="shared" ref="B4:G4" si="2">sum(B5:B9)</f>
        <v>98039</v>
      </c>
      <c r="C4" s="23">
        <f t="shared" si="2"/>
        <v>267597</v>
      </c>
      <c r="D4" s="23">
        <f t="shared" si="2"/>
        <v>122537</v>
      </c>
      <c r="E4" s="23">
        <f t="shared" si="2"/>
        <v>116989</v>
      </c>
      <c r="F4" s="23">
        <f t="shared" si="2"/>
        <v>100710</v>
      </c>
      <c r="G4" s="23">
        <f t="shared" si="2"/>
        <v>149821</v>
      </c>
      <c r="H4" s="22"/>
      <c r="I4" s="27"/>
      <c r="J4" s="22"/>
      <c r="K4" s="26"/>
    </row>
    <row r="5" outlineLevel="1">
      <c r="A5" s="28" t="s">
        <v>21</v>
      </c>
      <c r="B5" s="29">
        <v>50900.0</v>
      </c>
      <c r="C5" s="22">
        <v>225063.0</v>
      </c>
      <c r="D5" s="22">
        <v>122537.0</v>
      </c>
      <c r="E5" s="29">
        <v>116989.0</v>
      </c>
      <c r="F5" s="29">
        <v>100710.0</v>
      </c>
      <c r="G5" s="30">
        <v>149821.0</v>
      </c>
      <c r="H5" s="22"/>
      <c r="I5" s="27"/>
      <c r="J5" s="22"/>
      <c r="K5" s="26"/>
    </row>
    <row r="6" outlineLevel="1">
      <c r="A6" s="28" t="s">
        <v>22</v>
      </c>
      <c r="B6" s="29">
        <v>39539.0</v>
      </c>
      <c r="C6" s="22">
        <v>42134.0</v>
      </c>
      <c r="D6" s="22">
        <v>0.0</v>
      </c>
      <c r="E6" s="29">
        <v>0.0</v>
      </c>
      <c r="F6" s="29">
        <v>0.0</v>
      </c>
      <c r="G6" s="30">
        <v>0.0</v>
      </c>
      <c r="H6" s="22"/>
      <c r="I6" s="27"/>
      <c r="J6" s="22"/>
      <c r="K6" s="26"/>
    </row>
    <row r="7" outlineLevel="1">
      <c r="A7" s="28" t="s">
        <v>23</v>
      </c>
      <c r="B7" s="29">
        <v>4400.0</v>
      </c>
      <c r="C7" s="22">
        <v>400.0</v>
      </c>
      <c r="D7" s="22">
        <v>0.0</v>
      </c>
      <c r="E7" s="29">
        <v>0.0</v>
      </c>
      <c r="F7" s="29">
        <v>0.0</v>
      </c>
      <c r="G7" s="30">
        <v>0.0</v>
      </c>
      <c r="H7" s="22"/>
      <c r="I7" s="27"/>
      <c r="J7" s="22"/>
      <c r="K7" s="26"/>
    </row>
    <row r="8" outlineLevel="1">
      <c r="A8" s="28" t="s">
        <v>24</v>
      </c>
      <c r="B8" s="29">
        <v>3200.0</v>
      </c>
      <c r="C8" s="22">
        <v>0.0</v>
      </c>
      <c r="D8" s="22">
        <v>0.0</v>
      </c>
      <c r="E8" s="22">
        <v>0.0</v>
      </c>
      <c r="F8" s="22">
        <v>0.0</v>
      </c>
      <c r="G8" s="23">
        <v>0.0</v>
      </c>
      <c r="H8" s="31"/>
      <c r="I8" s="31"/>
      <c r="J8" s="31"/>
      <c r="K8" s="26"/>
    </row>
    <row r="9" outlineLevel="1">
      <c r="A9" s="28" t="s">
        <v>25</v>
      </c>
      <c r="B9" s="30">
        <v>0.0</v>
      </c>
      <c r="C9" s="22">
        <v>0.0</v>
      </c>
      <c r="D9" s="22">
        <v>0.0</v>
      </c>
      <c r="E9" s="29">
        <v>0.0</v>
      </c>
      <c r="F9" s="29">
        <v>0.0</v>
      </c>
      <c r="G9" s="30">
        <v>0.0</v>
      </c>
      <c r="H9" s="22"/>
      <c r="I9" s="27"/>
      <c r="J9" s="22"/>
      <c r="K9" s="32"/>
    </row>
    <row r="10" outlineLevel="1">
      <c r="A10" s="21" t="s">
        <v>26</v>
      </c>
      <c r="B10" s="23">
        <f t="shared" ref="B10:G10" si="3">sum(B11:B12)</f>
        <v>22320</v>
      </c>
      <c r="C10" s="23">
        <f t="shared" si="3"/>
        <v>71980</v>
      </c>
      <c r="D10" s="23">
        <f t="shared" si="3"/>
        <v>63530</v>
      </c>
      <c r="E10" s="23">
        <f t="shared" si="3"/>
        <v>57344</v>
      </c>
      <c r="F10" s="23">
        <f t="shared" si="3"/>
        <v>29723</v>
      </c>
      <c r="G10" s="23">
        <f t="shared" si="3"/>
        <v>30869</v>
      </c>
      <c r="H10" s="22"/>
      <c r="I10" s="27"/>
      <c r="J10" s="22"/>
      <c r="K10" s="32"/>
    </row>
    <row r="11" outlineLevel="1">
      <c r="A11" s="28" t="s">
        <v>27</v>
      </c>
      <c r="B11" s="29">
        <v>22320.0</v>
      </c>
      <c r="C11" s="22">
        <v>20780.0</v>
      </c>
      <c r="D11" s="22">
        <v>63530.0</v>
      </c>
      <c r="E11" s="29">
        <v>57344.0</v>
      </c>
      <c r="F11" s="29">
        <v>29723.0</v>
      </c>
      <c r="G11" s="30">
        <v>30869.0</v>
      </c>
      <c r="H11" s="22"/>
      <c r="I11" s="27"/>
      <c r="J11" s="22"/>
      <c r="K11" s="32"/>
    </row>
    <row r="12" outlineLevel="1">
      <c r="A12" s="28" t="s">
        <v>28</v>
      </c>
      <c r="B12" s="30">
        <v>0.0</v>
      </c>
      <c r="C12" s="22">
        <v>51200.0</v>
      </c>
      <c r="D12" s="33">
        <v>0.0</v>
      </c>
      <c r="E12" s="29">
        <v>0.0</v>
      </c>
      <c r="F12" s="29">
        <v>0.0</v>
      </c>
      <c r="G12" s="30">
        <v>0.0</v>
      </c>
      <c r="H12" s="22"/>
      <c r="I12" s="27"/>
      <c r="J12" s="22"/>
      <c r="K12" s="32"/>
    </row>
    <row r="13">
      <c r="A13" s="21" t="s">
        <v>29</v>
      </c>
      <c r="B13" s="23">
        <f t="shared" ref="B13:G13" si="4">sum(B14:B16)</f>
        <v>95160</v>
      </c>
      <c r="C13" s="23">
        <f t="shared" si="4"/>
        <v>64700</v>
      </c>
      <c r="D13" s="23">
        <f t="shared" si="4"/>
        <v>44484</v>
      </c>
      <c r="E13" s="23">
        <f t="shared" si="4"/>
        <v>69742</v>
      </c>
      <c r="F13" s="23">
        <f t="shared" si="4"/>
        <v>111860</v>
      </c>
      <c r="G13" s="23">
        <f t="shared" si="4"/>
        <v>123004</v>
      </c>
      <c r="H13" s="29"/>
      <c r="I13" s="27"/>
      <c r="J13" s="22"/>
      <c r="K13" s="32"/>
    </row>
    <row r="14">
      <c r="A14" s="28" t="s">
        <v>30</v>
      </c>
      <c r="B14" s="29">
        <v>26200.0</v>
      </c>
      <c r="C14" s="29">
        <v>42200.0</v>
      </c>
      <c r="D14" s="29">
        <v>38100.0</v>
      </c>
      <c r="E14" s="29">
        <v>45000.0</v>
      </c>
      <c r="F14" s="34">
        <v>58050.0</v>
      </c>
      <c r="G14" s="30">
        <v>61300.0</v>
      </c>
      <c r="H14" s="23"/>
      <c r="I14" s="23"/>
      <c r="J14" s="23"/>
      <c r="K14" s="26"/>
    </row>
    <row r="15">
      <c r="A15" s="28" t="s">
        <v>31</v>
      </c>
      <c r="B15" s="29">
        <v>68960.0</v>
      </c>
      <c r="C15" s="29">
        <v>22500.0</v>
      </c>
      <c r="D15" s="29">
        <v>6384.0</v>
      </c>
      <c r="E15" s="29">
        <v>24742.0</v>
      </c>
      <c r="F15" s="29">
        <v>8500.0</v>
      </c>
      <c r="G15" s="30">
        <v>7984.0</v>
      </c>
      <c r="H15" s="22"/>
      <c r="I15" s="27"/>
      <c r="J15" s="22"/>
      <c r="K15" s="32"/>
    </row>
    <row r="16">
      <c r="A16" s="35" t="s">
        <v>33</v>
      </c>
      <c r="B16" s="36">
        <v>0.0</v>
      </c>
      <c r="C16" s="36">
        <v>0.0</v>
      </c>
      <c r="D16" s="36">
        <v>0.0</v>
      </c>
      <c r="E16" s="36">
        <v>0.0</v>
      </c>
      <c r="F16" s="29">
        <v>45310.0</v>
      </c>
      <c r="G16" s="30">
        <v>53720.0</v>
      </c>
      <c r="H16" s="22"/>
      <c r="I16" s="27"/>
      <c r="J16" s="22"/>
      <c r="K16" s="32"/>
    </row>
    <row r="17">
      <c r="A17" s="21" t="s">
        <v>34</v>
      </c>
      <c r="B17" s="37">
        <v>0.0</v>
      </c>
      <c r="C17" s="37">
        <v>13000.0</v>
      </c>
      <c r="D17" s="37">
        <v>6500.0</v>
      </c>
      <c r="E17" s="37">
        <v>6500.0</v>
      </c>
      <c r="F17" s="37">
        <v>6500.0</v>
      </c>
      <c r="G17" s="23">
        <v>6500.0</v>
      </c>
      <c r="H17" s="22"/>
      <c r="I17" s="27"/>
      <c r="J17" s="22"/>
      <c r="K17" s="32"/>
    </row>
    <row r="18">
      <c r="A18" s="38" t="s">
        <v>35</v>
      </c>
      <c r="B18" s="23">
        <f t="shared" ref="B18:G18" si="5">sum(B19,B20)</f>
        <v>30000</v>
      </c>
      <c r="C18" s="23">
        <f t="shared" si="5"/>
        <v>0</v>
      </c>
      <c r="D18" s="23">
        <f t="shared" si="5"/>
        <v>0</v>
      </c>
      <c r="E18" s="23">
        <f t="shared" si="5"/>
        <v>0</v>
      </c>
      <c r="F18" s="23">
        <f t="shared" si="5"/>
        <v>5950</v>
      </c>
      <c r="G18" s="23">
        <f t="shared" si="5"/>
        <v>0</v>
      </c>
      <c r="H18" s="22"/>
      <c r="I18" s="27"/>
      <c r="J18" s="22"/>
      <c r="K18" s="32"/>
    </row>
    <row r="19">
      <c r="A19" s="28" t="s">
        <v>36</v>
      </c>
      <c r="B19" s="30">
        <v>0.0</v>
      </c>
      <c r="C19" s="29">
        <v>0.0</v>
      </c>
      <c r="D19" s="33">
        <v>0.0</v>
      </c>
      <c r="E19" s="29">
        <v>0.0</v>
      </c>
      <c r="F19" s="29">
        <v>5950.0</v>
      </c>
      <c r="G19" s="30">
        <v>0.0</v>
      </c>
      <c r="H19" s="22"/>
      <c r="I19" s="27"/>
      <c r="J19" s="22"/>
      <c r="K19" s="32"/>
    </row>
    <row r="20">
      <c r="A20" s="28" t="s">
        <v>37</v>
      </c>
      <c r="B20" s="29">
        <v>30000.0</v>
      </c>
      <c r="C20" s="22">
        <v>0.0</v>
      </c>
      <c r="D20" s="22">
        <v>0.0</v>
      </c>
      <c r="E20" s="29">
        <v>0.0</v>
      </c>
      <c r="F20" s="34">
        <v>0.0</v>
      </c>
      <c r="G20" s="30">
        <v>0.0</v>
      </c>
      <c r="H20" s="31"/>
      <c r="I20" s="39"/>
      <c r="J20" s="31"/>
      <c r="K20" s="26"/>
    </row>
    <row r="21">
      <c r="A21" s="40" t="s">
        <v>38</v>
      </c>
      <c r="B21" s="23">
        <f t="shared" ref="B21:D21" si="6">sum(B22:B24)</f>
        <v>11360</v>
      </c>
      <c r="C21" s="23">
        <f t="shared" si="6"/>
        <v>11205</v>
      </c>
      <c r="D21" s="23">
        <f t="shared" si="6"/>
        <v>8490</v>
      </c>
      <c r="E21" s="23">
        <f t="shared" ref="E21:F21" si="7">sum(E22,E24)</f>
        <v>10195</v>
      </c>
      <c r="F21" s="23">
        <f t="shared" si="7"/>
        <v>9630</v>
      </c>
      <c r="G21" s="23">
        <f>sum(G22:G24)</f>
        <v>11135</v>
      </c>
      <c r="H21" s="22"/>
      <c r="I21" s="27"/>
      <c r="J21" s="22"/>
      <c r="K21" s="26"/>
    </row>
    <row r="22">
      <c r="A22" s="28" t="s">
        <v>40</v>
      </c>
      <c r="B22" s="29">
        <v>9200.0</v>
      </c>
      <c r="C22" s="22">
        <v>9000.0</v>
      </c>
      <c r="D22" s="22">
        <v>8250.0</v>
      </c>
      <c r="E22" s="29">
        <v>9775.0</v>
      </c>
      <c r="F22" s="29">
        <v>7175.0</v>
      </c>
      <c r="G22" s="30">
        <v>6850.0</v>
      </c>
      <c r="H22" s="22"/>
      <c r="I22" s="27"/>
      <c r="J22" s="22"/>
      <c r="K22" s="26"/>
    </row>
    <row r="23">
      <c r="A23" s="28" t="s">
        <v>41</v>
      </c>
      <c r="B23" s="30">
        <v>0.0</v>
      </c>
      <c r="C23" s="22">
        <v>0.0</v>
      </c>
      <c r="D23" s="22">
        <v>0.0</v>
      </c>
      <c r="E23" s="29">
        <v>0.0</v>
      </c>
      <c r="F23" s="29">
        <v>0.0</v>
      </c>
      <c r="G23" s="30">
        <v>0.0</v>
      </c>
      <c r="H23" s="22"/>
      <c r="I23" s="27"/>
      <c r="J23" s="22"/>
      <c r="K23" s="26"/>
    </row>
    <row r="24">
      <c r="A24" s="28" t="s">
        <v>42</v>
      </c>
      <c r="B24" s="29">
        <v>2160.0</v>
      </c>
      <c r="C24" s="22">
        <v>2205.0</v>
      </c>
      <c r="D24" s="22">
        <v>240.0</v>
      </c>
      <c r="E24" s="29">
        <v>420.0</v>
      </c>
      <c r="F24" s="29">
        <v>2455.0</v>
      </c>
      <c r="G24" s="30">
        <v>4285.0</v>
      </c>
      <c r="H24" s="22"/>
      <c r="I24" s="27"/>
      <c r="J24" s="22"/>
      <c r="K24" s="26"/>
    </row>
    <row r="25">
      <c r="A25" s="42" t="s">
        <v>44</v>
      </c>
      <c r="B25" s="23">
        <v>0.0</v>
      </c>
      <c r="C25" s="43">
        <v>0.0</v>
      </c>
      <c r="D25" s="43">
        <v>0.0</v>
      </c>
      <c r="E25" s="43">
        <v>0.0</v>
      </c>
      <c r="F25" s="43">
        <v>0.0</v>
      </c>
      <c r="G25" s="23">
        <v>0.0</v>
      </c>
      <c r="H25" s="44"/>
      <c r="I25" s="44"/>
      <c r="J25" s="44"/>
      <c r="K25" s="2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43"/>
    </row>
    <row r="26">
      <c r="A26" s="46" t="s">
        <v>45</v>
      </c>
      <c r="B26" s="48">
        <f t="shared" ref="B26:G26" si="8">B3+B13+B17+B18+B21+B25</f>
        <v>256879</v>
      </c>
      <c r="C26" s="48">
        <f t="shared" si="8"/>
        <v>428482</v>
      </c>
      <c r="D26" s="48">
        <f t="shared" si="8"/>
        <v>245541</v>
      </c>
      <c r="E26" s="48">
        <f t="shared" si="8"/>
        <v>260770</v>
      </c>
      <c r="F26" s="48">
        <f t="shared" si="8"/>
        <v>264373</v>
      </c>
      <c r="G26" s="48">
        <f t="shared" si="8"/>
        <v>321329</v>
      </c>
      <c r="H26" s="49"/>
      <c r="I26" s="50"/>
      <c r="J26" s="49"/>
    </row>
    <row r="27">
      <c r="A27" s="51" t="s">
        <v>47</v>
      </c>
      <c r="B27" s="52">
        <f t="shared" ref="B27:G27" si="9">B26-(B26/1.18)</f>
        <v>39184.9322</v>
      </c>
      <c r="C27" s="52">
        <f t="shared" si="9"/>
        <v>65361.66102</v>
      </c>
      <c r="D27" s="52">
        <f t="shared" si="9"/>
        <v>37455.40678</v>
      </c>
      <c r="E27" s="52">
        <f t="shared" si="9"/>
        <v>39778.47458</v>
      </c>
      <c r="F27" s="52">
        <f t="shared" si="9"/>
        <v>40328.08475</v>
      </c>
      <c r="G27" s="52">
        <f t="shared" si="9"/>
        <v>49016.28814</v>
      </c>
      <c r="H27" s="54"/>
      <c r="I27" s="54"/>
      <c r="J27" s="54"/>
    </row>
    <row r="28">
      <c r="A28" s="55" t="s">
        <v>49</v>
      </c>
      <c r="B28" s="52">
        <f t="shared" ref="B28:G28" si="10">B26-B27</f>
        <v>217694.0678</v>
      </c>
      <c r="C28" s="52">
        <f t="shared" si="10"/>
        <v>363120.339</v>
      </c>
      <c r="D28" s="52">
        <f t="shared" si="10"/>
        <v>208085.5932</v>
      </c>
      <c r="E28" s="52">
        <f t="shared" si="10"/>
        <v>220991.5254</v>
      </c>
      <c r="F28" s="52">
        <f t="shared" si="10"/>
        <v>224044.9153</v>
      </c>
      <c r="G28" s="52">
        <f t="shared" si="10"/>
        <v>272312.7119</v>
      </c>
      <c r="H28" s="54"/>
      <c r="I28" s="54"/>
      <c r="J28" s="54"/>
    </row>
    <row r="29">
      <c r="C29" s="18"/>
      <c r="D29" s="56"/>
      <c r="G29" s="57">
        <f>G26/1.18</f>
        <v>272312.7119</v>
      </c>
    </row>
    <row r="30">
      <c r="C30" s="18"/>
      <c r="D30" s="56"/>
    </row>
    <row r="31">
      <c r="C31" s="18"/>
      <c r="D31" s="56"/>
    </row>
    <row r="32">
      <c r="C32" s="18"/>
      <c r="D32" s="56"/>
    </row>
    <row r="33">
      <c r="C33" s="18"/>
      <c r="D33" s="56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  <row r="1001">
      <c r="C1001" s="58"/>
    </row>
    <row r="1002">
      <c r="C1002" s="58"/>
    </row>
    <row r="1003">
      <c r="C1003" s="58"/>
    </row>
    <row r="1004">
      <c r="C1004" s="58"/>
    </row>
    <row r="1005">
      <c r="C1005" s="58"/>
    </row>
    <row r="1006">
      <c r="C1006" s="58"/>
    </row>
    <row r="1007">
      <c r="C1007" s="58"/>
    </row>
    <row r="1008">
      <c r="C1008" s="58"/>
    </row>
    <row r="1009">
      <c r="C1009" s="58"/>
    </row>
    <row r="1010">
      <c r="C1010" s="58"/>
    </row>
    <row r="1011">
      <c r="C1011" s="58"/>
    </row>
    <row r="1012">
      <c r="C1012" s="58"/>
    </row>
    <row r="1013">
      <c r="C1013" s="58"/>
    </row>
  </sheetData>
  <hyperlinks>
    <hyperlink r:id="rId1" ref="B1"/>
    <hyperlink r:id="rId2" ref="C1"/>
    <hyperlink r:id="rId3" ref="D1"/>
    <hyperlink r:id="rId4" ref="E1"/>
    <hyperlink r:id="rId5" ref="F1"/>
    <hyperlink r:id="rId6" ref="G1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  <col collapsed="1" min="2" max="2" width="12.63"/>
    <col hidden="1" min="3" max="4" width="12.63" outlineLevel="1"/>
    <col collapsed="1" min="5" max="5" width="12.63"/>
    <col hidden="1" min="6" max="7" width="12.63" outlineLevel="1"/>
    <col min="9" max="10" width="12.63" outlineLevel="1"/>
    <col min="12" max="13" width="12.63" outlineLevel="1"/>
    <col min="15" max="16" width="12.63" outlineLevel="1"/>
    <col min="18" max="19" width="12.63" outlineLevel="1"/>
  </cols>
  <sheetData>
    <row r="1">
      <c r="A1" s="1"/>
      <c r="B1" s="4" t="s">
        <v>1</v>
      </c>
      <c r="C1" s="7"/>
      <c r="D1" s="7"/>
      <c r="E1" s="4" t="s">
        <v>1</v>
      </c>
      <c r="F1" s="7"/>
      <c r="G1" s="7"/>
      <c r="H1" s="4" t="s">
        <v>1</v>
      </c>
      <c r="I1" s="7"/>
      <c r="J1" s="7"/>
      <c r="K1" s="4" t="s">
        <v>1</v>
      </c>
      <c r="L1" s="7"/>
      <c r="M1" s="7"/>
      <c r="N1" s="4" t="s">
        <v>1</v>
      </c>
      <c r="O1" s="7"/>
      <c r="P1" s="7"/>
      <c r="Q1" s="16" t="s">
        <v>1</v>
      </c>
      <c r="R1" s="17"/>
      <c r="S1" s="17"/>
      <c r="T1" s="7"/>
      <c r="U1" s="7"/>
      <c r="V1" s="7"/>
      <c r="W1" s="18"/>
      <c r="X1" s="19"/>
    </row>
    <row r="2">
      <c r="A2" s="1" t="s">
        <v>6</v>
      </c>
      <c r="B2" s="7" t="s">
        <v>7</v>
      </c>
      <c r="C2" s="7" t="s">
        <v>17</v>
      </c>
      <c r="D2" s="7" t="s">
        <v>18</v>
      </c>
      <c r="E2" s="7" t="s">
        <v>8</v>
      </c>
      <c r="F2" s="7" t="s">
        <v>17</v>
      </c>
      <c r="G2" s="7" t="s">
        <v>18</v>
      </c>
      <c r="H2" s="7" t="s">
        <v>9</v>
      </c>
      <c r="I2" s="7" t="s">
        <v>17</v>
      </c>
      <c r="J2" s="7" t="s">
        <v>18</v>
      </c>
      <c r="K2" s="7" t="s">
        <v>3</v>
      </c>
      <c r="L2" s="7" t="s">
        <v>17</v>
      </c>
      <c r="M2" s="7" t="s">
        <v>18</v>
      </c>
      <c r="N2" s="7" t="s">
        <v>10</v>
      </c>
      <c r="O2" s="7" t="s">
        <v>17</v>
      </c>
      <c r="P2" s="7" t="s">
        <v>18</v>
      </c>
      <c r="Q2" s="20" t="s">
        <v>11</v>
      </c>
      <c r="R2" s="7" t="s">
        <v>17</v>
      </c>
      <c r="S2" s="7" t="s">
        <v>18</v>
      </c>
      <c r="T2" s="7" t="s">
        <v>12</v>
      </c>
      <c r="U2" s="7" t="s">
        <v>13</v>
      </c>
      <c r="V2" s="7" t="s">
        <v>14</v>
      </c>
      <c r="W2" s="18"/>
      <c r="X2" s="19"/>
    </row>
    <row r="3">
      <c r="A3" s="21" t="s">
        <v>16</v>
      </c>
      <c r="B3" s="23">
        <f t="shared" ref="B3:S3" si="1">sum(B4,B10)</f>
        <v>173128</v>
      </c>
      <c r="C3" s="23">
        <f t="shared" si="1"/>
        <v>89513</v>
      </c>
      <c r="D3" s="23">
        <f t="shared" si="1"/>
        <v>82658</v>
      </c>
      <c r="E3" s="23">
        <f t="shared" si="1"/>
        <v>240943</v>
      </c>
      <c r="F3" s="23">
        <f t="shared" si="1"/>
        <v>131215</v>
      </c>
      <c r="G3" s="23">
        <f t="shared" si="1"/>
        <v>109728</v>
      </c>
      <c r="H3" s="23">
        <f t="shared" si="1"/>
        <v>195280</v>
      </c>
      <c r="I3" s="23">
        <f t="shared" si="1"/>
        <v>103234</v>
      </c>
      <c r="J3" s="23">
        <f t="shared" si="1"/>
        <v>68046</v>
      </c>
      <c r="K3" s="23">
        <f t="shared" si="1"/>
        <v>240369</v>
      </c>
      <c r="L3" s="23">
        <f t="shared" si="1"/>
        <v>131167</v>
      </c>
      <c r="M3" s="23">
        <f t="shared" si="1"/>
        <v>64749</v>
      </c>
      <c r="N3" s="23">
        <f t="shared" si="1"/>
        <v>206637</v>
      </c>
      <c r="O3" s="23">
        <f t="shared" si="1"/>
        <v>105423</v>
      </c>
      <c r="P3" s="23">
        <f t="shared" si="1"/>
        <v>91814</v>
      </c>
      <c r="Q3" s="23">
        <f t="shared" si="1"/>
        <v>183664</v>
      </c>
      <c r="R3" s="23">
        <f t="shared" si="1"/>
        <v>100870</v>
      </c>
      <c r="S3" s="23">
        <f t="shared" si="1"/>
        <v>82794</v>
      </c>
      <c r="T3" s="23"/>
      <c r="U3" s="23"/>
      <c r="V3" s="23"/>
      <c r="W3" s="26"/>
      <c r="AJ3" s="23"/>
    </row>
    <row r="4" outlineLevel="1">
      <c r="A4" s="21" t="s">
        <v>20</v>
      </c>
      <c r="B4" s="23">
        <f t="shared" ref="B4:S4" si="2">sum(B5:B9)</f>
        <v>48628</v>
      </c>
      <c r="C4" s="23">
        <f t="shared" si="2"/>
        <v>29193</v>
      </c>
      <c r="D4" s="23">
        <f t="shared" si="2"/>
        <v>18478</v>
      </c>
      <c r="E4" s="23">
        <f t="shared" si="2"/>
        <v>133403</v>
      </c>
      <c r="F4" s="23">
        <f t="shared" si="2"/>
        <v>70875</v>
      </c>
      <c r="G4" s="23">
        <f t="shared" si="2"/>
        <v>62528</v>
      </c>
      <c r="H4" s="23">
        <f t="shared" si="2"/>
        <v>74190</v>
      </c>
      <c r="I4" s="23">
        <f t="shared" si="2"/>
        <v>47504</v>
      </c>
      <c r="J4" s="23">
        <f t="shared" si="2"/>
        <v>2686</v>
      </c>
      <c r="K4" s="23">
        <f t="shared" si="2"/>
        <v>78884</v>
      </c>
      <c r="L4" s="23">
        <f t="shared" si="2"/>
        <v>25642</v>
      </c>
      <c r="M4" s="23">
        <f t="shared" si="2"/>
        <v>8789</v>
      </c>
      <c r="N4" s="23">
        <f t="shared" si="2"/>
        <v>61103</v>
      </c>
      <c r="O4" s="23">
        <f t="shared" si="2"/>
        <v>38123</v>
      </c>
      <c r="P4" s="23">
        <f t="shared" si="2"/>
        <v>22980</v>
      </c>
      <c r="Q4" s="23">
        <f t="shared" si="2"/>
        <v>85044</v>
      </c>
      <c r="R4" s="23">
        <f t="shared" si="2"/>
        <v>50150</v>
      </c>
      <c r="S4" s="23">
        <f t="shared" si="2"/>
        <v>34894</v>
      </c>
      <c r="T4" s="22"/>
      <c r="U4" s="27"/>
      <c r="V4" s="22"/>
      <c r="W4" s="26"/>
    </row>
    <row r="5" outlineLevel="1">
      <c r="A5" s="28" t="s">
        <v>21</v>
      </c>
      <c r="B5" s="29">
        <v>19000.0</v>
      </c>
      <c r="C5" s="22">
        <v>13700.0</v>
      </c>
      <c r="D5" s="22">
        <v>5300.0</v>
      </c>
      <c r="E5" s="22">
        <v>131267.0</v>
      </c>
      <c r="F5" s="22">
        <v>70237.0</v>
      </c>
      <c r="G5" s="22">
        <v>61030.0</v>
      </c>
      <c r="H5" s="22">
        <v>74190.0</v>
      </c>
      <c r="I5" s="29">
        <v>47504.0</v>
      </c>
      <c r="J5" s="29">
        <v>2686.0</v>
      </c>
      <c r="K5" s="29">
        <v>78884.0</v>
      </c>
      <c r="L5" s="29">
        <v>25642.0</v>
      </c>
      <c r="M5" s="29">
        <v>8789.0</v>
      </c>
      <c r="N5" s="29">
        <v>61103.0</v>
      </c>
      <c r="O5" s="29">
        <v>38123.0</v>
      </c>
      <c r="P5" s="29">
        <v>22980.0</v>
      </c>
      <c r="Q5" s="30">
        <v>85044.0</v>
      </c>
      <c r="R5" s="22">
        <v>50150.0</v>
      </c>
      <c r="S5" s="22">
        <v>34894.0</v>
      </c>
      <c r="T5" s="22"/>
      <c r="U5" s="27"/>
      <c r="V5" s="22"/>
      <c r="W5" s="26"/>
    </row>
    <row r="6" outlineLevel="1">
      <c r="A6" s="28" t="s">
        <v>22</v>
      </c>
      <c r="B6" s="29">
        <v>25628.0</v>
      </c>
      <c r="C6" s="22">
        <v>13893.0</v>
      </c>
      <c r="D6" s="22">
        <v>10778.0</v>
      </c>
      <c r="E6" s="22">
        <v>2136.0</v>
      </c>
      <c r="F6" s="22">
        <v>638.0</v>
      </c>
      <c r="G6" s="22">
        <v>1498.0</v>
      </c>
      <c r="H6" s="22">
        <v>0.0</v>
      </c>
      <c r="I6" s="29">
        <v>0.0</v>
      </c>
      <c r="J6" s="29">
        <v>0.0</v>
      </c>
      <c r="K6" s="29">
        <v>0.0</v>
      </c>
      <c r="L6" s="29">
        <v>0.0</v>
      </c>
      <c r="M6" s="29">
        <v>0.0</v>
      </c>
      <c r="N6" s="29">
        <v>0.0</v>
      </c>
      <c r="O6" s="29">
        <v>0.0</v>
      </c>
      <c r="P6" s="29">
        <v>0.0</v>
      </c>
      <c r="Q6" s="30">
        <v>0.0</v>
      </c>
      <c r="R6" s="22">
        <v>0.0</v>
      </c>
      <c r="S6" s="22">
        <v>0.0</v>
      </c>
      <c r="T6" s="22"/>
      <c r="U6" s="27"/>
      <c r="V6" s="22"/>
      <c r="W6" s="26"/>
    </row>
    <row r="7" outlineLevel="1">
      <c r="A7" s="28" t="s">
        <v>23</v>
      </c>
      <c r="B7" s="29">
        <v>3200.0</v>
      </c>
      <c r="C7" s="22">
        <v>800.0</v>
      </c>
      <c r="D7" s="22">
        <v>2400.0</v>
      </c>
      <c r="E7" s="22">
        <v>0.0</v>
      </c>
      <c r="F7" s="22">
        <v>0.0</v>
      </c>
      <c r="G7" s="22">
        <v>0.0</v>
      </c>
      <c r="H7" s="22">
        <v>0.0</v>
      </c>
      <c r="I7" s="29">
        <v>0.0</v>
      </c>
      <c r="J7" s="29">
        <v>0.0</v>
      </c>
      <c r="K7" s="29">
        <v>0.0</v>
      </c>
      <c r="L7" s="29">
        <v>0.0</v>
      </c>
      <c r="M7" s="29">
        <v>0.0</v>
      </c>
      <c r="N7" s="29">
        <v>0.0</v>
      </c>
      <c r="O7" s="29">
        <v>0.0</v>
      </c>
      <c r="P7" s="29">
        <v>0.0</v>
      </c>
      <c r="Q7" s="30">
        <v>0.0</v>
      </c>
      <c r="R7" s="22">
        <v>0.0</v>
      </c>
      <c r="S7" s="22">
        <v>0.0</v>
      </c>
      <c r="T7" s="22"/>
      <c r="U7" s="27"/>
      <c r="V7" s="22"/>
      <c r="W7" s="26"/>
    </row>
    <row r="8">
      <c r="A8" s="28" t="s">
        <v>24</v>
      </c>
      <c r="B8" s="29">
        <v>800.0</v>
      </c>
      <c r="C8" s="22">
        <v>800.0</v>
      </c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22">
        <v>0.0</v>
      </c>
      <c r="J8" s="22">
        <v>0.0</v>
      </c>
      <c r="K8" s="22">
        <v>0.0</v>
      </c>
      <c r="L8" s="22">
        <v>0.0</v>
      </c>
      <c r="M8" s="22">
        <v>0.0</v>
      </c>
      <c r="N8" s="22">
        <v>0.0</v>
      </c>
      <c r="O8" s="22">
        <v>0.0</v>
      </c>
      <c r="P8" s="22">
        <v>0.0</v>
      </c>
      <c r="Q8" s="23">
        <v>0.0</v>
      </c>
      <c r="R8" s="22">
        <v>0.0</v>
      </c>
      <c r="S8" s="22">
        <v>0.0</v>
      </c>
      <c r="T8" s="22"/>
      <c r="U8" s="22"/>
      <c r="V8" s="22"/>
      <c r="W8" s="26"/>
    </row>
    <row r="9" outlineLevel="1">
      <c r="A9" s="28" t="s">
        <v>25</v>
      </c>
      <c r="B9" s="30">
        <v>0.0</v>
      </c>
      <c r="C9" s="22">
        <v>0.0</v>
      </c>
      <c r="D9" s="22">
        <v>0.0</v>
      </c>
      <c r="E9" s="22">
        <v>0.0</v>
      </c>
      <c r="F9" s="22">
        <v>0.0</v>
      </c>
      <c r="G9" s="22">
        <v>0.0</v>
      </c>
      <c r="H9" s="22">
        <v>0.0</v>
      </c>
      <c r="I9" s="29">
        <v>0.0</v>
      </c>
      <c r="J9" s="29">
        <v>0.0</v>
      </c>
      <c r="K9" s="29">
        <v>0.0</v>
      </c>
      <c r="L9" s="29">
        <v>0.0</v>
      </c>
      <c r="M9" s="29">
        <v>0.0</v>
      </c>
      <c r="N9" s="29">
        <v>0.0</v>
      </c>
      <c r="O9" s="29">
        <v>0.0</v>
      </c>
      <c r="P9" s="29">
        <v>0.0</v>
      </c>
      <c r="Q9" s="30">
        <v>0.0</v>
      </c>
      <c r="R9" s="22">
        <v>0.0</v>
      </c>
      <c r="S9" s="22">
        <v>0.0</v>
      </c>
      <c r="T9" s="22"/>
      <c r="U9" s="27"/>
      <c r="V9" s="22"/>
      <c r="W9" s="32"/>
    </row>
    <row r="10" outlineLevel="1">
      <c r="A10" s="21" t="s">
        <v>26</v>
      </c>
      <c r="B10" s="23">
        <f t="shared" ref="B10:S10" si="3">sum(B11:B12)</f>
        <v>124500</v>
      </c>
      <c r="C10" s="23">
        <f t="shared" si="3"/>
        <v>60320</v>
      </c>
      <c r="D10" s="23">
        <f t="shared" si="3"/>
        <v>64180</v>
      </c>
      <c r="E10" s="23">
        <f t="shared" si="3"/>
        <v>107540</v>
      </c>
      <c r="F10" s="23">
        <f t="shared" si="3"/>
        <v>60340</v>
      </c>
      <c r="G10" s="23">
        <f t="shared" si="3"/>
        <v>47200</v>
      </c>
      <c r="H10" s="23">
        <f t="shared" si="3"/>
        <v>121090</v>
      </c>
      <c r="I10" s="23">
        <f t="shared" si="3"/>
        <v>55730</v>
      </c>
      <c r="J10" s="23">
        <f t="shared" si="3"/>
        <v>65360</v>
      </c>
      <c r="K10" s="23">
        <f t="shared" si="3"/>
        <v>161485</v>
      </c>
      <c r="L10" s="23">
        <f t="shared" si="3"/>
        <v>105525</v>
      </c>
      <c r="M10" s="23">
        <f t="shared" si="3"/>
        <v>55960</v>
      </c>
      <c r="N10" s="23">
        <f t="shared" si="3"/>
        <v>145534</v>
      </c>
      <c r="O10" s="23">
        <f t="shared" si="3"/>
        <v>67300</v>
      </c>
      <c r="P10" s="23">
        <f t="shared" si="3"/>
        <v>68834</v>
      </c>
      <c r="Q10" s="23">
        <f t="shared" si="3"/>
        <v>98620</v>
      </c>
      <c r="R10" s="23">
        <f t="shared" si="3"/>
        <v>50720</v>
      </c>
      <c r="S10" s="23">
        <f t="shared" si="3"/>
        <v>47900</v>
      </c>
      <c r="T10" s="22"/>
      <c r="U10" s="27"/>
      <c r="V10" s="22"/>
      <c r="W10" s="32"/>
    </row>
    <row r="11" outlineLevel="1">
      <c r="A11" s="28" t="s">
        <v>27</v>
      </c>
      <c r="B11" s="29">
        <v>105700.0</v>
      </c>
      <c r="C11" s="22">
        <v>50920.0</v>
      </c>
      <c r="D11" s="22">
        <v>54780.0</v>
      </c>
      <c r="E11" s="22">
        <v>60740.0</v>
      </c>
      <c r="F11" s="22">
        <v>22940.0</v>
      </c>
      <c r="G11" s="22">
        <v>37800.0</v>
      </c>
      <c r="H11" s="22">
        <v>92290.0</v>
      </c>
      <c r="I11" s="29">
        <v>46330.0</v>
      </c>
      <c r="J11" s="29">
        <v>45960.0</v>
      </c>
      <c r="K11" s="29">
        <v>106685.0</v>
      </c>
      <c r="L11" s="29">
        <v>60125.0</v>
      </c>
      <c r="M11" s="29">
        <v>46560.0</v>
      </c>
      <c r="N11" s="29">
        <v>102734.0</v>
      </c>
      <c r="O11" s="29">
        <v>55300.0</v>
      </c>
      <c r="P11" s="29">
        <v>47434.0</v>
      </c>
      <c r="Q11" s="30">
        <v>63020.0</v>
      </c>
      <c r="R11" s="22">
        <v>41320.0</v>
      </c>
      <c r="S11" s="22">
        <v>21700.0</v>
      </c>
      <c r="T11" s="22"/>
      <c r="U11" s="27"/>
      <c r="V11" s="22"/>
      <c r="W11" s="32"/>
    </row>
    <row r="12" outlineLevel="1">
      <c r="A12" s="28" t="s">
        <v>28</v>
      </c>
      <c r="B12" s="29">
        <v>18800.0</v>
      </c>
      <c r="C12" s="29">
        <v>9400.0</v>
      </c>
      <c r="D12" s="29">
        <v>9400.0</v>
      </c>
      <c r="E12" s="22">
        <v>46800.0</v>
      </c>
      <c r="F12" s="33">
        <v>37400.0</v>
      </c>
      <c r="G12" s="33">
        <v>9400.0</v>
      </c>
      <c r="H12" s="33">
        <v>28800.0</v>
      </c>
      <c r="I12" s="29">
        <v>9400.0</v>
      </c>
      <c r="J12" s="29">
        <v>19400.0</v>
      </c>
      <c r="K12" s="29">
        <v>54800.0</v>
      </c>
      <c r="L12" s="29">
        <v>45400.0</v>
      </c>
      <c r="M12" s="29">
        <v>9400.0</v>
      </c>
      <c r="N12" s="29">
        <v>42800.0</v>
      </c>
      <c r="O12" s="29">
        <v>12000.0</v>
      </c>
      <c r="P12" s="29">
        <v>21400.0</v>
      </c>
      <c r="Q12" s="30">
        <v>35600.0</v>
      </c>
      <c r="R12" s="22">
        <v>9400.0</v>
      </c>
      <c r="S12" s="22">
        <v>26200.0</v>
      </c>
      <c r="T12" s="22"/>
      <c r="U12" s="27"/>
      <c r="V12" s="22"/>
      <c r="W12" s="32"/>
    </row>
    <row r="13" outlineLevel="1">
      <c r="A13" s="21" t="s">
        <v>29</v>
      </c>
      <c r="B13" s="23">
        <f>sum(B14:B16)</f>
        <v>0</v>
      </c>
      <c r="C13" s="23">
        <f t="shared" ref="C13:D13" si="4">sum(C14:C15)</f>
        <v>0</v>
      </c>
      <c r="D13" s="23">
        <f t="shared" si="4"/>
        <v>0</v>
      </c>
      <c r="E13" s="23">
        <f>sum(E14:E16)</f>
        <v>2400</v>
      </c>
      <c r="F13" s="23">
        <f t="shared" ref="F13:G13" si="5">sum(F14:F15)</f>
        <v>2400</v>
      </c>
      <c r="G13" s="23">
        <f t="shared" si="5"/>
        <v>0</v>
      </c>
      <c r="H13" s="23">
        <f>sum(H14:H16)</f>
        <v>480</v>
      </c>
      <c r="I13" s="23">
        <f t="shared" ref="I13:J13" si="6">sum(I14:I15)</f>
        <v>480</v>
      </c>
      <c r="J13" s="23">
        <f t="shared" si="6"/>
        <v>0</v>
      </c>
      <c r="K13" s="23">
        <f t="shared" ref="K13:S13" si="7">sum(K14:K16)</f>
        <v>1270</v>
      </c>
      <c r="L13" s="23">
        <f t="shared" si="7"/>
        <v>1270</v>
      </c>
      <c r="M13" s="23">
        <f t="shared" si="7"/>
        <v>0</v>
      </c>
      <c r="N13" s="23">
        <f t="shared" si="7"/>
        <v>450</v>
      </c>
      <c r="O13" s="23">
        <f t="shared" si="7"/>
        <v>450</v>
      </c>
      <c r="P13" s="23">
        <f t="shared" si="7"/>
        <v>0</v>
      </c>
      <c r="Q13" s="23">
        <f t="shared" si="7"/>
        <v>1710</v>
      </c>
      <c r="R13" s="23">
        <f t="shared" si="7"/>
        <v>1710</v>
      </c>
      <c r="S13" s="23">
        <f t="shared" si="7"/>
        <v>0</v>
      </c>
      <c r="T13" s="29"/>
      <c r="U13" s="27"/>
      <c r="V13" s="22"/>
      <c r="W13" s="32"/>
    </row>
    <row r="14">
      <c r="A14" s="28" t="s">
        <v>30</v>
      </c>
      <c r="B14" s="29">
        <v>0.0</v>
      </c>
      <c r="C14" s="29">
        <v>0.0</v>
      </c>
      <c r="D14" s="29">
        <v>0.0</v>
      </c>
      <c r="E14" s="29">
        <v>2400.0</v>
      </c>
      <c r="F14" s="29">
        <v>2400.0</v>
      </c>
      <c r="G14" s="29">
        <v>0.0</v>
      </c>
      <c r="H14" s="29">
        <v>480.0</v>
      </c>
      <c r="I14" s="29">
        <v>480.0</v>
      </c>
      <c r="J14" s="29">
        <v>0.0</v>
      </c>
      <c r="K14" s="29">
        <v>1270.0</v>
      </c>
      <c r="L14" s="29">
        <v>1270.0</v>
      </c>
      <c r="M14" s="29">
        <v>0.0</v>
      </c>
      <c r="N14" s="29">
        <v>450.0</v>
      </c>
      <c r="O14" s="29">
        <v>450.0</v>
      </c>
      <c r="P14" s="29">
        <v>0.0</v>
      </c>
      <c r="Q14" s="30">
        <v>1710.0</v>
      </c>
      <c r="R14" s="29">
        <v>1710.0</v>
      </c>
      <c r="S14" s="29">
        <v>0.0</v>
      </c>
      <c r="T14" s="30"/>
      <c r="U14" s="30"/>
      <c r="V14" s="30"/>
      <c r="W14" s="26"/>
    </row>
    <row r="15" outlineLevel="1">
      <c r="A15" s="28" t="s">
        <v>31</v>
      </c>
      <c r="B15" s="29">
        <v>0.0</v>
      </c>
      <c r="C15" s="29">
        <v>0.0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9">
        <v>0.0</v>
      </c>
      <c r="L15" s="29">
        <v>0.0</v>
      </c>
      <c r="M15" s="29">
        <v>0.0</v>
      </c>
      <c r="N15" s="29">
        <v>0.0</v>
      </c>
      <c r="O15" s="29">
        <v>0.0</v>
      </c>
      <c r="P15" s="29">
        <v>0.0</v>
      </c>
      <c r="Q15" s="30">
        <v>0.0</v>
      </c>
      <c r="R15" s="22">
        <v>0.0</v>
      </c>
      <c r="S15" s="22"/>
      <c r="T15" s="22"/>
      <c r="U15" s="27"/>
      <c r="V15" s="22"/>
      <c r="W15" s="32"/>
    </row>
    <row r="16" outlineLevel="1">
      <c r="A16" s="35" t="s">
        <v>33</v>
      </c>
      <c r="B16" s="22">
        <v>0.0</v>
      </c>
      <c r="C16" s="36"/>
      <c r="D16" s="36"/>
      <c r="E16" s="22">
        <v>0.0</v>
      </c>
      <c r="F16" s="22"/>
      <c r="G16" s="22"/>
      <c r="H16" s="22">
        <v>0.0</v>
      </c>
      <c r="I16" s="22"/>
      <c r="J16" s="22"/>
      <c r="K16" s="22">
        <v>0.0</v>
      </c>
      <c r="L16" s="22">
        <v>0.0</v>
      </c>
      <c r="M16" s="22">
        <v>0.0</v>
      </c>
      <c r="N16" s="29">
        <v>0.0</v>
      </c>
      <c r="O16" s="22">
        <v>0.0</v>
      </c>
      <c r="P16" s="22">
        <v>0.0</v>
      </c>
      <c r="Q16" s="30">
        <v>0.0</v>
      </c>
      <c r="R16" s="22">
        <v>0.0</v>
      </c>
      <c r="S16" s="22">
        <v>0.0</v>
      </c>
      <c r="T16" s="22"/>
      <c r="U16" s="27"/>
      <c r="V16" s="22"/>
      <c r="W16" s="32"/>
    </row>
    <row r="17" outlineLevel="1">
      <c r="A17" s="21" t="s">
        <v>34</v>
      </c>
      <c r="B17" s="31">
        <v>0.0</v>
      </c>
      <c r="C17" s="36">
        <v>0.0</v>
      </c>
      <c r="D17" s="36">
        <v>0.0</v>
      </c>
      <c r="E17" s="31">
        <v>0.0</v>
      </c>
      <c r="F17" s="22">
        <v>0.0</v>
      </c>
      <c r="G17" s="31">
        <v>0.0</v>
      </c>
      <c r="H17" s="31">
        <v>0.0</v>
      </c>
      <c r="I17" s="31">
        <v>0.0</v>
      </c>
      <c r="J17" s="31">
        <v>0.0</v>
      </c>
      <c r="K17" s="31">
        <v>0.0</v>
      </c>
      <c r="L17" s="31">
        <v>0.0</v>
      </c>
      <c r="M17" s="31">
        <v>0.0</v>
      </c>
      <c r="N17" s="31">
        <v>0.0</v>
      </c>
      <c r="O17" s="31">
        <v>0.0</v>
      </c>
      <c r="P17" s="31">
        <v>0.0</v>
      </c>
      <c r="Q17" s="31">
        <v>0.0</v>
      </c>
      <c r="R17" s="31">
        <v>0.0</v>
      </c>
      <c r="S17" s="31">
        <v>0.0</v>
      </c>
      <c r="T17" s="22"/>
      <c r="U17" s="27"/>
      <c r="V17" s="22"/>
      <c r="W17" s="32"/>
    </row>
    <row r="18" outlineLevel="1">
      <c r="A18" s="38" t="s">
        <v>35</v>
      </c>
      <c r="B18" s="23">
        <f t="shared" ref="B18:S18" si="8">sum(B19,B20)</f>
        <v>2560</v>
      </c>
      <c r="C18" s="23">
        <f t="shared" si="8"/>
        <v>0</v>
      </c>
      <c r="D18" s="23">
        <f t="shared" si="8"/>
        <v>2560</v>
      </c>
      <c r="E18" s="23">
        <f t="shared" si="8"/>
        <v>0</v>
      </c>
      <c r="F18" s="23">
        <f t="shared" si="8"/>
        <v>0</v>
      </c>
      <c r="G18" s="23">
        <f t="shared" si="8"/>
        <v>0</v>
      </c>
      <c r="H18" s="23">
        <f t="shared" si="8"/>
        <v>0</v>
      </c>
      <c r="I18" s="23">
        <f t="shared" si="8"/>
        <v>0</v>
      </c>
      <c r="J18" s="23">
        <f t="shared" si="8"/>
        <v>0</v>
      </c>
      <c r="K18" s="23">
        <f t="shared" si="8"/>
        <v>2560</v>
      </c>
      <c r="L18" s="23">
        <f t="shared" si="8"/>
        <v>0</v>
      </c>
      <c r="M18" s="23">
        <f t="shared" si="8"/>
        <v>2560</v>
      </c>
      <c r="N18" s="23">
        <f t="shared" si="8"/>
        <v>2560</v>
      </c>
      <c r="O18" s="23">
        <f t="shared" si="8"/>
        <v>0</v>
      </c>
      <c r="P18" s="23">
        <f t="shared" si="8"/>
        <v>2560</v>
      </c>
      <c r="Q18" s="23">
        <f t="shared" si="8"/>
        <v>1920</v>
      </c>
      <c r="R18" s="23">
        <f t="shared" si="8"/>
        <v>0</v>
      </c>
      <c r="S18" s="23">
        <f t="shared" si="8"/>
        <v>1920</v>
      </c>
      <c r="T18" s="22"/>
      <c r="U18" s="27"/>
      <c r="V18" s="22"/>
      <c r="W18" s="32"/>
    </row>
    <row r="19" outlineLevel="1">
      <c r="A19" s="28" t="s">
        <v>36</v>
      </c>
      <c r="B19" s="29">
        <v>2560.0</v>
      </c>
      <c r="C19" s="29">
        <v>0.0</v>
      </c>
      <c r="D19" s="29">
        <v>2560.0</v>
      </c>
      <c r="E19" s="29">
        <v>0.0</v>
      </c>
      <c r="F19" s="33">
        <v>0.0</v>
      </c>
      <c r="G19" s="33">
        <v>0.0</v>
      </c>
      <c r="H19" s="33">
        <v>0.0</v>
      </c>
      <c r="I19" s="29">
        <v>0.0</v>
      </c>
      <c r="J19" s="29">
        <v>0.0</v>
      </c>
      <c r="K19" s="29">
        <v>2560.0</v>
      </c>
      <c r="L19" s="29">
        <v>0.0</v>
      </c>
      <c r="M19" s="29">
        <v>2560.0</v>
      </c>
      <c r="N19" s="29">
        <v>2560.0</v>
      </c>
      <c r="O19" s="29">
        <v>0.0</v>
      </c>
      <c r="P19" s="29">
        <v>2560.0</v>
      </c>
      <c r="Q19" s="30">
        <v>1920.0</v>
      </c>
      <c r="R19" s="22">
        <v>0.0</v>
      </c>
      <c r="S19" s="22">
        <v>1920.0</v>
      </c>
      <c r="T19" s="22"/>
      <c r="U19" s="27"/>
      <c r="V19" s="22"/>
      <c r="W19" s="32"/>
    </row>
    <row r="20">
      <c r="A20" s="28" t="s">
        <v>37</v>
      </c>
      <c r="B20" s="29">
        <v>0.0</v>
      </c>
      <c r="C20" s="22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9">
        <v>0.0</v>
      </c>
      <c r="J20" s="29">
        <v>0.0</v>
      </c>
      <c r="K20" s="29">
        <v>0.0</v>
      </c>
      <c r="L20" s="29">
        <v>0.0</v>
      </c>
      <c r="M20" s="29">
        <v>0.0</v>
      </c>
      <c r="N20" s="29">
        <v>0.0</v>
      </c>
      <c r="O20" s="29">
        <v>0.0</v>
      </c>
      <c r="P20" s="29">
        <v>0.0</v>
      </c>
      <c r="Q20" s="23">
        <v>0.0</v>
      </c>
      <c r="R20" s="22">
        <v>0.0</v>
      </c>
      <c r="S20" s="22">
        <v>0.0</v>
      </c>
      <c r="T20" s="22"/>
      <c r="U20" s="27"/>
      <c r="V20" s="22"/>
      <c r="W20" s="26"/>
    </row>
    <row r="21">
      <c r="A21" s="40" t="s">
        <v>38</v>
      </c>
      <c r="B21" s="23">
        <f t="shared" ref="B21:S21" si="9">sum(B22:B24)</f>
        <v>8225</v>
      </c>
      <c r="C21" s="23">
        <f t="shared" si="9"/>
        <v>8225</v>
      </c>
      <c r="D21" s="23">
        <f t="shared" si="9"/>
        <v>0</v>
      </c>
      <c r="E21" s="23">
        <f t="shared" si="9"/>
        <v>3925</v>
      </c>
      <c r="F21" s="23">
        <f t="shared" si="9"/>
        <v>3925</v>
      </c>
      <c r="G21" s="23">
        <f t="shared" si="9"/>
        <v>0</v>
      </c>
      <c r="H21" s="23">
        <f t="shared" si="9"/>
        <v>3525</v>
      </c>
      <c r="I21" s="23">
        <f t="shared" si="9"/>
        <v>3525</v>
      </c>
      <c r="J21" s="23">
        <f t="shared" si="9"/>
        <v>0</v>
      </c>
      <c r="K21" s="23">
        <f t="shared" si="9"/>
        <v>1000</v>
      </c>
      <c r="L21" s="23">
        <f t="shared" si="9"/>
        <v>1000</v>
      </c>
      <c r="M21" s="23">
        <f t="shared" si="9"/>
        <v>0</v>
      </c>
      <c r="N21" s="23">
        <f t="shared" si="9"/>
        <v>200</v>
      </c>
      <c r="O21" s="23">
        <f t="shared" si="9"/>
        <v>200</v>
      </c>
      <c r="P21" s="23">
        <f t="shared" si="9"/>
        <v>0</v>
      </c>
      <c r="Q21" s="23">
        <f t="shared" si="9"/>
        <v>175</v>
      </c>
      <c r="R21" s="23">
        <f t="shared" si="9"/>
        <v>175</v>
      </c>
      <c r="S21" s="23">
        <f t="shared" si="9"/>
        <v>0</v>
      </c>
      <c r="T21" s="22"/>
      <c r="U21" s="27"/>
      <c r="V21" s="22"/>
      <c r="W21" s="26"/>
    </row>
    <row r="22">
      <c r="A22" s="28" t="s">
        <v>40</v>
      </c>
      <c r="B22" s="29">
        <v>8225.0</v>
      </c>
      <c r="C22" s="22">
        <v>8225.0</v>
      </c>
      <c r="D22" s="22">
        <v>0.0</v>
      </c>
      <c r="E22" s="22">
        <v>3925.0</v>
      </c>
      <c r="F22" s="22">
        <v>3925.0</v>
      </c>
      <c r="G22" s="22">
        <v>0.0</v>
      </c>
      <c r="H22" s="22">
        <v>3525.0</v>
      </c>
      <c r="I22" s="22">
        <v>3525.0</v>
      </c>
      <c r="J22" s="29">
        <v>0.0</v>
      </c>
      <c r="K22" s="29">
        <v>1000.0</v>
      </c>
      <c r="L22" s="29">
        <v>1000.0</v>
      </c>
      <c r="M22" s="29">
        <v>0.0</v>
      </c>
      <c r="N22" s="29">
        <v>200.0</v>
      </c>
      <c r="O22" s="29">
        <v>200.0</v>
      </c>
      <c r="P22" s="29">
        <v>0.0</v>
      </c>
      <c r="Q22" s="30">
        <v>175.0</v>
      </c>
      <c r="R22" s="22">
        <v>175.0</v>
      </c>
      <c r="S22" s="22">
        <v>0.0</v>
      </c>
      <c r="T22" s="22"/>
      <c r="U22" s="27"/>
      <c r="V22" s="22"/>
      <c r="W22" s="26"/>
    </row>
    <row r="23">
      <c r="A23" s="28" t="s">
        <v>41</v>
      </c>
      <c r="B23" s="30">
        <v>0.0</v>
      </c>
      <c r="C23" s="22">
        <v>0.0</v>
      </c>
      <c r="D23" s="22">
        <v>0.0</v>
      </c>
      <c r="E23" s="22">
        <v>0.0</v>
      </c>
      <c r="F23" s="22">
        <v>0.0</v>
      </c>
      <c r="G23" s="22">
        <v>0.0</v>
      </c>
      <c r="H23" s="22">
        <v>0.0</v>
      </c>
      <c r="I23" s="29">
        <v>0.0</v>
      </c>
      <c r="J23" s="29">
        <v>0.0</v>
      </c>
      <c r="K23" s="29">
        <v>0.0</v>
      </c>
      <c r="L23" s="29">
        <v>0.0</v>
      </c>
      <c r="M23" s="29">
        <v>0.0</v>
      </c>
      <c r="N23" s="29">
        <v>0.0</v>
      </c>
      <c r="O23" s="29">
        <v>0.0</v>
      </c>
      <c r="P23" s="29">
        <v>0.0</v>
      </c>
      <c r="Q23" s="30">
        <v>0.0</v>
      </c>
      <c r="R23" s="22">
        <v>0.0</v>
      </c>
      <c r="S23" s="22">
        <v>0.0</v>
      </c>
      <c r="T23" s="22"/>
      <c r="U23" s="27"/>
      <c r="V23" s="22"/>
      <c r="W23" s="26"/>
    </row>
    <row r="24">
      <c r="A24" s="28" t="s">
        <v>42</v>
      </c>
      <c r="B24" s="29">
        <v>0.0</v>
      </c>
      <c r="C24" s="22">
        <v>0.0</v>
      </c>
      <c r="D24" s="22">
        <v>0.0</v>
      </c>
      <c r="E24" s="22">
        <v>0.0</v>
      </c>
      <c r="F24" s="22">
        <v>0.0</v>
      </c>
      <c r="G24" s="22">
        <v>0.0</v>
      </c>
      <c r="H24" s="22">
        <v>0.0</v>
      </c>
      <c r="I24" s="29">
        <v>0.0</v>
      </c>
      <c r="J24" s="29">
        <v>0.0</v>
      </c>
      <c r="K24" s="29">
        <v>0.0</v>
      </c>
      <c r="L24" s="29">
        <v>0.0</v>
      </c>
      <c r="M24" s="29">
        <v>0.0</v>
      </c>
      <c r="N24" s="29">
        <v>0.0</v>
      </c>
      <c r="O24" s="29">
        <v>0.0</v>
      </c>
      <c r="P24" s="29">
        <v>0.0</v>
      </c>
      <c r="Q24" s="30">
        <v>0.0</v>
      </c>
      <c r="R24" s="22">
        <v>0.0</v>
      </c>
      <c r="S24" s="22">
        <v>0.0</v>
      </c>
      <c r="T24" s="22"/>
      <c r="U24" s="27"/>
      <c r="V24" s="22"/>
      <c r="W24" s="26"/>
    </row>
    <row r="25">
      <c r="A25" s="42" t="s">
        <v>44</v>
      </c>
      <c r="B25" s="23">
        <v>0.0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3">
        <v>0.0</v>
      </c>
      <c r="K25" s="23">
        <v>0.0</v>
      </c>
      <c r="L25" s="23">
        <v>0.0</v>
      </c>
      <c r="M25" s="23">
        <v>0.0</v>
      </c>
      <c r="N25" s="23">
        <v>0.0</v>
      </c>
      <c r="O25" s="23">
        <v>0.0</v>
      </c>
      <c r="P25" s="23">
        <v>0.0</v>
      </c>
      <c r="Q25" s="23">
        <v>0.0</v>
      </c>
      <c r="R25" s="23">
        <v>0.0</v>
      </c>
      <c r="S25" s="23">
        <v>0.0</v>
      </c>
      <c r="T25" s="44"/>
      <c r="U25" s="44"/>
      <c r="V25" s="44"/>
      <c r="W25" s="26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>
      <c r="A26" s="46" t="s">
        <v>45</v>
      </c>
      <c r="B26" s="48">
        <f t="shared" ref="B26:G26" si="10">B3+B13+B17+B18+B21+B25</f>
        <v>183913</v>
      </c>
      <c r="C26" s="48">
        <f t="shared" si="10"/>
        <v>97738</v>
      </c>
      <c r="D26" s="48">
        <f t="shared" si="10"/>
        <v>85218</v>
      </c>
      <c r="E26" s="48">
        <f t="shared" si="10"/>
        <v>247268</v>
      </c>
      <c r="F26" s="48">
        <f t="shared" si="10"/>
        <v>137540</v>
      </c>
      <c r="G26" s="48">
        <f t="shared" si="10"/>
        <v>109728</v>
      </c>
      <c r="H26" s="48">
        <f t="shared" ref="H26:N26" si="11">H4+H10+H13+H17+H18+H21+H25</f>
        <v>199285</v>
      </c>
      <c r="I26" s="48">
        <f t="shared" si="11"/>
        <v>107239</v>
      </c>
      <c r="J26" s="48">
        <f t="shared" si="11"/>
        <v>68046</v>
      </c>
      <c r="K26" s="48">
        <f t="shared" si="11"/>
        <v>245199</v>
      </c>
      <c r="L26" s="48">
        <f t="shared" si="11"/>
        <v>133437</v>
      </c>
      <c r="M26" s="48">
        <f t="shared" si="11"/>
        <v>67309</v>
      </c>
      <c r="N26" s="48">
        <f t="shared" si="11"/>
        <v>209847</v>
      </c>
      <c r="O26" s="48">
        <f t="shared" ref="O26:P26" si="12">sum(O3+O13+O17+O18+O21+O25)</f>
        <v>106073</v>
      </c>
      <c r="P26" s="48">
        <f t="shared" si="12"/>
        <v>94374</v>
      </c>
      <c r="Q26" s="48">
        <f t="shared" ref="Q26:S26" si="13">Q4+Q10+Q13+Q17+Q18+Q21+Q25</f>
        <v>187469</v>
      </c>
      <c r="R26" s="48">
        <f t="shared" si="13"/>
        <v>102755</v>
      </c>
      <c r="S26" s="48">
        <f t="shared" si="13"/>
        <v>84714</v>
      </c>
      <c r="T26" s="49"/>
      <c r="U26" s="50"/>
      <c r="V26" s="49"/>
    </row>
    <row r="27">
      <c r="A27" s="51" t="s">
        <v>47</v>
      </c>
      <c r="B27" s="52">
        <f t="shared" ref="B27:H27" si="14">B26-(B26/1.18)</f>
        <v>28054.52542</v>
      </c>
      <c r="C27" s="52">
        <f t="shared" si="14"/>
        <v>14909.18644</v>
      </c>
      <c r="D27" s="52">
        <f t="shared" si="14"/>
        <v>12999.35593</v>
      </c>
      <c r="E27" s="52">
        <f t="shared" si="14"/>
        <v>37718.84746</v>
      </c>
      <c r="F27" s="52">
        <f t="shared" si="14"/>
        <v>20980.67797</v>
      </c>
      <c r="G27" s="52">
        <f t="shared" si="14"/>
        <v>16738.16949</v>
      </c>
      <c r="H27" s="52">
        <f t="shared" si="14"/>
        <v>30399.40678</v>
      </c>
      <c r="I27" s="54"/>
      <c r="J27" s="54"/>
      <c r="K27" s="52">
        <f>K26-(K26/1.18)</f>
        <v>37403.23729</v>
      </c>
      <c r="L27" s="59"/>
      <c r="M27" s="59"/>
      <c r="N27" s="52">
        <f>N26-(N26/1.18)</f>
        <v>32010.55932</v>
      </c>
      <c r="O27" s="59"/>
      <c r="P27" s="59"/>
      <c r="Q27" s="52">
        <f>Q26-(Q26/1.18)</f>
        <v>28596.9661</v>
      </c>
      <c r="R27" s="59"/>
      <c r="S27" s="59"/>
      <c r="T27" s="59"/>
      <c r="U27" s="59"/>
      <c r="V27" s="59"/>
    </row>
    <row r="28">
      <c r="A28" s="55" t="s">
        <v>49</v>
      </c>
      <c r="B28" s="52">
        <f t="shared" ref="B28:E28" si="15">B26-B27</f>
        <v>155858.4746</v>
      </c>
      <c r="C28" s="52">
        <f t="shared" si="15"/>
        <v>82828.81356</v>
      </c>
      <c r="D28" s="52">
        <f t="shared" si="15"/>
        <v>72218.64407</v>
      </c>
      <c r="E28" s="52">
        <f t="shared" si="15"/>
        <v>209549.1525</v>
      </c>
      <c r="F28" s="60">
        <v>13785.0</v>
      </c>
      <c r="G28" s="52">
        <f t="shared" ref="G28:H28" si="16">G26-G27</f>
        <v>92989.83051</v>
      </c>
      <c r="H28" s="52">
        <f t="shared" si="16"/>
        <v>168885.5932</v>
      </c>
      <c r="I28" s="54"/>
      <c r="J28" s="54"/>
      <c r="K28" s="52">
        <f>K26-K27</f>
        <v>207795.7627</v>
      </c>
      <c r="L28" s="54"/>
      <c r="M28" s="54"/>
      <c r="N28" s="52">
        <f>N26-N27</f>
        <v>177836.4407</v>
      </c>
      <c r="O28" s="54"/>
      <c r="P28" s="54"/>
      <c r="Q28" s="52">
        <f>Q26-Q27</f>
        <v>158872.0339</v>
      </c>
      <c r="R28" s="54"/>
      <c r="S28" s="54"/>
      <c r="T28" s="54"/>
      <c r="U28" s="54"/>
      <c r="V28" s="54"/>
    </row>
    <row r="29">
      <c r="C29" s="18"/>
      <c r="D29" s="18"/>
      <c r="E29" s="18"/>
      <c r="F29" s="56"/>
      <c r="G29" s="56"/>
      <c r="H29" s="56"/>
    </row>
    <row r="30">
      <c r="C30" s="18"/>
      <c r="D30" s="18"/>
      <c r="E30" s="18"/>
      <c r="F30" s="56"/>
      <c r="G30" s="56"/>
      <c r="H30" s="56"/>
    </row>
    <row r="31">
      <c r="C31" s="18"/>
      <c r="D31" s="18"/>
      <c r="E31" s="18"/>
      <c r="F31" s="56"/>
      <c r="G31" s="56"/>
      <c r="H31" s="56"/>
    </row>
    <row r="32">
      <c r="C32" s="18"/>
      <c r="D32" s="18"/>
      <c r="E32" s="18"/>
      <c r="F32" s="56"/>
      <c r="G32" s="56"/>
      <c r="H32" s="56"/>
    </row>
    <row r="33">
      <c r="C33" s="18"/>
      <c r="D33" s="18"/>
      <c r="E33" s="18"/>
      <c r="F33" s="56"/>
      <c r="G33" s="56"/>
      <c r="H33" s="56"/>
    </row>
    <row r="34">
      <c r="C34" s="58"/>
      <c r="D34" s="58"/>
      <c r="E34" s="58"/>
    </row>
    <row r="35">
      <c r="C35" s="58"/>
      <c r="D35" s="58"/>
      <c r="E35" s="58"/>
    </row>
    <row r="36">
      <c r="C36" s="58"/>
      <c r="D36" s="58"/>
      <c r="E36" s="58"/>
    </row>
    <row r="37">
      <c r="C37" s="58"/>
      <c r="D37" s="58"/>
      <c r="E37" s="58"/>
    </row>
    <row r="38">
      <c r="C38" s="58"/>
      <c r="D38" s="58"/>
      <c r="E38" s="58"/>
    </row>
    <row r="39">
      <c r="C39" s="58"/>
      <c r="D39" s="58"/>
      <c r="E39" s="58"/>
    </row>
    <row r="40">
      <c r="C40" s="58"/>
      <c r="D40" s="58"/>
      <c r="E40" s="58"/>
    </row>
    <row r="41">
      <c r="C41" s="58"/>
      <c r="D41" s="58"/>
      <c r="E41" s="58"/>
    </row>
    <row r="42">
      <c r="C42" s="58"/>
      <c r="D42" s="58"/>
      <c r="E42" s="58"/>
    </row>
    <row r="43">
      <c r="C43" s="58"/>
      <c r="D43" s="58"/>
      <c r="E43" s="58"/>
    </row>
    <row r="44">
      <c r="C44" s="58"/>
      <c r="D44" s="58"/>
      <c r="E44" s="58"/>
    </row>
    <row r="45">
      <c r="C45" s="58"/>
      <c r="D45" s="58"/>
      <c r="E45" s="58"/>
    </row>
    <row r="46">
      <c r="C46" s="58"/>
      <c r="D46" s="58"/>
      <c r="E46" s="58"/>
    </row>
    <row r="47">
      <c r="C47" s="58"/>
      <c r="D47" s="58"/>
      <c r="E47" s="58"/>
    </row>
    <row r="48">
      <c r="C48" s="58"/>
      <c r="D48" s="58"/>
      <c r="E48" s="58"/>
    </row>
    <row r="49">
      <c r="C49" s="58"/>
      <c r="D49" s="58"/>
      <c r="E49" s="58"/>
    </row>
    <row r="50">
      <c r="C50" s="58"/>
      <c r="D50" s="58"/>
      <c r="E50" s="58"/>
    </row>
    <row r="51">
      <c r="C51" s="58"/>
      <c r="D51" s="58"/>
      <c r="E51" s="58"/>
    </row>
    <row r="52">
      <c r="C52" s="58"/>
      <c r="D52" s="58"/>
      <c r="E52" s="58"/>
    </row>
    <row r="53">
      <c r="C53" s="58"/>
      <c r="D53" s="58"/>
      <c r="E53" s="58"/>
    </row>
    <row r="54">
      <c r="C54" s="58"/>
      <c r="D54" s="58"/>
      <c r="E54" s="58"/>
    </row>
    <row r="55">
      <c r="C55" s="58"/>
      <c r="D55" s="58"/>
      <c r="E55" s="58"/>
    </row>
    <row r="56">
      <c r="C56" s="58"/>
      <c r="D56" s="58"/>
      <c r="E56" s="58"/>
    </row>
    <row r="57">
      <c r="C57" s="58"/>
      <c r="D57" s="58"/>
      <c r="E57" s="58"/>
    </row>
    <row r="58">
      <c r="C58" s="58"/>
      <c r="D58" s="58"/>
      <c r="E58" s="58"/>
    </row>
    <row r="59">
      <c r="C59" s="58"/>
      <c r="D59" s="58"/>
      <c r="E59" s="58"/>
    </row>
    <row r="60">
      <c r="C60" s="58"/>
      <c r="D60" s="58"/>
      <c r="E60" s="58"/>
    </row>
    <row r="61">
      <c r="C61" s="58"/>
      <c r="D61" s="58"/>
      <c r="E61" s="58"/>
    </row>
    <row r="62">
      <c r="C62" s="58"/>
      <c r="D62" s="58"/>
      <c r="E62" s="58"/>
    </row>
    <row r="63">
      <c r="C63" s="58"/>
      <c r="D63" s="58"/>
      <c r="E63" s="58"/>
    </row>
    <row r="64">
      <c r="C64" s="58"/>
      <c r="D64" s="58"/>
      <c r="E64" s="58"/>
    </row>
    <row r="65">
      <c r="C65" s="58"/>
      <c r="D65" s="58"/>
      <c r="E65" s="58"/>
    </row>
    <row r="66">
      <c r="C66" s="58"/>
      <c r="D66" s="58"/>
      <c r="E66" s="58"/>
    </row>
    <row r="67">
      <c r="C67" s="58"/>
      <c r="D67" s="58"/>
      <c r="E67" s="58"/>
    </row>
    <row r="68">
      <c r="C68" s="58"/>
      <c r="D68" s="58"/>
      <c r="E68" s="58"/>
    </row>
    <row r="69">
      <c r="C69" s="58"/>
      <c r="D69" s="58"/>
      <c r="E69" s="58"/>
    </row>
    <row r="70">
      <c r="C70" s="58"/>
      <c r="D70" s="58"/>
      <c r="E70" s="58"/>
    </row>
    <row r="71">
      <c r="C71" s="58"/>
      <c r="D71" s="58"/>
      <c r="E71" s="58"/>
    </row>
    <row r="72">
      <c r="C72" s="58"/>
      <c r="D72" s="58"/>
      <c r="E72" s="58"/>
    </row>
    <row r="73">
      <c r="C73" s="58"/>
      <c r="D73" s="58"/>
      <c r="E73" s="58"/>
    </row>
    <row r="74">
      <c r="C74" s="58"/>
      <c r="D74" s="58"/>
      <c r="E74" s="58"/>
    </row>
    <row r="75">
      <c r="C75" s="58"/>
      <c r="D75" s="58"/>
      <c r="E75" s="58"/>
    </row>
    <row r="76">
      <c r="C76" s="58"/>
      <c r="D76" s="58"/>
      <c r="E76" s="58"/>
    </row>
    <row r="77">
      <c r="C77" s="58"/>
      <c r="D77" s="58"/>
      <c r="E77" s="58"/>
    </row>
    <row r="78">
      <c r="C78" s="58"/>
      <c r="D78" s="58"/>
      <c r="E78" s="58"/>
    </row>
    <row r="79">
      <c r="C79" s="58"/>
      <c r="D79" s="58"/>
      <c r="E79" s="58"/>
    </row>
    <row r="80">
      <c r="C80" s="58"/>
      <c r="D80" s="58"/>
      <c r="E80" s="58"/>
    </row>
    <row r="81">
      <c r="C81" s="58"/>
      <c r="D81" s="58"/>
      <c r="E81" s="58"/>
    </row>
    <row r="82">
      <c r="C82" s="58"/>
      <c r="D82" s="58"/>
      <c r="E82" s="58"/>
    </row>
    <row r="83">
      <c r="C83" s="58"/>
      <c r="D83" s="58"/>
      <c r="E83" s="58"/>
    </row>
    <row r="84">
      <c r="C84" s="58"/>
      <c r="D84" s="58"/>
      <c r="E84" s="58"/>
    </row>
    <row r="85">
      <c r="C85" s="58"/>
      <c r="D85" s="58"/>
      <c r="E85" s="58"/>
    </row>
    <row r="86">
      <c r="C86" s="58"/>
      <c r="D86" s="58"/>
      <c r="E86" s="58"/>
    </row>
    <row r="87">
      <c r="C87" s="58"/>
      <c r="D87" s="58"/>
      <c r="E87" s="58"/>
    </row>
    <row r="88">
      <c r="C88" s="58"/>
      <c r="D88" s="58"/>
      <c r="E88" s="58"/>
    </row>
    <row r="89">
      <c r="C89" s="58"/>
      <c r="D89" s="58"/>
      <c r="E89" s="58"/>
    </row>
    <row r="90">
      <c r="C90" s="58"/>
      <c r="D90" s="58"/>
      <c r="E90" s="58"/>
    </row>
    <row r="91">
      <c r="C91" s="58"/>
      <c r="D91" s="58"/>
      <c r="E91" s="58"/>
    </row>
    <row r="92">
      <c r="C92" s="58"/>
      <c r="D92" s="58"/>
      <c r="E92" s="58"/>
    </row>
    <row r="93">
      <c r="C93" s="58"/>
      <c r="D93" s="58"/>
      <c r="E93" s="58"/>
    </row>
    <row r="94">
      <c r="C94" s="58"/>
      <c r="D94" s="58"/>
      <c r="E94" s="58"/>
    </row>
    <row r="95">
      <c r="C95" s="58"/>
      <c r="D95" s="58"/>
      <c r="E95" s="58"/>
    </row>
    <row r="96">
      <c r="C96" s="58"/>
      <c r="D96" s="58"/>
      <c r="E96" s="58"/>
    </row>
    <row r="97">
      <c r="C97" s="58"/>
      <c r="D97" s="58"/>
      <c r="E97" s="58"/>
    </row>
    <row r="98">
      <c r="C98" s="58"/>
      <c r="D98" s="58"/>
      <c r="E98" s="58"/>
    </row>
    <row r="99">
      <c r="C99" s="58"/>
      <c r="D99" s="58"/>
      <c r="E99" s="58"/>
    </row>
    <row r="100">
      <c r="C100" s="58"/>
      <c r="D100" s="58"/>
      <c r="E100" s="58"/>
    </row>
    <row r="101">
      <c r="C101" s="58"/>
      <c r="D101" s="58"/>
      <c r="E101" s="58"/>
    </row>
    <row r="102">
      <c r="C102" s="58"/>
      <c r="D102" s="58"/>
      <c r="E102" s="58"/>
    </row>
    <row r="103">
      <c r="C103" s="58"/>
      <c r="D103" s="58"/>
      <c r="E103" s="58"/>
    </row>
    <row r="104">
      <c r="C104" s="58"/>
      <c r="D104" s="58"/>
      <c r="E104" s="58"/>
    </row>
    <row r="105">
      <c r="C105" s="58"/>
      <c r="D105" s="58"/>
      <c r="E105" s="58"/>
    </row>
    <row r="106">
      <c r="C106" s="58"/>
      <c r="D106" s="58"/>
      <c r="E106" s="58"/>
    </row>
    <row r="107">
      <c r="C107" s="58"/>
      <c r="D107" s="58"/>
      <c r="E107" s="58"/>
    </row>
    <row r="108">
      <c r="C108" s="58"/>
      <c r="D108" s="58"/>
      <c r="E108" s="58"/>
    </row>
    <row r="109">
      <c r="C109" s="58"/>
      <c r="D109" s="58"/>
      <c r="E109" s="58"/>
    </row>
    <row r="110">
      <c r="C110" s="58"/>
      <c r="D110" s="58"/>
      <c r="E110" s="58"/>
    </row>
    <row r="111">
      <c r="C111" s="58"/>
      <c r="D111" s="58"/>
      <c r="E111" s="58"/>
    </row>
    <row r="112">
      <c r="C112" s="58"/>
      <c r="D112" s="58"/>
      <c r="E112" s="58"/>
    </row>
    <row r="113">
      <c r="C113" s="58"/>
      <c r="D113" s="58"/>
      <c r="E113" s="58"/>
    </row>
    <row r="114">
      <c r="C114" s="58"/>
      <c r="D114" s="58"/>
      <c r="E114" s="58"/>
    </row>
    <row r="115">
      <c r="C115" s="58"/>
      <c r="D115" s="58"/>
      <c r="E115" s="58"/>
    </row>
    <row r="116">
      <c r="C116" s="58"/>
      <c r="D116" s="58"/>
      <c r="E116" s="58"/>
    </row>
    <row r="117">
      <c r="C117" s="58"/>
      <c r="D117" s="58"/>
      <c r="E117" s="58"/>
    </row>
    <row r="118">
      <c r="C118" s="58"/>
      <c r="D118" s="58"/>
      <c r="E118" s="58"/>
    </row>
    <row r="119">
      <c r="C119" s="58"/>
      <c r="D119" s="58"/>
      <c r="E119" s="58"/>
    </row>
    <row r="120">
      <c r="C120" s="58"/>
      <c r="D120" s="58"/>
      <c r="E120" s="58"/>
    </row>
    <row r="121">
      <c r="C121" s="58"/>
      <c r="D121" s="58"/>
      <c r="E121" s="58"/>
    </row>
    <row r="122">
      <c r="C122" s="58"/>
      <c r="D122" s="58"/>
      <c r="E122" s="58"/>
    </row>
    <row r="123">
      <c r="C123" s="58"/>
      <c r="D123" s="58"/>
      <c r="E123" s="58"/>
    </row>
    <row r="124">
      <c r="C124" s="58"/>
      <c r="D124" s="58"/>
      <c r="E124" s="58"/>
    </row>
    <row r="125">
      <c r="C125" s="58"/>
      <c r="D125" s="58"/>
      <c r="E125" s="58"/>
    </row>
    <row r="126">
      <c r="C126" s="58"/>
      <c r="D126" s="58"/>
      <c r="E126" s="58"/>
    </row>
    <row r="127">
      <c r="C127" s="58"/>
      <c r="D127" s="58"/>
      <c r="E127" s="58"/>
    </row>
    <row r="128">
      <c r="C128" s="58"/>
      <c r="D128" s="58"/>
      <c r="E128" s="58"/>
    </row>
    <row r="129">
      <c r="C129" s="58"/>
      <c r="D129" s="58"/>
      <c r="E129" s="58"/>
    </row>
    <row r="130">
      <c r="C130" s="58"/>
      <c r="D130" s="58"/>
      <c r="E130" s="58"/>
    </row>
    <row r="131">
      <c r="C131" s="58"/>
      <c r="D131" s="58"/>
      <c r="E131" s="58"/>
    </row>
    <row r="132">
      <c r="C132" s="58"/>
      <c r="D132" s="58"/>
      <c r="E132" s="58"/>
    </row>
    <row r="133">
      <c r="C133" s="58"/>
      <c r="D133" s="58"/>
      <c r="E133" s="58"/>
    </row>
    <row r="134">
      <c r="C134" s="58"/>
      <c r="D134" s="58"/>
      <c r="E134" s="58"/>
    </row>
    <row r="135">
      <c r="C135" s="58"/>
      <c r="D135" s="58"/>
      <c r="E135" s="58"/>
    </row>
    <row r="136">
      <c r="C136" s="58"/>
      <c r="D136" s="58"/>
      <c r="E136" s="58"/>
    </row>
    <row r="137">
      <c r="C137" s="58"/>
      <c r="D137" s="58"/>
      <c r="E137" s="58"/>
    </row>
    <row r="138">
      <c r="C138" s="58"/>
      <c r="D138" s="58"/>
      <c r="E138" s="58"/>
    </row>
    <row r="139">
      <c r="C139" s="58"/>
      <c r="D139" s="58"/>
      <c r="E139" s="58"/>
    </row>
    <row r="140">
      <c r="C140" s="58"/>
      <c r="D140" s="58"/>
      <c r="E140" s="58"/>
    </row>
    <row r="141">
      <c r="C141" s="58"/>
      <c r="D141" s="58"/>
      <c r="E141" s="58"/>
    </row>
    <row r="142">
      <c r="C142" s="58"/>
      <c r="D142" s="58"/>
      <c r="E142" s="58"/>
    </row>
    <row r="143">
      <c r="C143" s="58"/>
      <c r="D143" s="58"/>
      <c r="E143" s="58"/>
    </row>
    <row r="144">
      <c r="C144" s="58"/>
      <c r="D144" s="58"/>
      <c r="E144" s="58"/>
    </row>
    <row r="145">
      <c r="C145" s="58"/>
      <c r="D145" s="58"/>
      <c r="E145" s="58"/>
    </row>
    <row r="146">
      <c r="C146" s="58"/>
      <c r="D146" s="58"/>
      <c r="E146" s="58"/>
    </row>
    <row r="147">
      <c r="C147" s="58"/>
      <c r="D147" s="58"/>
      <c r="E147" s="58"/>
    </row>
    <row r="148">
      <c r="C148" s="58"/>
      <c r="D148" s="58"/>
      <c r="E148" s="58"/>
    </row>
    <row r="149">
      <c r="C149" s="58"/>
      <c r="D149" s="58"/>
      <c r="E149" s="58"/>
    </row>
    <row r="150">
      <c r="C150" s="58"/>
      <c r="D150" s="58"/>
      <c r="E150" s="58"/>
    </row>
    <row r="151">
      <c r="C151" s="58"/>
      <c r="D151" s="58"/>
      <c r="E151" s="58"/>
    </row>
    <row r="152">
      <c r="C152" s="58"/>
      <c r="D152" s="58"/>
      <c r="E152" s="58"/>
    </row>
    <row r="153">
      <c r="C153" s="58"/>
      <c r="D153" s="58"/>
      <c r="E153" s="58"/>
    </row>
    <row r="154">
      <c r="C154" s="58"/>
      <c r="D154" s="58"/>
      <c r="E154" s="58"/>
    </row>
    <row r="155">
      <c r="C155" s="58"/>
      <c r="D155" s="58"/>
      <c r="E155" s="58"/>
    </row>
    <row r="156">
      <c r="C156" s="58"/>
      <c r="D156" s="58"/>
      <c r="E156" s="58"/>
    </row>
    <row r="157">
      <c r="C157" s="58"/>
      <c r="D157" s="58"/>
      <c r="E157" s="58"/>
    </row>
    <row r="158">
      <c r="C158" s="58"/>
      <c r="D158" s="58"/>
      <c r="E158" s="58"/>
    </row>
    <row r="159">
      <c r="C159" s="58"/>
      <c r="D159" s="58"/>
      <c r="E159" s="58"/>
    </row>
    <row r="160">
      <c r="C160" s="58"/>
      <c r="D160" s="58"/>
      <c r="E160" s="58"/>
    </row>
    <row r="161">
      <c r="C161" s="58"/>
      <c r="D161" s="58"/>
      <c r="E161" s="58"/>
    </row>
    <row r="162">
      <c r="C162" s="58"/>
      <c r="D162" s="58"/>
      <c r="E162" s="58"/>
    </row>
    <row r="163">
      <c r="C163" s="58"/>
      <c r="D163" s="58"/>
      <c r="E163" s="58"/>
    </row>
    <row r="164">
      <c r="C164" s="58"/>
      <c r="D164" s="58"/>
      <c r="E164" s="58"/>
    </row>
    <row r="165">
      <c r="C165" s="58"/>
      <c r="D165" s="58"/>
      <c r="E165" s="58"/>
    </row>
    <row r="166">
      <c r="C166" s="58"/>
      <c r="D166" s="58"/>
      <c r="E166" s="58"/>
    </row>
    <row r="167">
      <c r="C167" s="58"/>
      <c r="D167" s="58"/>
      <c r="E167" s="58"/>
    </row>
    <row r="168">
      <c r="C168" s="58"/>
      <c r="D168" s="58"/>
      <c r="E168" s="58"/>
    </row>
    <row r="169">
      <c r="C169" s="58"/>
      <c r="D169" s="58"/>
      <c r="E169" s="58"/>
    </row>
    <row r="170">
      <c r="C170" s="58"/>
      <c r="D170" s="58"/>
      <c r="E170" s="58"/>
    </row>
    <row r="171">
      <c r="C171" s="58"/>
      <c r="D171" s="58"/>
      <c r="E171" s="58"/>
    </row>
    <row r="172">
      <c r="C172" s="58"/>
      <c r="D172" s="58"/>
      <c r="E172" s="58"/>
    </row>
    <row r="173">
      <c r="C173" s="58"/>
      <c r="D173" s="58"/>
      <c r="E173" s="58"/>
    </row>
    <row r="174">
      <c r="C174" s="58"/>
      <c r="D174" s="58"/>
      <c r="E174" s="58"/>
    </row>
    <row r="175">
      <c r="C175" s="58"/>
      <c r="D175" s="58"/>
      <c r="E175" s="58"/>
    </row>
    <row r="176">
      <c r="C176" s="58"/>
      <c r="D176" s="58"/>
      <c r="E176" s="58"/>
    </row>
    <row r="177">
      <c r="C177" s="58"/>
      <c r="D177" s="58"/>
      <c r="E177" s="58"/>
    </row>
    <row r="178">
      <c r="C178" s="58"/>
      <c r="D178" s="58"/>
      <c r="E178" s="58"/>
    </row>
    <row r="179">
      <c r="C179" s="58"/>
      <c r="D179" s="58"/>
      <c r="E179" s="58"/>
    </row>
    <row r="180">
      <c r="C180" s="58"/>
      <c r="D180" s="58"/>
      <c r="E180" s="58"/>
    </row>
    <row r="181">
      <c r="C181" s="58"/>
      <c r="D181" s="58"/>
      <c r="E181" s="58"/>
    </row>
    <row r="182">
      <c r="C182" s="58"/>
      <c r="D182" s="58"/>
      <c r="E182" s="58"/>
    </row>
    <row r="183">
      <c r="C183" s="58"/>
      <c r="D183" s="58"/>
      <c r="E183" s="58"/>
    </row>
    <row r="184">
      <c r="C184" s="58"/>
      <c r="D184" s="58"/>
      <c r="E184" s="58"/>
    </row>
    <row r="185">
      <c r="C185" s="58"/>
      <c r="D185" s="58"/>
      <c r="E185" s="58"/>
    </row>
    <row r="186">
      <c r="C186" s="58"/>
      <c r="D186" s="58"/>
      <c r="E186" s="58"/>
    </row>
    <row r="187">
      <c r="C187" s="58"/>
      <c r="D187" s="58"/>
      <c r="E187" s="58"/>
    </row>
    <row r="188">
      <c r="C188" s="58"/>
      <c r="D188" s="58"/>
      <c r="E188" s="58"/>
    </row>
    <row r="189">
      <c r="C189" s="58"/>
      <c r="D189" s="58"/>
      <c r="E189" s="58"/>
    </row>
    <row r="190">
      <c r="C190" s="58"/>
      <c r="D190" s="58"/>
      <c r="E190" s="58"/>
    </row>
    <row r="191">
      <c r="C191" s="58"/>
      <c r="D191" s="58"/>
      <c r="E191" s="58"/>
    </row>
    <row r="192">
      <c r="C192" s="58"/>
      <c r="D192" s="58"/>
      <c r="E192" s="58"/>
    </row>
    <row r="193">
      <c r="C193" s="58"/>
      <c r="D193" s="58"/>
      <c r="E193" s="58"/>
    </row>
    <row r="194">
      <c r="C194" s="58"/>
      <c r="D194" s="58"/>
      <c r="E194" s="58"/>
    </row>
    <row r="195">
      <c r="C195" s="58"/>
      <c r="D195" s="58"/>
      <c r="E195" s="58"/>
    </row>
    <row r="196">
      <c r="C196" s="58"/>
      <c r="D196" s="58"/>
      <c r="E196" s="58"/>
    </row>
    <row r="197">
      <c r="C197" s="58"/>
      <c r="D197" s="58"/>
      <c r="E197" s="58"/>
    </row>
    <row r="198">
      <c r="C198" s="58"/>
      <c r="D198" s="58"/>
      <c r="E198" s="58"/>
    </row>
    <row r="199">
      <c r="C199" s="58"/>
      <c r="D199" s="58"/>
      <c r="E199" s="58"/>
    </row>
    <row r="200">
      <c r="C200" s="58"/>
      <c r="D200" s="58"/>
      <c r="E200" s="58"/>
    </row>
    <row r="201">
      <c r="C201" s="58"/>
      <c r="D201" s="58"/>
      <c r="E201" s="58"/>
    </row>
    <row r="202">
      <c r="C202" s="58"/>
      <c r="D202" s="58"/>
      <c r="E202" s="58"/>
    </row>
    <row r="203">
      <c r="C203" s="58"/>
      <c r="D203" s="58"/>
      <c r="E203" s="58"/>
    </row>
    <row r="204">
      <c r="C204" s="58"/>
      <c r="D204" s="58"/>
      <c r="E204" s="58"/>
    </row>
    <row r="205">
      <c r="C205" s="58"/>
      <c r="D205" s="58"/>
      <c r="E205" s="58"/>
    </row>
    <row r="206">
      <c r="C206" s="58"/>
      <c r="D206" s="58"/>
      <c r="E206" s="58"/>
    </row>
    <row r="207">
      <c r="C207" s="58"/>
      <c r="D207" s="58"/>
      <c r="E207" s="58"/>
    </row>
    <row r="208">
      <c r="C208" s="58"/>
      <c r="D208" s="58"/>
      <c r="E208" s="58"/>
    </row>
    <row r="209">
      <c r="C209" s="58"/>
      <c r="D209" s="58"/>
      <c r="E209" s="58"/>
    </row>
    <row r="210">
      <c r="C210" s="58"/>
      <c r="D210" s="58"/>
      <c r="E210" s="58"/>
    </row>
    <row r="211">
      <c r="C211" s="58"/>
      <c r="D211" s="58"/>
      <c r="E211" s="58"/>
    </row>
    <row r="212">
      <c r="C212" s="58"/>
      <c r="D212" s="58"/>
      <c r="E212" s="58"/>
    </row>
    <row r="213">
      <c r="C213" s="58"/>
      <c r="D213" s="58"/>
      <c r="E213" s="58"/>
    </row>
    <row r="214">
      <c r="C214" s="58"/>
      <c r="D214" s="58"/>
      <c r="E214" s="58"/>
    </row>
    <row r="215">
      <c r="C215" s="58"/>
      <c r="D215" s="58"/>
      <c r="E215" s="58"/>
    </row>
    <row r="216">
      <c r="C216" s="58"/>
      <c r="D216" s="58"/>
      <c r="E216" s="58"/>
    </row>
    <row r="217">
      <c r="C217" s="58"/>
      <c r="D217" s="58"/>
      <c r="E217" s="58"/>
    </row>
    <row r="218">
      <c r="C218" s="58"/>
      <c r="D218" s="58"/>
      <c r="E218" s="58"/>
    </row>
    <row r="219">
      <c r="C219" s="58"/>
      <c r="D219" s="58"/>
      <c r="E219" s="58"/>
    </row>
    <row r="220">
      <c r="C220" s="58"/>
      <c r="D220" s="58"/>
      <c r="E220" s="58"/>
    </row>
    <row r="221">
      <c r="C221" s="58"/>
      <c r="D221" s="58"/>
      <c r="E221" s="58"/>
    </row>
    <row r="222">
      <c r="C222" s="58"/>
      <c r="D222" s="58"/>
      <c r="E222" s="58"/>
    </row>
    <row r="223">
      <c r="C223" s="58"/>
      <c r="D223" s="58"/>
      <c r="E223" s="58"/>
    </row>
    <row r="224">
      <c r="C224" s="58"/>
      <c r="D224" s="58"/>
      <c r="E224" s="58"/>
    </row>
    <row r="225">
      <c r="C225" s="58"/>
      <c r="D225" s="58"/>
      <c r="E225" s="58"/>
    </row>
    <row r="226">
      <c r="C226" s="58"/>
      <c r="D226" s="58"/>
      <c r="E226" s="58"/>
    </row>
    <row r="227">
      <c r="C227" s="58"/>
      <c r="D227" s="58"/>
      <c r="E227" s="58"/>
    </row>
    <row r="228">
      <c r="C228" s="58"/>
      <c r="D228" s="58"/>
      <c r="E228" s="58"/>
    </row>
    <row r="229">
      <c r="C229" s="58"/>
      <c r="D229" s="58"/>
      <c r="E229" s="58"/>
    </row>
    <row r="230">
      <c r="C230" s="58"/>
      <c r="D230" s="58"/>
      <c r="E230" s="58"/>
    </row>
    <row r="231">
      <c r="C231" s="58"/>
      <c r="D231" s="58"/>
      <c r="E231" s="58"/>
    </row>
    <row r="232">
      <c r="C232" s="58"/>
      <c r="D232" s="58"/>
      <c r="E232" s="58"/>
    </row>
    <row r="233">
      <c r="C233" s="58"/>
      <c r="D233" s="58"/>
      <c r="E233" s="58"/>
    </row>
    <row r="234">
      <c r="C234" s="58"/>
      <c r="D234" s="58"/>
      <c r="E234" s="58"/>
    </row>
    <row r="235">
      <c r="C235" s="58"/>
      <c r="D235" s="58"/>
      <c r="E235" s="58"/>
    </row>
    <row r="236">
      <c r="C236" s="58"/>
      <c r="D236" s="58"/>
      <c r="E236" s="58"/>
    </row>
    <row r="237">
      <c r="C237" s="58"/>
      <c r="D237" s="58"/>
      <c r="E237" s="58"/>
    </row>
    <row r="238">
      <c r="C238" s="58"/>
      <c r="D238" s="58"/>
      <c r="E238" s="58"/>
    </row>
    <row r="239">
      <c r="C239" s="58"/>
      <c r="D239" s="58"/>
      <c r="E239" s="58"/>
    </row>
    <row r="240">
      <c r="C240" s="58"/>
      <c r="D240" s="58"/>
      <c r="E240" s="58"/>
    </row>
    <row r="241">
      <c r="C241" s="58"/>
      <c r="D241" s="58"/>
      <c r="E241" s="58"/>
    </row>
    <row r="242">
      <c r="C242" s="58"/>
      <c r="D242" s="58"/>
      <c r="E242" s="58"/>
    </row>
    <row r="243">
      <c r="C243" s="58"/>
      <c r="D243" s="58"/>
      <c r="E243" s="58"/>
    </row>
    <row r="244">
      <c r="C244" s="58"/>
      <c r="D244" s="58"/>
      <c r="E244" s="58"/>
    </row>
    <row r="245">
      <c r="C245" s="58"/>
      <c r="D245" s="58"/>
      <c r="E245" s="58"/>
    </row>
    <row r="246">
      <c r="C246" s="58"/>
      <c r="D246" s="58"/>
      <c r="E246" s="58"/>
    </row>
    <row r="247">
      <c r="C247" s="58"/>
      <c r="D247" s="58"/>
      <c r="E247" s="58"/>
    </row>
    <row r="248">
      <c r="C248" s="58"/>
      <c r="D248" s="58"/>
      <c r="E248" s="58"/>
    </row>
    <row r="249">
      <c r="C249" s="58"/>
      <c r="D249" s="58"/>
      <c r="E249" s="58"/>
    </row>
    <row r="250">
      <c r="C250" s="58"/>
      <c r="D250" s="58"/>
      <c r="E250" s="58"/>
    </row>
    <row r="251">
      <c r="C251" s="58"/>
      <c r="D251" s="58"/>
      <c r="E251" s="58"/>
    </row>
    <row r="252">
      <c r="C252" s="58"/>
      <c r="D252" s="58"/>
      <c r="E252" s="58"/>
    </row>
    <row r="253">
      <c r="C253" s="58"/>
      <c r="D253" s="58"/>
      <c r="E253" s="58"/>
    </row>
    <row r="254">
      <c r="C254" s="58"/>
      <c r="D254" s="58"/>
      <c r="E254" s="58"/>
    </row>
    <row r="255">
      <c r="C255" s="58"/>
      <c r="D255" s="58"/>
      <c r="E255" s="58"/>
    </row>
    <row r="256">
      <c r="C256" s="58"/>
      <c r="D256" s="58"/>
      <c r="E256" s="58"/>
    </row>
    <row r="257">
      <c r="C257" s="58"/>
      <c r="D257" s="58"/>
      <c r="E257" s="58"/>
    </row>
    <row r="258">
      <c r="C258" s="58"/>
      <c r="D258" s="58"/>
      <c r="E258" s="58"/>
    </row>
    <row r="259">
      <c r="C259" s="58"/>
      <c r="D259" s="58"/>
      <c r="E259" s="58"/>
    </row>
    <row r="260">
      <c r="C260" s="58"/>
      <c r="D260" s="58"/>
      <c r="E260" s="58"/>
    </row>
    <row r="261">
      <c r="C261" s="58"/>
      <c r="D261" s="58"/>
      <c r="E261" s="58"/>
    </row>
    <row r="262">
      <c r="C262" s="58"/>
      <c r="D262" s="58"/>
      <c r="E262" s="58"/>
    </row>
    <row r="263">
      <c r="C263" s="58"/>
      <c r="D263" s="58"/>
      <c r="E263" s="58"/>
    </row>
    <row r="264">
      <c r="C264" s="58"/>
      <c r="D264" s="58"/>
      <c r="E264" s="58"/>
    </row>
    <row r="265">
      <c r="C265" s="58"/>
      <c r="D265" s="58"/>
      <c r="E265" s="58"/>
    </row>
    <row r="266">
      <c r="C266" s="58"/>
      <c r="D266" s="58"/>
      <c r="E266" s="58"/>
    </row>
    <row r="267">
      <c r="C267" s="58"/>
      <c r="D267" s="58"/>
      <c r="E267" s="58"/>
    </row>
    <row r="268">
      <c r="C268" s="58"/>
      <c r="D268" s="58"/>
      <c r="E268" s="58"/>
    </row>
    <row r="269">
      <c r="C269" s="58"/>
      <c r="D269" s="58"/>
      <c r="E269" s="58"/>
    </row>
    <row r="270">
      <c r="C270" s="58"/>
      <c r="D270" s="58"/>
      <c r="E270" s="58"/>
    </row>
    <row r="271">
      <c r="C271" s="58"/>
      <c r="D271" s="58"/>
      <c r="E271" s="58"/>
    </row>
    <row r="272">
      <c r="C272" s="58"/>
      <c r="D272" s="58"/>
      <c r="E272" s="58"/>
    </row>
    <row r="273">
      <c r="C273" s="58"/>
      <c r="D273" s="58"/>
      <c r="E273" s="58"/>
    </row>
    <row r="274">
      <c r="C274" s="58"/>
      <c r="D274" s="58"/>
      <c r="E274" s="58"/>
    </row>
    <row r="275">
      <c r="C275" s="58"/>
      <c r="D275" s="58"/>
      <c r="E275" s="58"/>
    </row>
    <row r="276">
      <c r="C276" s="58"/>
      <c r="D276" s="58"/>
      <c r="E276" s="58"/>
    </row>
    <row r="277">
      <c r="C277" s="58"/>
      <c r="D277" s="58"/>
      <c r="E277" s="58"/>
    </row>
    <row r="278">
      <c r="C278" s="58"/>
      <c r="D278" s="58"/>
      <c r="E278" s="58"/>
    </row>
    <row r="279">
      <c r="C279" s="58"/>
      <c r="D279" s="58"/>
      <c r="E279" s="58"/>
    </row>
    <row r="280">
      <c r="C280" s="58"/>
      <c r="D280" s="58"/>
      <c r="E280" s="58"/>
    </row>
    <row r="281">
      <c r="C281" s="58"/>
      <c r="D281" s="58"/>
      <c r="E281" s="58"/>
    </row>
    <row r="282">
      <c r="C282" s="58"/>
      <c r="D282" s="58"/>
      <c r="E282" s="58"/>
    </row>
    <row r="283">
      <c r="C283" s="58"/>
      <c r="D283" s="58"/>
      <c r="E283" s="58"/>
    </row>
    <row r="284">
      <c r="C284" s="58"/>
      <c r="D284" s="58"/>
      <c r="E284" s="58"/>
    </row>
    <row r="285">
      <c r="C285" s="58"/>
      <c r="D285" s="58"/>
      <c r="E285" s="58"/>
    </row>
    <row r="286">
      <c r="C286" s="58"/>
      <c r="D286" s="58"/>
      <c r="E286" s="58"/>
    </row>
    <row r="287">
      <c r="C287" s="58"/>
      <c r="D287" s="58"/>
      <c r="E287" s="58"/>
    </row>
    <row r="288">
      <c r="C288" s="58"/>
      <c r="D288" s="58"/>
      <c r="E288" s="58"/>
    </row>
    <row r="289">
      <c r="C289" s="58"/>
      <c r="D289" s="58"/>
      <c r="E289" s="58"/>
    </row>
    <row r="290">
      <c r="C290" s="58"/>
      <c r="D290" s="58"/>
      <c r="E290" s="58"/>
    </row>
    <row r="291">
      <c r="C291" s="58"/>
      <c r="D291" s="58"/>
      <c r="E291" s="58"/>
    </row>
    <row r="292">
      <c r="C292" s="58"/>
      <c r="D292" s="58"/>
      <c r="E292" s="58"/>
    </row>
    <row r="293">
      <c r="C293" s="58"/>
      <c r="D293" s="58"/>
      <c r="E293" s="58"/>
    </row>
    <row r="294">
      <c r="C294" s="58"/>
      <c r="D294" s="58"/>
      <c r="E294" s="58"/>
    </row>
    <row r="295">
      <c r="C295" s="58"/>
      <c r="D295" s="58"/>
      <c r="E295" s="58"/>
    </row>
    <row r="296">
      <c r="C296" s="58"/>
      <c r="D296" s="58"/>
      <c r="E296" s="58"/>
    </row>
    <row r="297">
      <c r="C297" s="58"/>
      <c r="D297" s="58"/>
      <c r="E297" s="58"/>
    </row>
    <row r="298">
      <c r="C298" s="58"/>
      <c r="D298" s="58"/>
      <c r="E298" s="58"/>
    </row>
    <row r="299">
      <c r="C299" s="58"/>
      <c r="D299" s="58"/>
      <c r="E299" s="58"/>
    </row>
    <row r="300">
      <c r="C300" s="58"/>
      <c r="D300" s="58"/>
      <c r="E300" s="58"/>
    </row>
    <row r="301">
      <c r="C301" s="58"/>
      <c r="D301" s="58"/>
      <c r="E301" s="58"/>
    </row>
    <row r="302">
      <c r="C302" s="58"/>
      <c r="D302" s="58"/>
      <c r="E302" s="58"/>
    </row>
    <row r="303">
      <c r="C303" s="58"/>
      <c r="D303" s="58"/>
      <c r="E303" s="58"/>
    </row>
    <row r="304">
      <c r="C304" s="58"/>
      <c r="D304" s="58"/>
      <c r="E304" s="58"/>
    </row>
    <row r="305">
      <c r="C305" s="58"/>
      <c r="D305" s="58"/>
      <c r="E305" s="58"/>
    </row>
    <row r="306">
      <c r="C306" s="58"/>
      <c r="D306" s="58"/>
      <c r="E306" s="58"/>
    </row>
    <row r="307">
      <c r="C307" s="58"/>
      <c r="D307" s="58"/>
      <c r="E307" s="58"/>
    </row>
    <row r="308">
      <c r="C308" s="58"/>
      <c r="D308" s="58"/>
      <c r="E308" s="58"/>
    </row>
    <row r="309">
      <c r="C309" s="58"/>
      <c r="D309" s="58"/>
      <c r="E309" s="58"/>
    </row>
    <row r="310">
      <c r="C310" s="58"/>
      <c r="D310" s="58"/>
      <c r="E310" s="58"/>
    </row>
    <row r="311">
      <c r="C311" s="58"/>
      <c r="D311" s="58"/>
      <c r="E311" s="58"/>
    </row>
    <row r="312">
      <c r="C312" s="58"/>
      <c r="D312" s="58"/>
      <c r="E312" s="58"/>
    </row>
    <row r="313">
      <c r="C313" s="58"/>
      <c r="D313" s="58"/>
      <c r="E313" s="58"/>
    </row>
    <row r="314">
      <c r="C314" s="58"/>
      <c r="D314" s="58"/>
      <c r="E314" s="58"/>
    </row>
    <row r="315">
      <c r="C315" s="58"/>
      <c r="D315" s="58"/>
      <c r="E315" s="58"/>
    </row>
    <row r="316">
      <c r="C316" s="58"/>
      <c r="D316" s="58"/>
      <c r="E316" s="58"/>
    </row>
    <row r="317">
      <c r="C317" s="58"/>
      <c r="D317" s="58"/>
      <c r="E317" s="58"/>
    </row>
    <row r="318">
      <c r="C318" s="58"/>
      <c r="D318" s="58"/>
      <c r="E318" s="58"/>
    </row>
    <row r="319">
      <c r="C319" s="58"/>
      <c r="D319" s="58"/>
      <c r="E319" s="58"/>
    </row>
    <row r="320">
      <c r="C320" s="58"/>
      <c r="D320" s="58"/>
      <c r="E320" s="58"/>
    </row>
    <row r="321">
      <c r="C321" s="58"/>
      <c r="D321" s="58"/>
      <c r="E321" s="58"/>
    </row>
    <row r="322">
      <c r="C322" s="58"/>
      <c r="D322" s="58"/>
      <c r="E322" s="58"/>
    </row>
    <row r="323">
      <c r="C323" s="58"/>
      <c r="D323" s="58"/>
      <c r="E323" s="58"/>
    </row>
    <row r="324">
      <c r="C324" s="58"/>
      <c r="D324" s="58"/>
      <c r="E324" s="58"/>
    </row>
    <row r="325">
      <c r="C325" s="58"/>
      <c r="D325" s="58"/>
      <c r="E325" s="58"/>
    </row>
    <row r="326">
      <c r="C326" s="58"/>
      <c r="D326" s="58"/>
      <c r="E326" s="58"/>
    </row>
    <row r="327">
      <c r="C327" s="58"/>
      <c r="D327" s="58"/>
      <c r="E327" s="58"/>
    </row>
    <row r="328">
      <c r="C328" s="58"/>
      <c r="D328" s="58"/>
      <c r="E328" s="58"/>
    </row>
    <row r="329">
      <c r="C329" s="58"/>
      <c r="D329" s="58"/>
      <c r="E329" s="58"/>
    </row>
    <row r="330">
      <c r="C330" s="58"/>
      <c r="D330" s="58"/>
      <c r="E330" s="58"/>
    </row>
    <row r="331">
      <c r="C331" s="58"/>
      <c r="D331" s="58"/>
      <c r="E331" s="58"/>
    </row>
    <row r="332">
      <c r="C332" s="58"/>
      <c r="D332" s="58"/>
      <c r="E332" s="58"/>
    </row>
    <row r="333">
      <c r="C333" s="58"/>
      <c r="D333" s="58"/>
      <c r="E333" s="58"/>
    </row>
    <row r="334">
      <c r="C334" s="58"/>
      <c r="D334" s="58"/>
      <c r="E334" s="58"/>
    </row>
    <row r="335">
      <c r="C335" s="58"/>
      <c r="D335" s="58"/>
      <c r="E335" s="58"/>
    </row>
    <row r="336">
      <c r="C336" s="58"/>
      <c r="D336" s="58"/>
      <c r="E336" s="58"/>
    </row>
    <row r="337">
      <c r="C337" s="58"/>
      <c r="D337" s="58"/>
      <c r="E337" s="58"/>
    </row>
    <row r="338">
      <c r="C338" s="58"/>
      <c r="D338" s="58"/>
      <c r="E338" s="58"/>
    </row>
    <row r="339">
      <c r="C339" s="58"/>
      <c r="D339" s="58"/>
      <c r="E339" s="58"/>
    </row>
    <row r="340">
      <c r="C340" s="58"/>
      <c r="D340" s="58"/>
      <c r="E340" s="58"/>
    </row>
    <row r="341">
      <c r="C341" s="58"/>
      <c r="D341" s="58"/>
      <c r="E341" s="58"/>
    </row>
    <row r="342">
      <c r="C342" s="58"/>
      <c r="D342" s="58"/>
      <c r="E342" s="58"/>
    </row>
    <row r="343">
      <c r="C343" s="58"/>
      <c r="D343" s="58"/>
      <c r="E343" s="58"/>
    </row>
    <row r="344">
      <c r="C344" s="58"/>
      <c r="D344" s="58"/>
      <c r="E344" s="58"/>
    </row>
    <row r="345">
      <c r="C345" s="58"/>
      <c r="D345" s="58"/>
      <c r="E345" s="58"/>
    </row>
    <row r="346">
      <c r="C346" s="58"/>
      <c r="D346" s="58"/>
      <c r="E346" s="58"/>
    </row>
    <row r="347">
      <c r="C347" s="58"/>
      <c r="D347" s="58"/>
      <c r="E347" s="58"/>
    </row>
    <row r="348">
      <c r="C348" s="58"/>
      <c r="D348" s="58"/>
      <c r="E348" s="58"/>
    </row>
    <row r="349">
      <c r="C349" s="58"/>
      <c r="D349" s="58"/>
      <c r="E349" s="58"/>
    </row>
    <row r="350">
      <c r="C350" s="58"/>
      <c r="D350" s="58"/>
      <c r="E350" s="58"/>
    </row>
    <row r="351">
      <c r="C351" s="58"/>
      <c r="D351" s="58"/>
      <c r="E351" s="58"/>
    </row>
    <row r="352">
      <c r="C352" s="58"/>
      <c r="D352" s="58"/>
      <c r="E352" s="58"/>
    </row>
    <row r="353">
      <c r="C353" s="58"/>
      <c r="D353" s="58"/>
      <c r="E353" s="58"/>
    </row>
    <row r="354">
      <c r="C354" s="58"/>
      <c r="D354" s="58"/>
      <c r="E354" s="58"/>
    </row>
    <row r="355">
      <c r="C355" s="58"/>
      <c r="D355" s="58"/>
      <c r="E355" s="58"/>
    </row>
    <row r="356">
      <c r="C356" s="58"/>
      <c r="D356" s="58"/>
      <c r="E356" s="58"/>
    </row>
    <row r="357">
      <c r="C357" s="58"/>
      <c r="D357" s="58"/>
      <c r="E357" s="58"/>
    </row>
    <row r="358">
      <c r="C358" s="58"/>
      <c r="D358" s="58"/>
      <c r="E358" s="58"/>
    </row>
    <row r="359">
      <c r="C359" s="58"/>
      <c r="D359" s="58"/>
      <c r="E359" s="58"/>
    </row>
    <row r="360">
      <c r="C360" s="58"/>
      <c r="D360" s="58"/>
      <c r="E360" s="58"/>
    </row>
    <row r="361">
      <c r="C361" s="58"/>
      <c r="D361" s="58"/>
      <c r="E361" s="58"/>
    </row>
    <row r="362">
      <c r="C362" s="58"/>
      <c r="D362" s="58"/>
      <c r="E362" s="58"/>
    </row>
    <row r="363">
      <c r="C363" s="58"/>
      <c r="D363" s="58"/>
      <c r="E363" s="58"/>
    </row>
    <row r="364">
      <c r="C364" s="58"/>
      <c r="D364" s="58"/>
      <c r="E364" s="58"/>
    </row>
    <row r="365">
      <c r="C365" s="58"/>
      <c r="D365" s="58"/>
      <c r="E365" s="58"/>
    </row>
    <row r="366">
      <c r="C366" s="58"/>
      <c r="D366" s="58"/>
      <c r="E366" s="58"/>
    </row>
    <row r="367">
      <c r="C367" s="58"/>
      <c r="D367" s="58"/>
      <c r="E367" s="58"/>
    </row>
    <row r="368">
      <c r="C368" s="58"/>
      <c r="D368" s="58"/>
      <c r="E368" s="58"/>
    </row>
    <row r="369">
      <c r="C369" s="58"/>
      <c r="D369" s="58"/>
      <c r="E369" s="58"/>
    </row>
    <row r="370">
      <c r="C370" s="58"/>
      <c r="D370" s="58"/>
      <c r="E370" s="58"/>
    </row>
    <row r="371">
      <c r="C371" s="58"/>
      <c r="D371" s="58"/>
      <c r="E371" s="58"/>
    </row>
    <row r="372">
      <c r="C372" s="58"/>
      <c r="D372" s="58"/>
      <c r="E372" s="58"/>
    </row>
    <row r="373">
      <c r="C373" s="58"/>
      <c r="D373" s="58"/>
      <c r="E373" s="58"/>
    </row>
    <row r="374">
      <c r="C374" s="58"/>
      <c r="D374" s="58"/>
      <c r="E374" s="58"/>
    </row>
    <row r="375">
      <c r="C375" s="58"/>
      <c r="D375" s="58"/>
      <c r="E375" s="58"/>
    </row>
    <row r="376">
      <c r="C376" s="58"/>
      <c r="D376" s="58"/>
      <c r="E376" s="58"/>
    </row>
    <row r="377">
      <c r="C377" s="58"/>
      <c r="D377" s="58"/>
      <c r="E377" s="58"/>
    </row>
    <row r="378">
      <c r="C378" s="58"/>
      <c r="D378" s="58"/>
      <c r="E378" s="58"/>
    </row>
    <row r="379">
      <c r="C379" s="58"/>
      <c r="D379" s="58"/>
      <c r="E379" s="58"/>
    </row>
    <row r="380">
      <c r="C380" s="58"/>
      <c r="D380" s="58"/>
      <c r="E380" s="58"/>
    </row>
    <row r="381">
      <c r="C381" s="58"/>
      <c r="D381" s="58"/>
      <c r="E381" s="58"/>
    </row>
    <row r="382">
      <c r="C382" s="58"/>
      <c r="D382" s="58"/>
      <c r="E382" s="58"/>
    </row>
    <row r="383">
      <c r="C383" s="58"/>
      <c r="D383" s="58"/>
      <c r="E383" s="58"/>
    </row>
    <row r="384">
      <c r="C384" s="58"/>
      <c r="D384" s="58"/>
      <c r="E384" s="58"/>
    </row>
    <row r="385">
      <c r="C385" s="58"/>
      <c r="D385" s="58"/>
      <c r="E385" s="58"/>
    </row>
    <row r="386">
      <c r="C386" s="58"/>
      <c r="D386" s="58"/>
      <c r="E386" s="58"/>
    </row>
    <row r="387">
      <c r="C387" s="58"/>
      <c r="D387" s="58"/>
      <c r="E387" s="58"/>
    </row>
    <row r="388">
      <c r="C388" s="58"/>
      <c r="D388" s="58"/>
      <c r="E388" s="58"/>
    </row>
    <row r="389">
      <c r="C389" s="58"/>
      <c r="D389" s="58"/>
      <c r="E389" s="58"/>
    </row>
    <row r="390">
      <c r="C390" s="58"/>
      <c r="D390" s="58"/>
      <c r="E390" s="58"/>
    </row>
    <row r="391">
      <c r="C391" s="58"/>
      <c r="D391" s="58"/>
      <c r="E391" s="58"/>
    </row>
    <row r="392">
      <c r="C392" s="58"/>
      <c r="D392" s="58"/>
      <c r="E392" s="58"/>
    </row>
    <row r="393">
      <c r="C393" s="58"/>
      <c r="D393" s="58"/>
      <c r="E393" s="58"/>
    </row>
    <row r="394">
      <c r="C394" s="58"/>
      <c r="D394" s="58"/>
      <c r="E394" s="58"/>
    </row>
    <row r="395">
      <c r="C395" s="58"/>
      <c r="D395" s="58"/>
      <c r="E395" s="58"/>
    </row>
    <row r="396">
      <c r="C396" s="58"/>
      <c r="D396" s="58"/>
      <c r="E396" s="58"/>
    </row>
    <row r="397">
      <c r="C397" s="58"/>
      <c r="D397" s="58"/>
      <c r="E397" s="58"/>
    </row>
    <row r="398">
      <c r="C398" s="58"/>
      <c r="D398" s="58"/>
      <c r="E398" s="58"/>
    </row>
    <row r="399">
      <c r="C399" s="58"/>
      <c r="D399" s="58"/>
      <c r="E399" s="58"/>
    </row>
    <row r="400">
      <c r="C400" s="58"/>
      <c r="D400" s="58"/>
      <c r="E400" s="58"/>
    </row>
    <row r="401">
      <c r="C401" s="58"/>
      <c r="D401" s="58"/>
      <c r="E401" s="58"/>
    </row>
    <row r="402">
      <c r="C402" s="58"/>
      <c r="D402" s="58"/>
      <c r="E402" s="58"/>
    </row>
    <row r="403">
      <c r="C403" s="58"/>
      <c r="D403" s="58"/>
      <c r="E403" s="58"/>
    </row>
    <row r="404">
      <c r="C404" s="58"/>
      <c r="D404" s="58"/>
      <c r="E404" s="58"/>
    </row>
    <row r="405">
      <c r="C405" s="58"/>
      <c r="D405" s="58"/>
      <c r="E405" s="58"/>
    </row>
    <row r="406">
      <c r="C406" s="58"/>
      <c r="D406" s="58"/>
      <c r="E406" s="58"/>
    </row>
    <row r="407">
      <c r="C407" s="58"/>
      <c r="D407" s="58"/>
      <c r="E407" s="58"/>
    </row>
    <row r="408">
      <c r="C408" s="58"/>
      <c r="D408" s="58"/>
      <c r="E408" s="58"/>
    </row>
    <row r="409">
      <c r="C409" s="58"/>
      <c r="D409" s="58"/>
      <c r="E409" s="58"/>
    </row>
    <row r="410">
      <c r="C410" s="58"/>
      <c r="D410" s="58"/>
      <c r="E410" s="58"/>
    </row>
    <row r="411">
      <c r="C411" s="58"/>
      <c r="D411" s="58"/>
      <c r="E411" s="58"/>
    </row>
    <row r="412">
      <c r="C412" s="58"/>
      <c r="D412" s="58"/>
      <c r="E412" s="58"/>
    </row>
    <row r="413">
      <c r="C413" s="58"/>
      <c r="D413" s="58"/>
      <c r="E413" s="58"/>
    </row>
    <row r="414">
      <c r="C414" s="58"/>
      <c r="D414" s="58"/>
      <c r="E414" s="58"/>
    </row>
    <row r="415">
      <c r="C415" s="58"/>
      <c r="D415" s="58"/>
      <c r="E415" s="58"/>
    </row>
    <row r="416">
      <c r="C416" s="58"/>
      <c r="D416" s="58"/>
      <c r="E416" s="58"/>
    </row>
    <row r="417">
      <c r="C417" s="58"/>
      <c r="D417" s="58"/>
      <c r="E417" s="58"/>
    </row>
    <row r="418">
      <c r="C418" s="58"/>
      <c r="D418" s="58"/>
      <c r="E418" s="58"/>
    </row>
    <row r="419">
      <c r="C419" s="58"/>
      <c r="D419" s="58"/>
      <c r="E419" s="58"/>
    </row>
    <row r="420">
      <c r="C420" s="58"/>
      <c r="D420" s="58"/>
      <c r="E420" s="58"/>
    </row>
    <row r="421">
      <c r="C421" s="58"/>
      <c r="D421" s="58"/>
      <c r="E421" s="58"/>
    </row>
    <row r="422">
      <c r="C422" s="58"/>
      <c r="D422" s="58"/>
      <c r="E422" s="58"/>
    </row>
    <row r="423">
      <c r="C423" s="58"/>
      <c r="D423" s="58"/>
      <c r="E423" s="58"/>
    </row>
    <row r="424">
      <c r="C424" s="58"/>
      <c r="D424" s="58"/>
      <c r="E424" s="58"/>
    </row>
    <row r="425">
      <c r="C425" s="58"/>
      <c r="D425" s="58"/>
      <c r="E425" s="58"/>
    </row>
    <row r="426">
      <c r="C426" s="58"/>
      <c r="D426" s="58"/>
      <c r="E426" s="58"/>
    </row>
    <row r="427">
      <c r="C427" s="58"/>
      <c r="D427" s="58"/>
      <c r="E427" s="58"/>
    </row>
    <row r="428">
      <c r="C428" s="58"/>
      <c r="D428" s="58"/>
      <c r="E428" s="58"/>
    </row>
    <row r="429">
      <c r="C429" s="58"/>
      <c r="D429" s="58"/>
      <c r="E429" s="58"/>
    </row>
    <row r="430">
      <c r="C430" s="58"/>
      <c r="D430" s="58"/>
      <c r="E430" s="58"/>
    </row>
    <row r="431">
      <c r="C431" s="58"/>
      <c r="D431" s="58"/>
      <c r="E431" s="58"/>
    </row>
    <row r="432">
      <c r="C432" s="58"/>
      <c r="D432" s="58"/>
      <c r="E432" s="58"/>
    </row>
    <row r="433">
      <c r="C433" s="58"/>
      <c r="D433" s="58"/>
      <c r="E433" s="58"/>
    </row>
    <row r="434">
      <c r="C434" s="58"/>
      <c r="D434" s="58"/>
      <c r="E434" s="58"/>
    </row>
    <row r="435">
      <c r="C435" s="58"/>
      <c r="D435" s="58"/>
      <c r="E435" s="58"/>
    </row>
    <row r="436">
      <c r="C436" s="58"/>
      <c r="D436" s="58"/>
      <c r="E436" s="58"/>
    </row>
    <row r="437">
      <c r="C437" s="58"/>
      <c r="D437" s="58"/>
      <c r="E437" s="58"/>
    </row>
    <row r="438">
      <c r="C438" s="58"/>
      <c r="D438" s="58"/>
      <c r="E438" s="58"/>
    </row>
    <row r="439">
      <c r="C439" s="58"/>
      <c r="D439" s="58"/>
      <c r="E439" s="58"/>
    </row>
    <row r="440">
      <c r="C440" s="58"/>
      <c r="D440" s="58"/>
      <c r="E440" s="58"/>
    </row>
    <row r="441">
      <c r="C441" s="58"/>
      <c r="D441" s="58"/>
      <c r="E441" s="58"/>
    </row>
    <row r="442">
      <c r="C442" s="58"/>
      <c r="D442" s="58"/>
      <c r="E442" s="58"/>
    </row>
    <row r="443">
      <c r="C443" s="58"/>
      <c r="D443" s="58"/>
      <c r="E443" s="58"/>
    </row>
    <row r="444">
      <c r="C444" s="58"/>
      <c r="D444" s="58"/>
      <c r="E444" s="58"/>
    </row>
    <row r="445">
      <c r="C445" s="58"/>
      <c r="D445" s="58"/>
      <c r="E445" s="58"/>
    </row>
    <row r="446">
      <c r="C446" s="58"/>
      <c r="D446" s="58"/>
      <c r="E446" s="58"/>
    </row>
    <row r="447">
      <c r="C447" s="58"/>
      <c r="D447" s="58"/>
      <c r="E447" s="58"/>
    </row>
    <row r="448">
      <c r="C448" s="58"/>
      <c r="D448" s="58"/>
      <c r="E448" s="58"/>
    </row>
    <row r="449">
      <c r="C449" s="58"/>
      <c r="D449" s="58"/>
      <c r="E449" s="58"/>
    </row>
    <row r="450">
      <c r="C450" s="58"/>
      <c r="D450" s="58"/>
      <c r="E450" s="58"/>
    </row>
    <row r="451">
      <c r="C451" s="58"/>
      <c r="D451" s="58"/>
      <c r="E451" s="58"/>
    </row>
    <row r="452">
      <c r="C452" s="58"/>
      <c r="D452" s="58"/>
      <c r="E452" s="58"/>
    </row>
    <row r="453">
      <c r="C453" s="58"/>
      <c r="D453" s="58"/>
      <c r="E453" s="58"/>
    </row>
    <row r="454">
      <c r="C454" s="58"/>
      <c r="D454" s="58"/>
      <c r="E454" s="58"/>
    </row>
    <row r="455">
      <c r="C455" s="58"/>
      <c r="D455" s="58"/>
      <c r="E455" s="58"/>
    </row>
    <row r="456">
      <c r="C456" s="58"/>
      <c r="D456" s="58"/>
      <c r="E456" s="58"/>
    </row>
    <row r="457">
      <c r="C457" s="58"/>
      <c r="D457" s="58"/>
      <c r="E457" s="58"/>
    </row>
    <row r="458">
      <c r="C458" s="58"/>
      <c r="D458" s="58"/>
      <c r="E458" s="58"/>
    </row>
    <row r="459">
      <c r="C459" s="58"/>
      <c r="D459" s="58"/>
      <c r="E459" s="58"/>
    </row>
    <row r="460">
      <c r="C460" s="58"/>
      <c r="D460" s="58"/>
      <c r="E460" s="58"/>
    </row>
    <row r="461">
      <c r="C461" s="58"/>
      <c r="D461" s="58"/>
      <c r="E461" s="58"/>
    </row>
    <row r="462">
      <c r="C462" s="58"/>
      <c r="D462" s="58"/>
      <c r="E462" s="58"/>
    </row>
    <row r="463">
      <c r="C463" s="58"/>
      <c r="D463" s="58"/>
      <c r="E463" s="58"/>
    </row>
    <row r="464">
      <c r="C464" s="58"/>
      <c r="D464" s="58"/>
      <c r="E464" s="58"/>
    </row>
    <row r="465">
      <c r="C465" s="58"/>
      <c r="D465" s="58"/>
      <c r="E465" s="58"/>
    </row>
    <row r="466">
      <c r="C466" s="58"/>
      <c r="D466" s="58"/>
      <c r="E466" s="58"/>
    </row>
    <row r="467">
      <c r="C467" s="58"/>
      <c r="D467" s="58"/>
      <c r="E467" s="58"/>
    </row>
    <row r="468">
      <c r="C468" s="58"/>
      <c r="D468" s="58"/>
      <c r="E468" s="58"/>
    </row>
    <row r="469">
      <c r="C469" s="58"/>
      <c r="D469" s="58"/>
      <c r="E469" s="58"/>
    </row>
    <row r="470">
      <c r="C470" s="58"/>
      <c r="D470" s="58"/>
      <c r="E470" s="58"/>
    </row>
    <row r="471">
      <c r="C471" s="58"/>
      <c r="D471" s="58"/>
      <c r="E471" s="58"/>
    </row>
    <row r="472">
      <c r="C472" s="58"/>
      <c r="D472" s="58"/>
      <c r="E472" s="58"/>
    </row>
    <row r="473">
      <c r="C473" s="58"/>
      <c r="D473" s="58"/>
      <c r="E473" s="58"/>
    </row>
    <row r="474">
      <c r="C474" s="58"/>
      <c r="D474" s="58"/>
      <c r="E474" s="58"/>
    </row>
    <row r="475">
      <c r="C475" s="58"/>
      <c r="D475" s="58"/>
      <c r="E475" s="58"/>
    </row>
    <row r="476">
      <c r="C476" s="58"/>
      <c r="D476" s="58"/>
      <c r="E476" s="58"/>
    </row>
    <row r="477">
      <c r="C477" s="58"/>
      <c r="D477" s="58"/>
      <c r="E477" s="58"/>
    </row>
    <row r="478">
      <c r="C478" s="58"/>
      <c r="D478" s="58"/>
      <c r="E478" s="58"/>
    </row>
    <row r="479">
      <c r="C479" s="58"/>
      <c r="D479" s="58"/>
      <c r="E479" s="58"/>
    </row>
    <row r="480">
      <c r="C480" s="58"/>
      <c r="D480" s="58"/>
      <c r="E480" s="58"/>
    </row>
    <row r="481">
      <c r="C481" s="58"/>
      <c r="D481" s="58"/>
      <c r="E481" s="58"/>
    </row>
    <row r="482">
      <c r="C482" s="58"/>
      <c r="D482" s="58"/>
      <c r="E482" s="58"/>
    </row>
    <row r="483">
      <c r="C483" s="58"/>
      <c r="D483" s="58"/>
      <c r="E483" s="58"/>
    </row>
    <row r="484">
      <c r="C484" s="58"/>
      <c r="D484" s="58"/>
      <c r="E484" s="58"/>
    </row>
    <row r="485">
      <c r="C485" s="58"/>
      <c r="D485" s="58"/>
      <c r="E485" s="58"/>
    </row>
    <row r="486">
      <c r="C486" s="58"/>
      <c r="D486" s="58"/>
      <c r="E486" s="58"/>
    </row>
    <row r="487">
      <c r="C487" s="58"/>
      <c r="D487" s="58"/>
      <c r="E487" s="58"/>
    </row>
    <row r="488">
      <c r="C488" s="58"/>
      <c r="D488" s="58"/>
      <c r="E488" s="58"/>
    </row>
    <row r="489">
      <c r="C489" s="58"/>
      <c r="D489" s="58"/>
      <c r="E489" s="58"/>
    </row>
    <row r="490">
      <c r="C490" s="58"/>
      <c r="D490" s="58"/>
      <c r="E490" s="58"/>
    </row>
    <row r="491">
      <c r="C491" s="58"/>
      <c r="D491" s="58"/>
      <c r="E491" s="58"/>
    </row>
    <row r="492">
      <c r="C492" s="58"/>
      <c r="D492" s="58"/>
      <c r="E492" s="58"/>
    </row>
    <row r="493">
      <c r="C493" s="58"/>
      <c r="D493" s="58"/>
      <c r="E493" s="58"/>
    </row>
    <row r="494">
      <c r="C494" s="58"/>
      <c r="D494" s="58"/>
      <c r="E494" s="58"/>
    </row>
    <row r="495">
      <c r="C495" s="58"/>
      <c r="D495" s="58"/>
      <c r="E495" s="58"/>
    </row>
    <row r="496">
      <c r="C496" s="58"/>
      <c r="D496" s="58"/>
      <c r="E496" s="58"/>
    </row>
    <row r="497">
      <c r="C497" s="58"/>
      <c r="D497" s="58"/>
      <c r="E497" s="58"/>
    </row>
    <row r="498">
      <c r="C498" s="58"/>
      <c r="D498" s="58"/>
      <c r="E498" s="58"/>
    </row>
    <row r="499">
      <c r="C499" s="58"/>
      <c r="D499" s="58"/>
      <c r="E499" s="58"/>
    </row>
    <row r="500">
      <c r="C500" s="58"/>
      <c r="D500" s="58"/>
      <c r="E500" s="58"/>
    </row>
    <row r="501">
      <c r="C501" s="58"/>
      <c r="D501" s="58"/>
      <c r="E501" s="58"/>
    </row>
    <row r="502">
      <c r="C502" s="58"/>
      <c r="D502" s="58"/>
      <c r="E502" s="58"/>
    </row>
    <row r="503">
      <c r="C503" s="58"/>
      <c r="D503" s="58"/>
      <c r="E503" s="58"/>
    </row>
    <row r="504">
      <c r="C504" s="58"/>
      <c r="D504" s="58"/>
      <c r="E504" s="58"/>
    </row>
    <row r="505">
      <c r="C505" s="58"/>
      <c r="D505" s="58"/>
      <c r="E505" s="58"/>
    </row>
    <row r="506">
      <c r="C506" s="58"/>
      <c r="D506" s="58"/>
      <c r="E506" s="58"/>
    </row>
    <row r="507">
      <c r="C507" s="58"/>
      <c r="D507" s="58"/>
      <c r="E507" s="58"/>
    </row>
    <row r="508">
      <c r="C508" s="58"/>
      <c r="D508" s="58"/>
      <c r="E508" s="58"/>
    </row>
    <row r="509">
      <c r="C509" s="58"/>
      <c r="D509" s="58"/>
      <c r="E509" s="58"/>
    </row>
    <row r="510">
      <c r="C510" s="58"/>
      <c r="D510" s="58"/>
      <c r="E510" s="58"/>
    </row>
    <row r="511">
      <c r="C511" s="58"/>
      <c r="D511" s="58"/>
      <c r="E511" s="58"/>
    </row>
    <row r="512">
      <c r="C512" s="58"/>
      <c r="D512" s="58"/>
      <c r="E512" s="58"/>
    </row>
    <row r="513">
      <c r="C513" s="58"/>
      <c r="D513" s="58"/>
      <c r="E513" s="58"/>
    </row>
    <row r="514">
      <c r="C514" s="58"/>
      <c r="D514" s="58"/>
      <c r="E514" s="58"/>
    </row>
    <row r="515">
      <c r="C515" s="58"/>
      <c r="D515" s="58"/>
      <c r="E515" s="58"/>
    </row>
    <row r="516">
      <c r="C516" s="58"/>
      <c r="D516" s="58"/>
      <c r="E516" s="58"/>
    </row>
    <row r="517">
      <c r="C517" s="58"/>
      <c r="D517" s="58"/>
      <c r="E517" s="58"/>
    </row>
    <row r="518">
      <c r="C518" s="58"/>
      <c r="D518" s="58"/>
      <c r="E518" s="58"/>
    </row>
    <row r="519">
      <c r="C519" s="58"/>
      <c r="D519" s="58"/>
      <c r="E519" s="58"/>
    </row>
    <row r="520">
      <c r="C520" s="58"/>
      <c r="D520" s="58"/>
      <c r="E520" s="58"/>
    </row>
    <row r="521">
      <c r="C521" s="58"/>
      <c r="D521" s="58"/>
      <c r="E521" s="58"/>
    </row>
    <row r="522">
      <c r="C522" s="58"/>
      <c r="D522" s="58"/>
      <c r="E522" s="58"/>
    </row>
    <row r="523">
      <c r="C523" s="58"/>
      <c r="D523" s="58"/>
      <c r="E523" s="58"/>
    </row>
    <row r="524">
      <c r="C524" s="58"/>
      <c r="D524" s="58"/>
      <c r="E524" s="58"/>
    </row>
    <row r="525">
      <c r="C525" s="58"/>
      <c r="D525" s="58"/>
      <c r="E525" s="58"/>
    </row>
    <row r="526">
      <c r="C526" s="58"/>
      <c r="D526" s="58"/>
      <c r="E526" s="58"/>
    </row>
    <row r="527">
      <c r="C527" s="58"/>
      <c r="D527" s="58"/>
      <c r="E527" s="58"/>
    </row>
    <row r="528">
      <c r="C528" s="58"/>
      <c r="D528" s="58"/>
      <c r="E528" s="58"/>
    </row>
    <row r="529">
      <c r="C529" s="58"/>
      <c r="D529" s="58"/>
      <c r="E529" s="58"/>
    </row>
    <row r="530">
      <c r="C530" s="58"/>
      <c r="D530" s="58"/>
      <c r="E530" s="58"/>
    </row>
    <row r="531">
      <c r="C531" s="58"/>
      <c r="D531" s="58"/>
      <c r="E531" s="58"/>
    </row>
    <row r="532">
      <c r="C532" s="58"/>
      <c r="D532" s="58"/>
      <c r="E532" s="58"/>
    </row>
    <row r="533">
      <c r="C533" s="58"/>
      <c r="D533" s="58"/>
      <c r="E533" s="58"/>
    </row>
    <row r="534">
      <c r="C534" s="58"/>
      <c r="D534" s="58"/>
      <c r="E534" s="58"/>
    </row>
    <row r="535">
      <c r="C535" s="58"/>
      <c r="D535" s="58"/>
      <c r="E535" s="58"/>
    </row>
    <row r="536">
      <c r="C536" s="58"/>
      <c r="D536" s="58"/>
      <c r="E536" s="58"/>
    </row>
    <row r="537">
      <c r="C537" s="58"/>
      <c r="D537" s="58"/>
      <c r="E537" s="58"/>
    </row>
    <row r="538">
      <c r="C538" s="58"/>
      <c r="D538" s="58"/>
      <c r="E538" s="58"/>
    </row>
    <row r="539">
      <c r="C539" s="58"/>
      <c r="D539" s="58"/>
      <c r="E539" s="58"/>
    </row>
    <row r="540">
      <c r="C540" s="58"/>
      <c r="D540" s="58"/>
      <c r="E540" s="58"/>
    </row>
    <row r="541">
      <c r="C541" s="58"/>
      <c r="D541" s="58"/>
      <c r="E541" s="58"/>
    </row>
    <row r="542">
      <c r="C542" s="58"/>
      <c r="D542" s="58"/>
      <c r="E542" s="58"/>
    </row>
    <row r="543">
      <c r="C543" s="58"/>
      <c r="D543" s="58"/>
      <c r="E543" s="58"/>
    </row>
    <row r="544">
      <c r="C544" s="58"/>
      <c r="D544" s="58"/>
      <c r="E544" s="58"/>
    </row>
    <row r="545">
      <c r="C545" s="58"/>
      <c r="D545" s="58"/>
      <c r="E545" s="58"/>
    </row>
    <row r="546">
      <c r="C546" s="58"/>
      <c r="D546" s="58"/>
      <c r="E546" s="58"/>
    </row>
    <row r="547">
      <c r="C547" s="58"/>
      <c r="D547" s="58"/>
      <c r="E547" s="58"/>
    </row>
    <row r="548">
      <c r="C548" s="58"/>
      <c r="D548" s="58"/>
      <c r="E548" s="58"/>
    </row>
    <row r="549">
      <c r="C549" s="58"/>
      <c r="D549" s="58"/>
      <c r="E549" s="58"/>
    </row>
    <row r="550">
      <c r="C550" s="58"/>
      <c r="D550" s="58"/>
      <c r="E550" s="58"/>
    </row>
    <row r="551">
      <c r="C551" s="58"/>
      <c r="D551" s="58"/>
      <c r="E551" s="58"/>
    </row>
    <row r="552">
      <c r="C552" s="58"/>
      <c r="D552" s="58"/>
      <c r="E552" s="58"/>
    </row>
    <row r="553">
      <c r="C553" s="58"/>
      <c r="D553" s="58"/>
      <c r="E553" s="58"/>
    </row>
    <row r="554">
      <c r="C554" s="58"/>
      <c r="D554" s="58"/>
      <c r="E554" s="58"/>
    </row>
    <row r="555">
      <c r="C555" s="58"/>
      <c r="D555" s="58"/>
      <c r="E555" s="58"/>
    </row>
    <row r="556">
      <c r="C556" s="58"/>
      <c r="D556" s="58"/>
      <c r="E556" s="58"/>
    </row>
    <row r="557">
      <c r="C557" s="58"/>
      <c r="D557" s="58"/>
      <c r="E557" s="58"/>
    </row>
    <row r="558">
      <c r="C558" s="58"/>
      <c r="D558" s="58"/>
      <c r="E558" s="58"/>
    </row>
    <row r="559">
      <c r="C559" s="58"/>
      <c r="D559" s="58"/>
      <c r="E559" s="58"/>
    </row>
    <row r="560">
      <c r="C560" s="58"/>
      <c r="D560" s="58"/>
      <c r="E560" s="58"/>
    </row>
    <row r="561">
      <c r="C561" s="58"/>
      <c r="D561" s="58"/>
      <c r="E561" s="58"/>
    </row>
    <row r="562">
      <c r="C562" s="58"/>
      <c r="D562" s="58"/>
      <c r="E562" s="58"/>
    </row>
    <row r="563">
      <c r="C563" s="58"/>
      <c r="D563" s="58"/>
      <c r="E563" s="58"/>
    </row>
    <row r="564">
      <c r="C564" s="58"/>
      <c r="D564" s="58"/>
      <c r="E564" s="58"/>
    </row>
    <row r="565">
      <c r="C565" s="58"/>
      <c r="D565" s="58"/>
      <c r="E565" s="58"/>
    </row>
    <row r="566">
      <c r="C566" s="58"/>
      <c r="D566" s="58"/>
      <c r="E566" s="58"/>
    </row>
    <row r="567">
      <c r="C567" s="58"/>
      <c r="D567" s="58"/>
      <c r="E567" s="58"/>
    </row>
    <row r="568">
      <c r="C568" s="58"/>
      <c r="D568" s="58"/>
      <c r="E568" s="58"/>
    </row>
    <row r="569">
      <c r="C569" s="58"/>
      <c r="D569" s="58"/>
      <c r="E569" s="58"/>
    </row>
    <row r="570">
      <c r="C570" s="58"/>
      <c r="D570" s="58"/>
      <c r="E570" s="58"/>
    </row>
    <row r="571">
      <c r="C571" s="58"/>
      <c r="D571" s="58"/>
      <c r="E571" s="58"/>
    </row>
    <row r="572">
      <c r="C572" s="58"/>
      <c r="D572" s="58"/>
      <c r="E572" s="58"/>
    </row>
    <row r="573">
      <c r="C573" s="58"/>
      <c r="D573" s="58"/>
      <c r="E573" s="58"/>
    </row>
    <row r="574">
      <c r="C574" s="58"/>
      <c r="D574" s="58"/>
      <c r="E574" s="58"/>
    </row>
    <row r="575">
      <c r="C575" s="58"/>
      <c r="D575" s="58"/>
      <c r="E575" s="58"/>
    </row>
    <row r="576">
      <c r="C576" s="58"/>
      <c r="D576" s="58"/>
      <c r="E576" s="58"/>
    </row>
    <row r="577">
      <c r="C577" s="58"/>
      <c r="D577" s="58"/>
      <c r="E577" s="58"/>
    </row>
    <row r="578">
      <c r="C578" s="58"/>
      <c r="D578" s="58"/>
      <c r="E578" s="58"/>
    </row>
    <row r="579">
      <c r="C579" s="58"/>
      <c r="D579" s="58"/>
      <c r="E579" s="58"/>
    </row>
    <row r="580">
      <c r="C580" s="58"/>
      <c r="D580" s="58"/>
      <c r="E580" s="58"/>
    </row>
    <row r="581">
      <c r="C581" s="58"/>
      <c r="D581" s="58"/>
      <c r="E581" s="58"/>
    </row>
    <row r="582">
      <c r="C582" s="58"/>
      <c r="D582" s="58"/>
      <c r="E582" s="58"/>
    </row>
    <row r="583">
      <c r="C583" s="58"/>
      <c r="D583" s="58"/>
      <c r="E583" s="58"/>
    </row>
    <row r="584">
      <c r="C584" s="58"/>
      <c r="D584" s="58"/>
      <c r="E584" s="58"/>
    </row>
    <row r="585">
      <c r="C585" s="58"/>
      <c r="D585" s="58"/>
      <c r="E585" s="58"/>
    </row>
    <row r="586">
      <c r="C586" s="58"/>
      <c r="D586" s="58"/>
      <c r="E586" s="58"/>
    </row>
    <row r="587">
      <c r="C587" s="58"/>
      <c r="D587" s="58"/>
      <c r="E587" s="58"/>
    </row>
    <row r="588">
      <c r="C588" s="58"/>
      <c r="D588" s="58"/>
      <c r="E588" s="58"/>
    </row>
    <row r="589">
      <c r="C589" s="58"/>
      <c r="D589" s="58"/>
      <c r="E589" s="58"/>
    </row>
    <row r="590">
      <c r="C590" s="58"/>
      <c r="D590" s="58"/>
      <c r="E590" s="58"/>
    </row>
    <row r="591">
      <c r="C591" s="58"/>
      <c r="D591" s="58"/>
      <c r="E591" s="58"/>
    </row>
    <row r="592">
      <c r="C592" s="58"/>
      <c r="D592" s="58"/>
      <c r="E592" s="58"/>
    </row>
    <row r="593">
      <c r="C593" s="58"/>
      <c r="D593" s="58"/>
      <c r="E593" s="58"/>
    </row>
    <row r="594">
      <c r="C594" s="58"/>
      <c r="D594" s="58"/>
      <c r="E594" s="58"/>
    </row>
    <row r="595">
      <c r="C595" s="58"/>
      <c r="D595" s="58"/>
      <c r="E595" s="58"/>
    </row>
    <row r="596">
      <c r="C596" s="58"/>
      <c r="D596" s="58"/>
      <c r="E596" s="58"/>
    </row>
    <row r="597">
      <c r="C597" s="58"/>
      <c r="D597" s="58"/>
      <c r="E597" s="58"/>
    </row>
    <row r="598">
      <c r="C598" s="58"/>
      <c r="D598" s="58"/>
      <c r="E598" s="58"/>
    </row>
    <row r="599">
      <c r="C599" s="58"/>
      <c r="D599" s="58"/>
      <c r="E599" s="58"/>
    </row>
    <row r="600">
      <c r="C600" s="58"/>
      <c r="D600" s="58"/>
      <c r="E600" s="58"/>
    </row>
    <row r="601">
      <c r="C601" s="58"/>
      <c r="D601" s="58"/>
      <c r="E601" s="58"/>
    </row>
    <row r="602">
      <c r="C602" s="58"/>
      <c r="D602" s="58"/>
      <c r="E602" s="58"/>
    </row>
    <row r="603">
      <c r="C603" s="58"/>
      <c r="D603" s="58"/>
      <c r="E603" s="58"/>
    </row>
    <row r="604">
      <c r="C604" s="58"/>
      <c r="D604" s="58"/>
      <c r="E604" s="58"/>
    </row>
    <row r="605">
      <c r="C605" s="58"/>
      <c r="D605" s="58"/>
      <c r="E605" s="58"/>
    </row>
    <row r="606">
      <c r="C606" s="58"/>
      <c r="D606" s="58"/>
      <c r="E606" s="58"/>
    </row>
    <row r="607">
      <c r="C607" s="58"/>
      <c r="D607" s="58"/>
      <c r="E607" s="58"/>
    </row>
    <row r="608">
      <c r="C608" s="58"/>
      <c r="D608" s="58"/>
      <c r="E608" s="58"/>
    </row>
    <row r="609">
      <c r="C609" s="58"/>
      <c r="D609" s="58"/>
      <c r="E609" s="58"/>
    </row>
    <row r="610">
      <c r="C610" s="58"/>
      <c r="D610" s="58"/>
      <c r="E610" s="58"/>
    </row>
    <row r="611">
      <c r="C611" s="58"/>
      <c r="D611" s="58"/>
      <c r="E611" s="58"/>
    </row>
    <row r="612">
      <c r="C612" s="58"/>
      <c r="D612" s="58"/>
      <c r="E612" s="58"/>
    </row>
    <row r="613">
      <c r="C613" s="58"/>
      <c r="D613" s="58"/>
      <c r="E613" s="58"/>
    </row>
    <row r="614">
      <c r="C614" s="58"/>
      <c r="D614" s="58"/>
      <c r="E614" s="58"/>
    </row>
    <row r="615">
      <c r="C615" s="58"/>
      <c r="D615" s="58"/>
      <c r="E615" s="58"/>
    </row>
    <row r="616">
      <c r="C616" s="58"/>
      <c r="D616" s="58"/>
      <c r="E616" s="58"/>
    </row>
    <row r="617">
      <c r="C617" s="58"/>
      <c r="D617" s="58"/>
      <c r="E617" s="58"/>
    </row>
    <row r="618">
      <c r="C618" s="58"/>
      <c r="D618" s="58"/>
      <c r="E618" s="58"/>
    </row>
    <row r="619">
      <c r="C619" s="58"/>
      <c r="D619" s="58"/>
      <c r="E619" s="58"/>
    </row>
    <row r="620">
      <c r="C620" s="58"/>
      <c r="D620" s="58"/>
      <c r="E620" s="58"/>
    </row>
    <row r="621">
      <c r="C621" s="58"/>
      <c r="D621" s="58"/>
      <c r="E621" s="58"/>
    </row>
    <row r="622">
      <c r="C622" s="58"/>
      <c r="D622" s="58"/>
      <c r="E622" s="58"/>
    </row>
    <row r="623">
      <c r="C623" s="58"/>
      <c r="D623" s="58"/>
      <c r="E623" s="58"/>
    </row>
    <row r="624">
      <c r="C624" s="58"/>
      <c r="D624" s="58"/>
      <c r="E624" s="58"/>
    </row>
    <row r="625">
      <c r="C625" s="58"/>
      <c r="D625" s="58"/>
      <c r="E625" s="58"/>
    </row>
    <row r="626">
      <c r="C626" s="58"/>
      <c r="D626" s="58"/>
      <c r="E626" s="58"/>
    </row>
    <row r="627">
      <c r="C627" s="58"/>
      <c r="D627" s="58"/>
      <c r="E627" s="58"/>
    </row>
    <row r="628">
      <c r="C628" s="58"/>
      <c r="D628" s="58"/>
      <c r="E628" s="58"/>
    </row>
    <row r="629">
      <c r="C629" s="58"/>
      <c r="D629" s="58"/>
      <c r="E629" s="58"/>
    </row>
    <row r="630">
      <c r="C630" s="58"/>
      <c r="D630" s="58"/>
      <c r="E630" s="58"/>
    </row>
    <row r="631">
      <c r="C631" s="58"/>
      <c r="D631" s="58"/>
      <c r="E631" s="58"/>
    </row>
    <row r="632">
      <c r="C632" s="58"/>
      <c r="D632" s="58"/>
      <c r="E632" s="58"/>
    </row>
    <row r="633">
      <c r="C633" s="58"/>
      <c r="D633" s="58"/>
      <c r="E633" s="58"/>
    </row>
    <row r="634">
      <c r="C634" s="58"/>
      <c r="D634" s="58"/>
      <c r="E634" s="58"/>
    </row>
    <row r="635">
      <c r="C635" s="58"/>
      <c r="D635" s="58"/>
      <c r="E635" s="58"/>
    </row>
    <row r="636">
      <c r="C636" s="58"/>
      <c r="D636" s="58"/>
      <c r="E636" s="58"/>
    </row>
    <row r="637">
      <c r="C637" s="58"/>
      <c r="D637" s="58"/>
      <c r="E637" s="58"/>
    </row>
    <row r="638">
      <c r="C638" s="58"/>
      <c r="D638" s="58"/>
      <c r="E638" s="58"/>
    </row>
    <row r="639">
      <c r="C639" s="58"/>
      <c r="D639" s="58"/>
      <c r="E639" s="58"/>
    </row>
    <row r="640">
      <c r="C640" s="58"/>
      <c r="D640" s="58"/>
      <c r="E640" s="58"/>
    </row>
    <row r="641">
      <c r="C641" s="58"/>
      <c r="D641" s="58"/>
      <c r="E641" s="58"/>
    </row>
    <row r="642">
      <c r="C642" s="58"/>
      <c r="D642" s="58"/>
      <c r="E642" s="58"/>
    </row>
    <row r="643">
      <c r="C643" s="58"/>
      <c r="D643" s="58"/>
      <c r="E643" s="58"/>
    </row>
    <row r="644">
      <c r="C644" s="58"/>
      <c r="D644" s="58"/>
      <c r="E644" s="58"/>
    </row>
    <row r="645">
      <c r="C645" s="58"/>
      <c r="D645" s="58"/>
      <c r="E645" s="58"/>
    </row>
    <row r="646">
      <c r="C646" s="58"/>
      <c r="D646" s="58"/>
      <c r="E646" s="58"/>
    </row>
    <row r="647">
      <c r="C647" s="58"/>
      <c r="D647" s="58"/>
      <c r="E647" s="58"/>
    </row>
    <row r="648">
      <c r="C648" s="58"/>
      <c r="D648" s="58"/>
      <c r="E648" s="58"/>
    </row>
    <row r="649">
      <c r="C649" s="58"/>
      <c r="D649" s="58"/>
      <c r="E649" s="58"/>
    </row>
    <row r="650">
      <c r="C650" s="58"/>
      <c r="D650" s="58"/>
      <c r="E650" s="58"/>
    </row>
    <row r="651">
      <c r="C651" s="58"/>
      <c r="D651" s="58"/>
      <c r="E651" s="58"/>
    </row>
    <row r="652">
      <c r="C652" s="58"/>
      <c r="D652" s="58"/>
      <c r="E652" s="58"/>
    </row>
    <row r="653">
      <c r="C653" s="58"/>
      <c r="D653" s="58"/>
      <c r="E653" s="58"/>
    </row>
    <row r="654">
      <c r="C654" s="58"/>
      <c r="D654" s="58"/>
      <c r="E654" s="58"/>
    </row>
    <row r="655">
      <c r="C655" s="58"/>
      <c r="D655" s="58"/>
      <c r="E655" s="58"/>
    </row>
    <row r="656">
      <c r="C656" s="58"/>
      <c r="D656" s="58"/>
      <c r="E656" s="58"/>
    </row>
    <row r="657">
      <c r="C657" s="58"/>
      <c r="D657" s="58"/>
      <c r="E657" s="58"/>
    </row>
    <row r="658">
      <c r="C658" s="58"/>
      <c r="D658" s="58"/>
      <c r="E658" s="58"/>
    </row>
    <row r="659">
      <c r="C659" s="58"/>
      <c r="D659" s="58"/>
      <c r="E659" s="58"/>
    </row>
    <row r="660">
      <c r="C660" s="58"/>
      <c r="D660" s="58"/>
      <c r="E660" s="58"/>
    </row>
    <row r="661">
      <c r="C661" s="58"/>
      <c r="D661" s="58"/>
      <c r="E661" s="58"/>
    </row>
    <row r="662">
      <c r="C662" s="58"/>
      <c r="D662" s="58"/>
      <c r="E662" s="58"/>
    </row>
    <row r="663">
      <c r="C663" s="58"/>
      <c r="D663" s="58"/>
      <c r="E663" s="58"/>
    </row>
    <row r="664">
      <c r="C664" s="58"/>
      <c r="D664" s="58"/>
      <c r="E664" s="58"/>
    </row>
    <row r="665">
      <c r="C665" s="58"/>
      <c r="D665" s="58"/>
      <c r="E665" s="58"/>
    </row>
    <row r="666">
      <c r="C666" s="58"/>
      <c r="D666" s="58"/>
      <c r="E666" s="58"/>
    </row>
    <row r="667">
      <c r="C667" s="58"/>
      <c r="D667" s="58"/>
      <c r="E667" s="58"/>
    </row>
    <row r="668">
      <c r="C668" s="58"/>
      <c r="D668" s="58"/>
      <c r="E668" s="58"/>
    </row>
    <row r="669">
      <c r="C669" s="58"/>
      <c r="D669" s="58"/>
      <c r="E669" s="58"/>
    </row>
    <row r="670">
      <c r="C670" s="58"/>
      <c r="D670" s="58"/>
      <c r="E670" s="58"/>
    </row>
    <row r="671">
      <c r="C671" s="58"/>
      <c r="D671" s="58"/>
      <c r="E671" s="58"/>
    </row>
    <row r="672">
      <c r="C672" s="58"/>
      <c r="D672" s="58"/>
      <c r="E672" s="58"/>
    </row>
    <row r="673">
      <c r="C673" s="58"/>
      <c r="D673" s="58"/>
      <c r="E673" s="58"/>
    </row>
    <row r="674">
      <c r="C674" s="58"/>
      <c r="D674" s="58"/>
      <c r="E674" s="58"/>
    </row>
    <row r="675">
      <c r="C675" s="58"/>
      <c r="D675" s="58"/>
      <c r="E675" s="58"/>
    </row>
    <row r="676">
      <c r="C676" s="58"/>
      <c r="D676" s="58"/>
      <c r="E676" s="58"/>
    </row>
    <row r="677">
      <c r="C677" s="58"/>
      <c r="D677" s="58"/>
      <c r="E677" s="58"/>
    </row>
    <row r="678">
      <c r="C678" s="58"/>
      <c r="D678" s="58"/>
      <c r="E678" s="58"/>
    </row>
    <row r="679">
      <c r="C679" s="58"/>
      <c r="D679" s="58"/>
      <c r="E679" s="58"/>
    </row>
    <row r="680">
      <c r="C680" s="58"/>
      <c r="D680" s="58"/>
      <c r="E680" s="58"/>
    </row>
    <row r="681">
      <c r="C681" s="58"/>
      <c r="D681" s="58"/>
      <c r="E681" s="58"/>
    </row>
    <row r="682">
      <c r="C682" s="58"/>
      <c r="D682" s="58"/>
      <c r="E682" s="58"/>
    </row>
    <row r="683">
      <c r="C683" s="58"/>
      <c r="D683" s="58"/>
      <c r="E683" s="58"/>
    </row>
    <row r="684">
      <c r="C684" s="58"/>
      <c r="D684" s="58"/>
      <c r="E684" s="58"/>
    </row>
    <row r="685">
      <c r="C685" s="58"/>
      <c r="D685" s="58"/>
      <c r="E685" s="58"/>
    </row>
    <row r="686">
      <c r="C686" s="58"/>
      <c r="D686" s="58"/>
      <c r="E686" s="58"/>
    </row>
    <row r="687">
      <c r="C687" s="58"/>
      <c r="D687" s="58"/>
      <c r="E687" s="58"/>
    </row>
    <row r="688">
      <c r="C688" s="58"/>
      <c r="D688" s="58"/>
      <c r="E688" s="58"/>
    </row>
    <row r="689">
      <c r="C689" s="58"/>
      <c r="D689" s="58"/>
      <c r="E689" s="58"/>
    </row>
    <row r="690">
      <c r="C690" s="58"/>
      <c r="D690" s="58"/>
      <c r="E690" s="58"/>
    </row>
    <row r="691">
      <c r="C691" s="58"/>
      <c r="D691" s="58"/>
      <c r="E691" s="58"/>
    </row>
    <row r="692">
      <c r="C692" s="58"/>
      <c r="D692" s="58"/>
      <c r="E692" s="58"/>
    </row>
    <row r="693">
      <c r="C693" s="58"/>
      <c r="D693" s="58"/>
      <c r="E693" s="58"/>
    </row>
    <row r="694">
      <c r="C694" s="58"/>
      <c r="D694" s="58"/>
      <c r="E694" s="58"/>
    </row>
    <row r="695">
      <c r="C695" s="58"/>
      <c r="D695" s="58"/>
      <c r="E695" s="58"/>
    </row>
    <row r="696">
      <c r="C696" s="58"/>
      <c r="D696" s="58"/>
      <c r="E696" s="58"/>
    </row>
    <row r="697">
      <c r="C697" s="58"/>
      <c r="D697" s="58"/>
      <c r="E697" s="58"/>
    </row>
    <row r="698">
      <c r="C698" s="58"/>
      <c r="D698" s="58"/>
      <c r="E698" s="58"/>
    </row>
    <row r="699">
      <c r="C699" s="58"/>
      <c r="D699" s="58"/>
      <c r="E699" s="58"/>
    </row>
    <row r="700">
      <c r="C700" s="58"/>
      <c r="D700" s="58"/>
      <c r="E700" s="58"/>
    </row>
    <row r="701">
      <c r="C701" s="58"/>
      <c r="D701" s="58"/>
      <c r="E701" s="58"/>
    </row>
    <row r="702">
      <c r="C702" s="58"/>
      <c r="D702" s="58"/>
      <c r="E702" s="58"/>
    </row>
    <row r="703">
      <c r="C703" s="58"/>
      <c r="D703" s="58"/>
      <c r="E703" s="58"/>
    </row>
    <row r="704">
      <c r="C704" s="58"/>
      <c r="D704" s="58"/>
      <c r="E704" s="58"/>
    </row>
    <row r="705">
      <c r="C705" s="58"/>
      <c r="D705" s="58"/>
      <c r="E705" s="58"/>
    </row>
    <row r="706">
      <c r="C706" s="58"/>
      <c r="D706" s="58"/>
      <c r="E706" s="58"/>
    </row>
    <row r="707">
      <c r="C707" s="58"/>
      <c r="D707" s="58"/>
      <c r="E707" s="58"/>
    </row>
    <row r="708">
      <c r="C708" s="58"/>
      <c r="D708" s="58"/>
      <c r="E708" s="58"/>
    </row>
    <row r="709">
      <c r="C709" s="58"/>
      <c r="D709" s="58"/>
      <c r="E709" s="58"/>
    </row>
    <row r="710">
      <c r="C710" s="58"/>
      <c r="D710" s="58"/>
      <c r="E710" s="58"/>
    </row>
    <row r="711">
      <c r="C711" s="58"/>
      <c r="D711" s="58"/>
      <c r="E711" s="58"/>
    </row>
    <row r="712">
      <c r="C712" s="58"/>
      <c r="D712" s="58"/>
      <c r="E712" s="58"/>
    </row>
    <row r="713">
      <c r="C713" s="58"/>
      <c r="D713" s="58"/>
      <c r="E713" s="58"/>
    </row>
    <row r="714">
      <c r="C714" s="58"/>
      <c r="D714" s="58"/>
      <c r="E714" s="58"/>
    </row>
    <row r="715">
      <c r="C715" s="58"/>
      <c r="D715" s="58"/>
      <c r="E715" s="58"/>
    </row>
    <row r="716">
      <c r="C716" s="58"/>
      <c r="D716" s="58"/>
      <c r="E716" s="58"/>
    </row>
    <row r="717">
      <c r="C717" s="58"/>
      <c r="D717" s="58"/>
      <c r="E717" s="58"/>
    </row>
    <row r="718">
      <c r="C718" s="58"/>
      <c r="D718" s="58"/>
      <c r="E718" s="58"/>
    </row>
    <row r="719">
      <c r="C719" s="58"/>
      <c r="D719" s="58"/>
      <c r="E719" s="58"/>
    </row>
    <row r="720">
      <c r="C720" s="58"/>
      <c r="D720" s="58"/>
      <c r="E720" s="58"/>
    </row>
    <row r="721">
      <c r="C721" s="58"/>
      <c r="D721" s="58"/>
      <c r="E721" s="58"/>
    </row>
    <row r="722">
      <c r="C722" s="58"/>
      <c r="D722" s="58"/>
      <c r="E722" s="58"/>
    </row>
    <row r="723">
      <c r="C723" s="58"/>
      <c r="D723" s="58"/>
      <c r="E723" s="58"/>
    </row>
    <row r="724">
      <c r="C724" s="58"/>
      <c r="D724" s="58"/>
      <c r="E724" s="58"/>
    </row>
    <row r="725">
      <c r="C725" s="58"/>
      <c r="D725" s="58"/>
      <c r="E725" s="58"/>
    </row>
    <row r="726">
      <c r="C726" s="58"/>
      <c r="D726" s="58"/>
      <c r="E726" s="58"/>
    </row>
    <row r="727">
      <c r="C727" s="58"/>
      <c r="D727" s="58"/>
      <c r="E727" s="58"/>
    </row>
    <row r="728">
      <c r="C728" s="58"/>
      <c r="D728" s="58"/>
      <c r="E728" s="58"/>
    </row>
    <row r="729">
      <c r="C729" s="58"/>
      <c r="D729" s="58"/>
      <c r="E729" s="58"/>
    </row>
    <row r="730">
      <c r="C730" s="58"/>
      <c r="D730" s="58"/>
      <c r="E730" s="58"/>
    </row>
    <row r="731">
      <c r="C731" s="58"/>
      <c r="D731" s="58"/>
      <c r="E731" s="58"/>
    </row>
    <row r="732">
      <c r="C732" s="58"/>
      <c r="D732" s="58"/>
      <c r="E732" s="58"/>
    </row>
    <row r="733">
      <c r="C733" s="58"/>
      <c r="D733" s="58"/>
      <c r="E733" s="58"/>
    </row>
    <row r="734">
      <c r="C734" s="58"/>
      <c r="D734" s="58"/>
      <c r="E734" s="58"/>
    </row>
    <row r="735">
      <c r="C735" s="58"/>
      <c r="D735" s="58"/>
      <c r="E735" s="58"/>
    </row>
    <row r="736">
      <c r="C736" s="58"/>
      <c r="D736" s="58"/>
      <c r="E736" s="58"/>
    </row>
    <row r="737">
      <c r="C737" s="58"/>
      <c r="D737" s="58"/>
      <c r="E737" s="58"/>
    </row>
    <row r="738">
      <c r="C738" s="58"/>
      <c r="D738" s="58"/>
      <c r="E738" s="58"/>
    </row>
    <row r="739">
      <c r="C739" s="58"/>
      <c r="D739" s="58"/>
      <c r="E739" s="58"/>
    </row>
    <row r="740">
      <c r="C740" s="58"/>
      <c r="D740" s="58"/>
      <c r="E740" s="58"/>
    </row>
    <row r="741">
      <c r="C741" s="58"/>
      <c r="D741" s="58"/>
      <c r="E741" s="58"/>
    </row>
    <row r="742">
      <c r="C742" s="58"/>
      <c r="D742" s="58"/>
      <c r="E742" s="58"/>
    </row>
    <row r="743">
      <c r="C743" s="58"/>
      <c r="D743" s="58"/>
      <c r="E743" s="58"/>
    </row>
    <row r="744">
      <c r="C744" s="58"/>
      <c r="D744" s="58"/>
      <c r="E744" s="58"/>
    </row>
    <row r="745">
      <c r="C745" s="58"/>
      <c r="D745" s="58"/>
      <c r="E745" s="58"/>
    </row>
    <row r="746">
      <c r="C746" s="58"/>
      <c r="D746" s="58"/>
      <c r="E746" s="58"/>
    </row>
    <row r="747">
      <c r="C747" s="58"/>
      <c r="D747" s="58"/>
      <c r="E747" s="58"/>
    </row>
    <row r="748">
      <c r="C748" s="58"/>
      <c r="D748" s="58"/>
      <c r="E748" s="58"/>
    </row>
    <row r="749">
      <c r="C749" s="58"/>
      <c r="D749" s="58"/>
      <c r="E749" s="58"/>
    </row>
    <row r="750">
      <c r="C750" s="58"/>
      <c r="D750" s="58"/>
      <c r="E750" s="58"/>
    </row>
    <row r="751">
      <c r="C751" s="58"/>
      <c r="D751" s="58"/>
      <c r="E751" s="58"/>
    </row>
    <row r="752">
      <c r="C752" s="58"/>
      <c r="D752" s="58"/>
      <c r="E752" s="58"/>
    </row>
    <row r="753">
      <c r="C753" s="58"/>
      <c r="D753" s="58"/>
      <c r="E753" s="58"/>
    </row>
    <row r="754">
      <c r="C754" s="58"/>
      <c r="D754" s="58"/>
      <c r="E754" s="58"/>
    </row>
    <row r="755">
      <c r="C755" s="58"/>
      <c r="D755" s="58"/>
      <c r="E755" s="58"/>
    </row>
    <row r="756">
      <c r="C756" s="58"/>
      <c r="D756" s="58"/>
      <c r="E756" s="58"/>
    </row>
    <row r="757">
      <c r="C757" s="58"/>
      <c r="D757" s="58"/>
      <c r="E757" s="58"/>
    </row>
    <row r="758">
      <c r="C758" s="58"/>
      <c r="D758" s="58"/>
      <c r="E758" s="58"/>
    </row>
    <row r="759">
      <c r="C759" s="58"/>
      <c r="D759" s="58"/>
      <c r="E759" s="58"/>
    </row>
    <row r="760">
      <c r="C760" s="58"/>
      <c r="D760" s="58"/>
      <c r="E760" s="58"/>
    </row>
    <row r="761">
      <c r="C761" s="58"/>
      <c r="D761" s="58"/>
      <c r="E761" s="58"/>
    </row>
    <row r="762">
      <c r="C762" s="58"/>
      <c r="D762" s="58"/>
      <c r="E762" s="58"/>
    </row>
    <row r="763">
      <c r="C763" s="58"/>
      <c r="D763" s="58"/>
      <c r="E763" s="58"/>
    </row>
    <row r="764">
      <c r="C764" s="58"/>
      <c r="D764" s="58"/>
      <c r="E764" s="58"/>
    </row>
    <row r="765">
      <c r="C765" s="58"/>
      <c r="D765" s="58"/>
      <c r="E765" s="58"/>
    </row>
    <row r="766">
      <c r="C766" s="58"/>
      <c r="D766" s="58"/>
      <c r="E766" s="58"/>
    </row>
    <row r="767">
      <c r="C767" s="58"/>
      <c r="D767" s="58"/>
      <c r="E767" s="58"/>
    </row>
    <row r="768">
      <c r="C768" s="58"/>
      <c r="D768" s="58"/>
      <c r="E768" s="58"/>
    </row>
    <row r="769">
      <c r="C769" s="58"/>
      <c r="D769" s="58"/>
      <c r="E769" s="58"/>
    </row>
    <row r="770">
      <c r="C770" s="58"/>
      <c r="D770" s="58"/>
      <c r="E770" s="58"/>
    </row>
    <row r="771">
      <c r="C771" s="58"/>
      <c r="D771" s="58"/>
      <c r="E771" s="58"/>
    </row>
    <row r="772">
      <c r="C772" s="58"/>
      <c r="D772" s="58"/>
      <c r="E772" s="58"/>
    </row>
    <row r="773">
      <c r="C773" s="58"/>
      <c r="D773" s="58"/>
      <c r="E773" s="58"/>
    </row>
    <row r="774">
      <c r="C774" s="58"/>
      <c r="D774" s="58"/>
      <c r="E774" s="58"/>
    </row>
    <row r="775">
      <c r="C775" s="58"/>
      <c r="D775" s="58"/>
      <c r="E775" s="58"/>
    </row>
    <row r="776">
      <c r="C776" s="58"/>
      <c r="D776" s="58"/>
      <c r="E776" s="58"/>
    </row>
    <row r="777">
      <c r="C777" s="58"/>
      <c r="D777" s="58"/>
      <c r="E777" s="58"/>
    </row>
    <row r="778">
      <c r="C778" s="58"/>
      <c r="D778" s="58"/>
      <c r="E778" s="58"/>
    </row>
    <row r="779">
      <c r="C779" s="58"/>
      <c r="D779" s="58"/>
      <c r="E779" s="58"/>
    </row>
    <row r="780">
      <c r="C780" s="58"/>
      <c r="D780" s="58"/>
      <c r="E780" s="58"/>
    </row>
    <row r="781">
      <c r="C781" s="58"/>
      <c r="D781" s="58"/>
      <c r="E781" s="58"/>
    </row>
    <row r="782">
      <c r="C782" s="58"/>
      <c r="D782" s="58"/>
      <c r="E782" s="58"/>
    </row>
    <row r="783">
      <c r="C783" s="58"/>
      <c r="D783" s="58"/>
      <c r="E783" s="58"/>
    </row>
    <row r="784">
      <c r="C784" s="58"/>
      <c r="D784" s="58"/>
      <c r="E784" s="58"/>
    </row>
    <row r="785">
      <c r="C785" s="58"/>
      <c r="D785" s="58"/>
      <c r="E785" s="58"/>
    </row>
    <row r="786">
      <c r="C786" s="58"/>
      <c r="D786" s="58"/>
      <c r="E786" s="58"/>
    </row>
    <row r="787">
      <c r="C787" s="58"/>
      <c r="D787" s="58"/>
      <c r="E787" s="58"/>
    </row>
    <row r="788">
      <c r="C788" s="58"/>
      <c r="D788" s="58"/>
      <c r="E788" s="58"/>
    </row>
    <row r="789">
      <c r="C789" s="58"/>
      <c r="D789" s="58"/>
      <c r="E789" s="58"/>
    </row>
    <row r="790">
      <c r="C790" s="58"/>
      <c r="D790" s="58"/>
      <c r="E790" s="58"/>
    </row>
    <row r="791">
      <c r="C791" s="58"/>
      <c r="D791" s="58"/>
      <c r="E791" s="58"/>
    </row>
    <row r="792">
      <c r="C792" s="58"/>
      <c r="D792" s="58"/>
      <c r="E792" s="58"/>
    </row>
    <row r="793">
      <c r="C793" s="58"/>
      <c r="D793" s="58"/>
      <c r="E793" s="58"/>
    </row>
    <row r="794">
      <c r="C794" s="58"/>
      <c r="D794" s="58"/>
      <c r="E794" s="58"/>
    </row>
    <row r="795">
      <c r="C795" s="58"/>
      <c r="D795" s="58"/>
      <c r="E795" s="58"/>
    </row>
    <row r="796">
      <c r="C796" s="58"/>
      <c r="D796" s="58"/>
      <c r="E796" s="58"/>
    </row>
    <row r="797">
      <c r="C797" s="58"/>
      <c r="D797" s="58"/>
      <c r="E797" s="58"/>
    </row>
    <row r="798">
      <c r="C798" s="58"/>
      <c r="D798" s="58"/>
      <c r="E798" s="58"/>
    </row>
    <row r="799">
      <c r="C799" s="58"/>
      <c r="D799" s="58"/>
      <c r="E799" s="58"/>
    </row>
    <row r="800">
      <c r="C800" s="58"/>
      <c r="D800" s="58"/>
      <c r="E800" s="58"/>
    </row>
    <row r="801">
      <c r="C801" s="58"/>
      <c r="D801" s="58"/>
      <c r="E801" s="58"/>
    </row>
    <row r="802">
      <c r="C802" s="58"/>
      <c r="D802" s="58"/>
      <c r="E802" s="58"/>
    </row>
    <row r="803">
      <c r="C803" s="58"/>
      <c r="D803" s="58"/>
      <c r="E803" s="58"/>
    </row>
    <row r="804">
      <c r="C804" s="58"/>
      <c r="D804" s="58"/>
      <c r="E804" s="58"/>
    </row>
    <row r="805">
      <c r="C805" s="58"/>
      <c r="D805" s="58"/>
      <c r="E805" s="58"/>
    </row>
    <row r="806">
      <c r="C806" s="58"/>
      <c r="D806" s="58"/>
      <c r="E806" s="58"/>
    </row>
    <row r="807">
      <c r="C807" s="58"/>
      <c r="D807" s="58"/>
      <c r="E807" s="58"/>
    </row>
    <row r="808">
      <c r="C808" s="58"/>
      <c r="D808" s="58"/>
      <c r="E808" s="58"/>
    </row>
    <row r="809">
      <c r="C809" s="58"/>
      <c r="D809" s="58"/>
      <c r="E809" s="58"/>
    </row>
    <row r="810">
      <c r="C810" s="58"/>
      <c r="D810" s="58"/>
      <c r="E810" s="58"/>
    </row>
    <row r="811">
      <c r="C811" s="58"/>
      <c r="D811" s="58"/>
      <c r="E811" s="58"/>
    </row>
    <row r="812">
      <c r="C812" s="58"/>
      <c r="D812" s="58"/>
      <c r="E812" s="58"/>
    </row>
    <row r="813">
      <c r="C813" s="58"/>
      <c r="D813" s="58"/>
      <c r="E813" s="58"/>
    </row>
    <row r="814">
      <c r="C814" s="58"/>
      <c r="D814" s="58"/>
      <c r="E814" s="58"/>
    </row>
    <row r="815">
      <c r="C815" s="58"/>
      <c r="D815" s="58"/>
      <c r="E815" s="58"/>
    </row>
    <row r="816">
      <c r="C816" s="58"/>
      <c r="D816" s="58"/>
      <c r="E816" s="58"/>
    </row>
    <row r="817">
      <c r="C817" s="58"/>
      <c r="D817" s="58"/>
      <c r="E817" s="58"/>
    </row>
    <row r="818">
      <c r="C818" s="58"/>
      <c r="D818" s="58"/>
      <c r="E818" s="58"/>
    </row>
    <row r="819">
      <c r="C819" s="58"/>
      <c r="D819" s="58"/>
      <c r="E819" s="58"/>
    </row>
    <row r="820">
      <c r="C820" s="58"/>
      <c r="D820" s="58"/>
      <c r="E820" s="58"/>
    </row>
    <row r="821">
      <c r="C821" s="58"/>
      <c r="D821" s="58"/>
      <c r="E821" s="58"/>
    </row>
    <row r="822">
      <c r="C822" s="58"/>
      <c r="D822" s="58"/>
      <c r="E822" s="58"/>
    </row>
    <row r="823">
      <c r="C823" s="58"/>
      <c r="D823" s="58"/>
      <c r="E823" s="58"/>
    </row>
    <row r="824">
      <c r="C824" s="58"/>
      <c r="D824" s="58"/>
      <c r="E824" s="58"/>
    </row>
    <row r="825">
      <c r="C825" s="58"/>
      <c r="D825" s="58"/>
      <c r="E825" s="58"/>
    </row>
    <row r="826">
      <c r="C826" s="58"/>
      <c r="D826" s="58"/>
      <c r="E826" s="58"/>
    </row>
    <row r="827">
      <c r="C827" s="58"/>
      <c r="D827" s="58"/>
      <c r="E827" s="58"/>
    </row>
    <row r="828">
      <c r="C828" s="58"/>
      <c r="D828" s="58"/>
      <c r="E828" s="58"/>
    </row>
    <row r="829">
      <c r="C829" s="58"/>
      <c r="D829" s="58"/>
      <c r="E829" s="58"/>
    </row>
    <row r="830">
      <c r="C830" s="58"/>
      <c r="D830" s="58"/>
      <c r="E830" s="58"/>
    </row>
    <row r="831">
      <c r="C831" s="58"/>
      <c r="D831" s="58"/>
      <c r="E831" s="58"/>
    </row>
    <row r="832">
      <c r="C832" s="58"/>
      <c r="D832" s="58"/>
      <c r="E832" s="58"/>
    </row>
    <row r="833">
      <c r="C833" s="58"/>
      <c r="D833" s="58"/>
      <c r="E833" s="58"/>
    </row>
    <row r="834">
      <c r="C834" s="58"/>
      <c r="D834" s="58"/>
      <c r="E834" s="58"/>
    </row>
    <row r="835">
      <c r="C835" s="58"/>
      <c r="D835" s="58"/>
      <c r="E835" s="58"/>
    </row>
    <row r="836">
      <c r="C836" s="58"/>
      <c r="D836" s="58"/>
      <c r="E836" s="58"/>
    </row>
    <row r="837">
      <c r="C837" s="58"/>
      <c r="D837" s="58"/>
      <c r="E837" s="58"/>
    </row>
    <row r="838">
      <c r="C838" s="58"/>
      <c r="D838" s="58"/>
      <c r="E838" s="58"/>
    </row>
    <row r="839">
      <c r="C839" s="58"/>
      <c r="D839" s="58"/>
      <c r="E839" s="58"/>
    </row>
    <row r="840">
      <c r="C840" s="58"/>
      <c r="D840" s="58"/>
      <c r="E840" s="58"/>
    </row>
    <row r="841">
      <c r="C841" s="58"/>
      <c r="D841" s="58"/>
      <c r="E841" s="58"/>
    </row>
    <row r="842">
      <c r="C842" s="58"/>
      <c r="D842" s="58"/>
      <c r="E842" s="58"/>
    </row>
    <row r="843">
      <c r="C843" s="58"/>
      <c r="D843" s="58"/>
      <c r="E843" s="58"/>
    </row>
    <row r="844">
      <c r="C844" s="58"/>
      <c r="D844" s="58"/>
      <c r="E844" s="58"/>
    </row>
    <row r="845">
      <c r="C845" s="58"/>
      <c r="D845" s="58"/>
      <c r="E845" s="58"/>
    </row>
    <row r="846">
      <c r="C846" s="58"/>
      <c r="D846" s="58"/>
      <c r="E846" s="58"/>
    </row>
    <row r="847">
      <c r="C847" s="58"/>
      <c r="D847" s="58"/>
      <c r="E847" s="58"/>
    </row>
    <row r="848">
      <c r="C848" s="58"/>
      <c r="D848" s="58"/>
      <c r="E848" s="58"/>
    </row>
    <row r="849">
      <c r="C849" s="58"/>
      <c r="D849" s="58"/>
      <c r="E849" s="58"/>
    </row>
    <row r="850">
      <c r="C850" s="58"/>
      <c r="D850" s="58"/>
      <c r="E850" s="58"/>
    </row>
    <row r="851">
      <c r="C851" s="58"/>
      <c r="D851" s="58"/>
      <c r="E851" s="58"/>
    </row>
    <row r="852">
      <c r="C852" s="58"/>
      <c r="D852" s="58"/>
      <c r="E852" s="58"/>
    </row>
    <row r="853">
      <c r="C853" s="58"/>
      <c r="D853" s="58"/>
      <c r="E853" s="58"/>
    </row>
    <row r="854">
      <c r="C854" s="58"/>
      <c r="D854" s="58"/>
      <c r="E854" s="58"/>
    </row>
    <row r="855">
      <c r="C855" s="58"/>
      <c r="D855" s="58"/>
      <c r="E855" s="58"/>
    </row>
    <row r="856">
      <c r="C856" s="58"/>
      <c r="D856" s="58"/>
      <c r="E856" s="58"/>
    </row>
    <row r="857">
      <c r="C857" s="58"/>
      <c r="D857" s="58"/>
      <c r="E857" s="58"/>
    </row>
    <row r="858">
      <c r="C858" s="58"/>
      <c r="D858" s="58"/>
      <c r="E858" s="58"/>
    </row>
    <row r="859">
      <c r="C859" s="58"/>
      <c r="D859" s="58"/>
      <c r="E859" s="58"/>
    </row>
    <row r="860">
      <c r="C860" s="58"/>
      <c r="D860" s="58"/>
      <c r="E860" s="58"/>
    </row>
    <row r="861">
      <c r="C861" s="58"/>
      <c r="D861" s="58"/>
      <c r="E861" s="58"/>
    </row>
    <row r="862">
      <c r="C862" s="58"/>
      <c r="D862" s="58"/>
      <c r="E862" s="58"/>
    </row>
    <row r="863">
      <c r="C863" s="58"/>
      <c r="D863" s="58"/>
      <c r="E863" s="58"/>
    </row>
    <row r="864">
      <c r="C864" s="58"/>
      <c r="D864" s="58"/>
      <c r="E864" s="58"/>
    </row>
    <row r="865">
      <c r="C865" s="58"/>
      <c r="D865" s="58"/>
      <c r="E865" s="58"/>
    </row>
    <row r="866">
      <c r="C866" s="58"/>
      <c r="D866" s="58"/>
      <c r="E866" s="58"/>
    </row>
    <row r="867">
      <c r="C867" s="58"/>
      <c r="D867" s="58"/>
      <c r="E867" s="58"/>
    </row>
    <row r="868">
      <c r="C868" s="58"/>
      <c r="D868" s="58"/>
      <c r="E868" s="58"/>
    </row>
    <row r="869">
      <c r="C869" s="58"/>
      <c r="D869" s="58"/>
      <c r="E869" s="58"/>
    </row>
    <row r="870">
      <c r="C870" s="58"/>
      <c r="D870" s="58"/>
      <c r="E870" s="58"/>
    </row>
    <row r="871">
      <c r="C871" s="58"/>
      <c r="D871" s="58"/>
      <c r="E871" s="58"/>
    </row>
    <row r="872">
      <c r="C872" s="58"/>
      <c r="D872" s="58"/>
      <c r="E872" s="58"/>
    </row>
    <row r="873">
      <c r="C873" s="58"/>
      <c r="D873" s="58"/>
      <c r="E873" s="58"/>
    </row>
    <row r="874">
      <c r="C874" s="58"/>
      <c r="D874" s="58"/>
      <c r="E874" s="58"/>
    </row>
    <row r="875">
      <c r="C875" s="58"/>
      <c r="D875" s="58"/>
      <c r="E875" s="58"/>
    </row>
    <row r="876">
      <c r="C876" s="58"/>
      <c r="D876" s="58"/>
      <c r="E876" s="58"/>
    </row>
    <row r="877">
      <c r="C877" s="58"/>
      <c r="D877" s="58"/>
      <c r="E877" s="58"/>
    </row>
    <row r="878">
      <c r="C878" s="58"/>
      <c r="D878" s="58"/>
      <c r="E878" s="58"/>
    </row>
    <row r="879">
      <c r="C879" s="58"/>
      <c r="D879" s="58"/>
      <c r="E879" s="58"/>
    </row>
    <row r="880">
      <c r="C880" s="58"/>
      <c r="D880" s="58"/>
      <c r="E880" s="58"/>
    </row>
    <row r="881">
      <c r="C881" s="58"/>
      <c r="D881" s="58"/>
      <c r="E881" s="58"/>
    </row>
    <row r="882">
      <c r="C882" s="58"/>
      <c r="D882" s="58"/>
      <c r="E882" s="58"/>
    </row>
    <row r="883">
      <c r="C883" s="58"/>
      <c r="D883" s="58"/>
      <c r="E883" s="58"/>
    </row>
    <row r="884">
      <c r="C884" s="58"/>
      <c r="D884" s="58"/>
      <c r="E884" s="58"/>
    </row>
    <row r="885">
      <c r="C885" s="58"/>
      <c r="D885" s="58"/>
      <c r="E885" s="58"/>
    </row>
    <row r="886">
      <c r="C886" s="58"/>
      <c r="D886" s="58"/>
      <c r="E886" s="58"/>
    </row>
    <row r="887">
      <c r="C887" s="58"/>
      <c r="D887" s="58"/>
      <c r="E887" s="58"/>
    </row>
    <row r="888">
      <c r="C888" s="58"/>
      <c r="D888" s="58"/>
      <c r="E888" s="58"/>
    </row>
    <row r="889">
      <c r="C889" s="58"/>
      <c r="D889" s="58"/>
      <c r="E889" s="58"/>
    </row>
    <row r="890">
      <c r="C890" s="58"/>
      <c r="D890" s="58"/>
      <c r="E890" s="58"/>
    </row>
    <row r="891">
      <c r="C891" s="58"/>
      <c r="D891" s="58"/>
      <c r="E891" s="58"/>
    </row>
    <row r="892">
      <c r="C892" s="58"/>
      <c r="D892" s="58"/>
      <c r="E892" s="58"/>
    </row>
    <row r="893">
      <c r="C893" s="58"/>
      <c r="D893" s="58"/>
      <c r="E893" s="58"/>
    </row>
    <row r="894">
      <c r="C894" s="58"/>
      <c r="D894" s="58"/>
      <c r="E894" s="58"/>
    </row>
    <row r="895">
      <c r="C895" s="58"/>
      <c r="D895" s="58"/>
      <c r="E895" s="58"/>
    </row>
    <row r="896">
      <c r="C896" s="58"/>
      <c r="D896" s="58"/>
      <c r="E896" s="58"/>
    </row>
    <row r="897">
      <c r="C897" s="58"/>
      <c r="D897" s="58"/>
      <c r="E897" s="58"/>
    </row>
    <row r="898">
      <c r="C898" s="58"/>
      <c r="D898" s="58"/>
      <c r="E898" s="58"/>
    </row>
    <row r="899">
      <c r="C899" s="58"/>
      <c r="D899" s="58"/>
      <c r="E899" s="58"/>
    </row>
    <row r="900">
      <c r="C900" s="58"/>
      <c r="D900" s="58"/>
      <c r="E900" s="58"/>
    </row>
    <row r="901">
      <c r="C901" s="58"/>
      <c r="D901" s="58"/>
      <c r="E901" s="58"/>
    </row>
    <row r="902">
      <c r="C902" s="58"/>
      <c r="D902" s="58"/>
      <c r="E902" s="58"/>
    </row>
    <row r="903">
      <c r="C903" s="58"/>
      <c r="D903" s="58"/>
      <c r="E903" s="58"/>
    </row>
    <row r="904">
      <c r="C904" s="58"/>
      <c r="D904" s="58"/>
      <c r="E904" s="58"/>
    </row>
    <row r="905">
      <c r="C905" s="58"/>
      <c r="D905" s="58"/>
      <c r="E905" s="58"/>
    </row>
    <row r="906">
      <c r="C906" s="58"/>
      <c r="D906" s="58"/>
      <c r="E906" s="58"/>
    </row>
    <row r="907">
      <c r="C907" s="58"/>
      <c r="D907" s="58"/>
      <c r="E907" s="58"/>
    </row>
    <row r="908">
      <c r="C908" s="58"/>
      <c r="D908" s="58"/>
      <c r="E908" s="58"/>
    </row>
    <row r="909">
      <c r="C909" s="58"/>
      <c r="D909" s="58"/>
      <c r="E909" s="58"/>
    </row>
    <row r="910">
      <c r="C910" s="58"/>
      <c r="D910" s="58"/>
      <c r="E910" s="58"/>
    </row>
    <row r="911">
      <c r="C911" s="58"/>
      <c r="D911" s="58"/>
      <c r="E911" s="58"/>
    </row>
    <row r="912">
      <c r="C912" s="58"/>
      <c r="D912" s="58"/>
      <c r="E912" s="58"/>
    </row>
    <row r="913">
      <c r="C913" s="58"/>
      <c r="D913" s="58"/>
      <c r="E913" s="58"/>
    </row>
    <row r="914">
      <c r="C914" s="58"/>
      <c r="D914" s="58"/>
      <c r="E914" s="58"/>
    </row>
    <row r="915">
      <c r="C915" s="58"/>
      <c r="D915" s="58"/>
      <c r="E915" s="58"/>
    </row>
    <row r="916">
      <c r="C916" s="58"/>
      <c r="D916" s="58"/>
      <c r="E916" s="58"/>
    </row>
    <row r="917">
      <c r="C917" s="58"/>
      <c r="D917" s="58"/>
      <c r="E917" s="58"/>
    </row>
    <row r="918">
      <c r="C918" s="58"/>
      <c r="D918" s="58"/>
      <c r="E918" s="58"/>
    </row>
    <row r="919">
      <c r="C919" s="58"/>
      <c r="D919" s="58"/>
      <c r="E919" s="58"/>
    </row>
    <row r="920">
      <c r="C920" s="58"/>
      <c r="D920" s="58"/>
      <c r="E920" s="58"/>
    </row>
    <row r="921">
      <c r="C921" s="58"/>
      <c r="D921" s="58"/>
      <c r="E921" s="58"/>
    </row>
    <row r="922">
      <c r="C922" s="58"/>
      <c r="D922" s="58"/>
      <c r="E922" s="58"/>
    </row>
    <row r="923">
      <c r="C923" s="58"/>
      <c r="D923" s="58"/>
      <c r="E923" s="58"/>
    </row>
    <row r="924">
      <c r="C924" s="58"/>
      <c r="D924" s="58"/>
      <c r="E924" s="58"/>
    </row>
    <row r="925">
      <c r="C925" s="58"/>
      <c r="D925" s="58"/>
      <c r="E925" s="58"/>
    </row>
    <row r="926">
      <c r="C926" s="58"/>
      <c r="D926" s="58"/>
      <c r="E926" s="58"/>
    </row>
    <row r="927">
      <c r="C927" s="58"/>
      <c r="D927" s="58"/>
      <c r="E927" s="58"/>
    </row>
    <row r="928">
      <c r="C928" s="58"/>
      <c r="D928" s="58"/>
      <c r="E928" s="58"/>
    </row>
    <row r="929">
      <c r="C929" s="58"/>
      <c r="D929" s="58"/>
      <c r="E929" s="58"/>
    </row>
    <row r="930">
      <c r="C930" s="58"/>
      <c r="D930" s="58"/>
      <c r="E930" s="58"/>
    </row>
    <row r="931">
      <c r="C931" s="58"/>
      <c r="D931" s="58"/>
      <c r="E931" s="58"/>
    </row>
    <row r="932">
      <c r="C932" s="58"/>
      <c r="D932" s="58"/>
      <c r="E932" s="58"/>
    </row>
    <row r="933">
      <c r="C933" s="58"/>
      <c r="D933" s="58"/>
      <c r="E933" s="58"/>
    </row>
    <row r="934">
      <c r="C934" s="58"/>
      <c r="D934" s="58"/>
      <c r="E934" s="58"/>
    </row>
    <row r="935">
      <c r="C935" s="58"/>
      <c r="D935" s="58"/>
      <c r="E935" s="58"/>
    </row>
    <row r="936">
      <c r="C936" s="58"/>
      <c r="D936" s="58"/>
      <c r="E936" s="58"/>
    </row>
    <row r="937">
      <c r="C937" s="58"/>
      <c r="D937" s="58"/>
      <c r="E937" s="58"/>
    </row>
    <row r="938">
      <c r="C938" s="58"/>
      <c r="D938" s="58"/>
      <c r="E938" s="58"/>
    </row>
    <row r="939">
      <c r="C939" s="58"/>
      <c r="D939" s="58"/>
      <c r="E939" s="58"/>
    </row>
    <row r="940">
      <c r="C940" s="58"/>
      <c r="D940" s="58"/>
      <c r="E940" s="58"/>
    </row>
    <row r="941">
      <c r="C941" s="58"/>
      <c r="D941" s="58"/>
      <c r="E941" s="58"/>
    </row>
    <row r="942">
      <c r="C942" s="58"/>
      <c r="D942" s="58"/>
      <c r="E942" s="58"/>
    </row>
    <row r="943">
      <c r="C943" s="58"/>
      <c r="D943" s="58"/>
      <c r="E943" s="58"/>
    </row>
    <row r="944">
      <c r="C944" s="58"/>
      <c r="D944" s="58"/>
      <c r="E944" s="58"/>
    </row>
    <row r="945">
      <c r="C945" s="58"/>
      <c r="D945" s="58"/>
      <c r="E945" s="58"/>
    </row>
    <row r="946">
      <c r="C946" s="58"/>
      <c r="D946" s="58"/>
      <c r="E946" s="58"/>
    </row>
    <row r="947">
      <c r="C947" s="58"/>
      <c r="D947" s="58"/>
      <c r="E947" s="58"/>
    </row>
    <row r="948">
      <c r="C948" s="58"/>
      <c r="D948" s="58"/>
      <c r="E948" s="58"/>
    </row>
    <row r="949">
      <c r="C949" s="58"/>
      <c r="D949" s="58"/>
      <c r="E949" s="58"/>
    </row>
    <row r="950">
      <c r="C950" s="58"/>
      <c r="D950" s="58"/>
      <c r="E950" s="58"/>
    </row>
    <row r="951">
      <c r="C951" s="58"/>
      <c r="D951" s="58"/>
      <c r="E951" s="58"/>
    </row>
    <row r="952">
      <c r="C952" s="58"/>
      <c r="D952" s="58"/>
      <c r="E952" s="58"/>
    </row>
    <row r="953">
      <c r="C953" s="58"/>
      <c r="D953" s="58"/>
      <c r="E953" s="58"/>
    </row>
    <row r="954">
      <c r="C954" s="58"/>
      <c r="D954" s="58"/>
      <c r="E954" s="58"/>
    </row>
    <row r="955">
      <c r="C955" s="58"/>
      <c r="D955" s="58"/>
      <c r="E955" s="58"/>
    </row>
    <row r="956">
      <c r="C956" s="58"/>
      <c r="D956" s="58"/>
      <c r="E956" s="58"/>
    </row>
    <row r="957">
      <c r="C957" s="58"/>
      <c r="D957" s="58"/>
      <c r="E957" s="58"/>
    </row>
    <row r="958">
      <c r="C958" s="58"/>
      <c r="D958" s="58"/>
      <c r="E958" s="58"/>
    </row>
    <row r="959">
      <c r="C959" s="58"/>
      <c r="D959" s="58"/>
      <c r="E959" s="58"/>
    </row>
    <row r="960">
      <c r="C960" s="58"/>
      <c r="D960" s="58"/>
      <c r="E960" s="58"/>
    </row>
    <row r="961">
      <c r="C961" s="58"/>
      <c r="D961" s="58"/>
      <c r="E961" s="58"/>
    </row>
    <row r="962">
      <c r="C962" s="58"/>
      <c r="D962" s="58"/>
      <c r="E962" s="58"/>
    </row>
    <row r="963">
      <c r="C963" s="58"/>
      <c r="D963" s="58"/>
      <c r="E963" s="58"/>
    </row>
    <row r="964">
      <c r="C964" s="58"/>
      <c r="D964" s="58"/>
      <c r="E964" s="58"/>
    </row>
    <row r="965">
      <c r="C965" s="58"/>
      <c r="D965" s="58"/>
      <c r="E965" s="58"/>
    </row>
    <row r="966">
      <c r="C966" s="58"/>
      <c r="D966" s="58"/>
      <c r="E966" s="58"/>
    </row>
    <row r="967">
      <c r="C967" s="58"/>
      <c r="D967" s="58"/>
      <c r="E967" s="58"/>
    </row>
    <row r="968">
      <c r="C968" s="58"/>
      <c r="D968" s="58"/>
      <c r="E968" s="58"/>
    </row>
    <row r="969">
      <c r="C969" s="58"/>
      <c r="D969" s="58"/>
      <c r="E969" s="58"/>
    </row>
    <row r="970">
      <c r="C970" s="58"/>
      <c r="D970" s="58"/>
      <c r="E970" s="58"/>
    </row>
    <row r="971">
      <c r="C971" s="58"/>
      <c r="D971" s="58"/>
      <c r="E971" s="58"/>
    </row>
    <row r="972">
      <c r="C972" s="58"/>
      <c r="D972" s="58"/>
      <c r="E972" s="58"/>
    </row>
    <row r="973">
      <c r="C973" s="58"/>
      <c r="D973" s="58"/>
      <c r="E973" s="58"/>
    </row>
    <row r="974">
      <c r="C974" s="58"/>
      <c r="D974" s="58"/>
      <c r="E974" s="58"/>
    </row>
    <row r="975">
      <c r="C975" s="58"/>
      <c r="D975" s="58"/>
      <c r="E975" s="58"/>
    </row>
    <row r="976">
      <c r="C976" s="58"/>
      <c r="D976" s="58"/>
      <c r="E976" s="58"/>
    </row>
    <row r="977">
      <c r="C977" s="58"/>
      <c r="D977" s="58"/>
      <c r="E977" s="58"/>
    </row>
    <row r="978">
      <c r="C978" s="58"/>
      <c r="D978" s="58"/>
      <c r="E978" s="58"/>
    </row>
    <row r="979">
      <c r="C979" s="58"/>
      <c r="D979" s="58"/>
      <c r="E979" s="58"/>
    </row>
    <row r="980">
      <c r="C980" s="58"/>
      <c r="D980" s="58"/>
      <c r="E980" s="58"/>
    </row>
    <row r="981">
      <c r="C981" s="58"/>
      <c r="D981" s="58"/>
      <c r="E981" s="58"/>
    </row>
    <row r="982">
      <c r="C982" s="58"/>
      <c r="D982" s="58"/>
      <c r="E982" s="58"/>
    </row>
    <row r="983">
      <c r="C983" s="58"/>
      <c r="D983" s="58"/>
      <c r="E983" s="58"/>
    </row>
    <row r="984">
      <c r="C984" s="58"/>
      <c r="D984" s="58"/>
      <c r="E984" s="58"/>
    </row>
    <row r="985">
      <c r="C985" s="58"/>
      <c r="D985" s="58"/>
      <c r="E985" s="58"/>
    </row>
    <row r="986">
      <c r="C986" s="58"/>
      <c r="D986" s="58"/>
      <c r="E986" s="58"/>
    </row>
    <row r="987">
      <c r="C987" s="58"/>
      <c r="D987" s="58"/>
      <c r="E987" s="58"/>
    </row>
    <row r="988">
      <c r="C988" s="58"/>
      <c r="D988" s="58"/>
      <c r="E988" s="58"/>
    </row>
    <row r="989">
      <c r="C989" s="58"/>
      <c r="D989" s="58"/>
      <c r="E989" s="58"/>
    </row>
    <row r="990">
      <c r="C990" s="58"/>
      <c r="D990" s="58"/>
      <c r="E990" s="58"/>
    </row>
    <row r="991">
      <c r="C991" s="58"/>
      <c r="D991" s="58"/>
      <c r="E991" s="58"/>
    </row>
    <row r="992">
      <c r="C992" s="58"/>
      <c r="D992" s="58"/>
      <c r="E992" s="58"/>
    </row>
    <row r="993">
      <c r="C993" s="58"/>
      <c r="D993" s="58"/>
      <c r="E993" s="58"/>
    </row>
    <row r="994">
      <c r="C994" s="58"/>
      <c r="D994" s="58"/>
      <c r="E994" s="58"/>
    </row>
    <row r="995">
      <c r="C995" s="58"/>
      <c r="D995" s="58"/>
      <c r="E995" s="58"/>
    </row>
    <row r="996">
      <c r="C996" s="58"/>
      <c r="D996" s="58"/>
      <c r="E996" s="58"/>
    </row>
    <row r="997">
      <c r="C997" s="58"/>
      <c r="D997" s="58"/>
      <c r="E997" s="58"/>
    </row>
    <row r="998">
      <c r="C998" s="58"/>
      <c r="D998" s="58"/>
      <c r="E998" s="58"/>
    </row>
    <row r="999">
      <c r="C999" s="58"/>
      <c r="D999" s="58"/>
      <c r="E999" s="58"/>
    </row>
    <row r="1000">
      <c r="C1000" s="58"/>
      <c r="D1000" s="58"/>
      <c r="E1000" s="58"/>
    </row>
    <row r="1001">
      <c r="C1001" s="58"/>
      <c r="D1001" s="58"/>
      <c r="E1001" s="58"/>
    </row>
    <row r="1002">
      <c r="C1002" s="58"/>
      <c r="D1002" s="58"/>
      <c r="E1002" s="58"/>
    </row>
    <row r="1003">
      <c r="C1003" s="58"/>
      <c r="D1003" s="58"/>
      <c r="E1003" s="58"/>
    </row>
    <row r="1004">
      <c r="C1004" s="58"/>
      <c r="D1004" s="58"/>
      <c r="E1004" s="58"/>
    </row>
    <row r="1005">
      <c r="C1005" s="58"/>
      <c r="D1005" s="58"/>
      <c r="E1005" s="58"/>
    </row>
    <row r="1006">
      <c r="C1006" s="58"/>
      <c r="D1006" s="58"/>
      <c r="E1006" s="58"/>
    </row>
    <row r="1007">
      <c r="C1007" s="58"/>
      <c r="D1007" s="58"/>
      <c r="E1007" s="58"/>
    </row>
    <row r="1008">
      <c r="C1008" s="58"/>
      <c r="D1008" s="58"/>
      <c r="E1008" s="58"/>
    </row>
    <row r="1009">
      <c r="C1009" s="58"/>
      <c r="D1009" s="58"/>
      <c r="E1009" s="58"/>
    </row>
    <row r="1010">
      <c r="C1010" s="58"/>
      <c r="D1010" s="58"/>
      <c r="E1010" s="58"/>
    </row>
    <row r="1011">
      <c r="C1011" s="58"/>
      <c r="D1011" s="58"/>
      <c r="E1011" s="58"/>
    </row>
    <row r="1012">
      <c r="C1012" s="58"/>
      <c r="D1012" s="58"/>
      <c r="E1012" s="58"/>
    </row>
    <row r="1013">
      <c r="C1013" s="58"/>
      <c r="D1013" s="58"/>
      <c r="E1013" s="58"/>
    </row>
  </sheetData>
  <hyperlinks>
    <hyperlink r:id="rId1" ref="B1"/>
    <hyperlink r:id="rId2" ref="E1"/>
    <hyperlink r:id="rId3" ref="H1"/>
    <hyperlink r:id="rId4" ref="K1"/>
    <hyperlink r:id="rId5" ref="N1"/>
    <hyperlink r:id="rId6" ref="Q1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</cols>
  <sheetData>
    <row r="1">
      <c r="A1" s="3"/>
      <c r="B1" s="5" t="s">
        <v>1</v>
      </c>
      <c r="C1" s="5" t="s">
        <v>1</v>
      </c>
      <c r="D1" s="5" t="s">
        <v>1</v>
      </c>
      <c r="E1" s="5" t="s">
        <v>3</v>
      </c>
      <c r="F1" s="5" t="s">
        <v>1</v>
      </c>
      <c r="G1" s="16" t="s">
        <v>1</v>
      </c>
      <c r="H1" s="17"/>
      <c r="I1" s="17"/>
      <c r="J1" s="17"/>
      <c r="K1" s="18"/>
      <c r="L1" s="19"/>
    </row>
    <row r="2">
      <c r="A2" s="1" t="s">
        <v>6</v>
      </c>
      <c r="B2" s="7" t="s">
        <v>7</v>
      </c>
      <c r="C2" s="7" t="s">
        <v>8</v>
      </c>
      <c r="D2" s="7" t="s">
        <v>9</v>
      </c>
      <c r="E2" s="7" t="s">
        <v>3</v>
      </c>
      <c r="F2" s="7" t="s">
        <v>10</v>
      </c>
      <c r="G2" s="20" t="s">
        <v>11</v>
      </c>
      <c r="H2" s="7" t="s">
        <v>12</v>
      </c>
      <c r="I2" s="7" t="s">
        <v>13</v>
      </c>
      <c r="J2" s="7" t="s">
        <v>14</v>
      </c>
      <c r="K2" s="18"/>
      <c r="L2" s="19"/>
    </row>
    <row r="3">
      <c r="A3" s="21" t="s">
        <v>16</v>
      </c>
      <c r="B3" s="23">
        <f t="shared" ref="B3:G3" si="1">sum(B4,B10)</f>
        <v>205658</v>
      </c>
      <c r="C3" s="23">
        <f t="shared" si="1"/>
        <v>209404</v>
      </c>
      <c r="D3" s="23">
        <f t="shared" si="1"/>
        <v>185901</v>
      </c>
      <c r="E3" s="23">
        <f t="shared" si="1"/>
        <v>117914</v>
      </c>
      <c r="F3" s="23">
        <f t="shared" si="1"/>
        <v>122577</v>
      </c>
      <c r="G3" s="23">
        <f t="shared" si="1"/>
        <v>138806</v>
      </c>
      <c r="H3" s="23"/>
      <c r="I3" s="23"/>
      <c r="J3" s="23"/>
      <c r="K3" s="26"/>
    </row>
    <row r="4" outlineLevel="1">
      <c r="A4" s="21" t="s">
        <v>20</v>
      </c>
      <c r="B4" s="23">
        <f t="shared" ref="B4:G4" si="2">sum(B5:B9)</f>
        <v>150228</v>
      </c>
      <c r="C4" s="23">
        <f t="shared" si="2"/>
        <v>179124</v>
      </c>
      <c r="D4" s="23">
        <f t="shared" si="2"/>
        <v>142976</v>
      </c>
      <c r="E4" s="23">
        <f t="shared" si="2"/>
        <v>96864</v>
      </c>
      <c r="F4" s="23">
        <f t="shared" si="2"/>
        <v>112960</v>
      </c>
      <c r="G4" s="23">
        <f t="shared" si="2"/>
        <v>121236</v>
      </c>
      <c r="H4" s="22"/>
      <c r="I4" s="27"/>
      <c r="J4" s="22"/>
      <c r="K4" s="26"/>
    </row>
    <row r="5" outlineLevel="1">
      <c r="A5" s="28" t="s">
        <v>21</v>
      </c>
      <c r="B5" s="29">
        <v>49400.0</v>
      </c>
      <c r="C5" s="22">
        <v>164897.0</v>
      </c>
      <c r="D5" s="22">
        <v>142976.0</v>
      </c>
      <c r="E5" s="29">
        <v>96864.0</v>
      </c>
      <c r="F5" s="29">
        <v>112960.0</v>
      </c>
      <c r="G5" s="30">
        <v>121236.0</v>
      </c>
      <c r="H5" s="22"/>
      <c r="I5" s="27"/>
      <c r="J5" s="22"/>
      <c r="K5" s="26"/>
    </row>
    <row r="6" outlineLevel="1">
      <c r="A6" s="28" t="s">
        <v>22</v>
      </c>
      <c r="B6" s="29">
        <v>98428.0</v>
      </c>
      <c r="C6" s="22">
        <v>14227.0</v>
      </c>
      <c r="D6" s="22">
        <v>0.0</v>
      </c>
      <c r="E6" s="29">
        <v>0.0</v>
      </c>
      <c r="F6" s="29">
        <v>0.0</v>
      </c>
      <c r="G6" s="30">
        <v>0.0</v>
      </c>
      <c r="H6" s="22"/>
      <c r="I6" s="27"/>
      <c r="J6" s="22"/>
      <c r="K6" s="26"/>
    </row>
    <row r="7" outlineLevel="1">
      <c r="A7" s="28" t="s">
        <v>23</v>
      </c>
      <c r="B7" s="29">
        <v>1200.0</v>
      </c>
      <c r="C7" s="22">
        <v>0.0</v>
      </c>
      <c r="D7" s="22">
        <v>0.0</v>
      </c>
      <c r="E7" s="29">
        <v>0.0</v>
      </c>
      <c r="F7" s="29">
        <v>0.0</v>
      </c>
      <c r="G7" s="30">
        <v>0.0</v>
      </c>
      <c r="H7" s="22"/>
      <c r="I7" s="27"/>
      <c r="J7" s="22"/>
      <c r="K7" s="26"/>
    </row>
    <row r="8">
      <c r="A8" s="28" t="s">
        <v>24</v>
      </c>
      <c r="B8" s="29">
        <v>1200.0</v>
      </c>
      <c r="C8" s="22">
        <v>0.0</v>
      </c>
      <c r="D8" s="22">
        <v>0.0</v>
      </c>
      <c r="E8" s="22">
        <v>0.0</v>
      </c>
      <c r="F8" s="31">
        <v>0.0</v>
      </c>
      <c r="G8" s="23">
        <v>0.0</v>
      </c>
      <c r="H8" s="31"/>
      <c r="I8" s="31"/>
      <c r="J8" s="31"/>
      <c r="K8" s="26"/>
    </row>
    <row r="9" outlineLevel="1">
      <c r="A9" s="28" t="s">
        <v>25</v>
      </c>
      <c r="B9" s="30">
        <v>0.0</v>
      </c>
      <c r="C9" s="22">
        <v>0.0</v>
      </c>
      <c r="D9" s="22">
        <v>0.0</v>
      </c>
      <c r="E9" s="29">
        <v>0.0</v>
      </c>
      <c r="F9" s="29">
        <v>0.0</v>
      </c>
      <c r="G9" s="30">
        <v>0.0</v>
      </c>
      <c r="H9" s="22"/>
      <c r="I9" s="27"/>
      <c r="J9" s="22"/>
      <c r="K9" s="32"/>
    </row>
    <row r="10" outlineLevel="1">
      <c r="A10" s="21" t="s">
        <v>26</v>
      </c>
      <c r="B10" s="23">
        <f t="shared" ref="B10:G10" si="3">sum(B11:B12)</f>
        <v>55430</v>
      </c>
      <c r="C10" s="23">
        <f t="shared" si="3"/>
        <v>30280</v>
      </c>
      <c r="D10" s="23">
        <f t="shared" si="3"/>
        <v>42925</v>
      </c>
      <c r="E10" s="23">
        <f t="shared" si="3"/>
        <v>21050</v>
      </c>
      <c r="F10" s="23">
        <f t="shared" si="3"/>
        <v>9617</v>
      </c>
      <c r="G10" s="23">
        <f t="shared" si="3"/>
        <v>17570</v>
      </c>
      <c r="H10" s="22"/>
      <c r="I10" s="27"/>
      <c r="J10" s="22"/>
      <c r="K10" s="32"/>
    </row>
    <row r="11" outlineLevel="1">
      <c r="A11" s="28" t="s">
        <v>27</v>
      </c>
      <c r="B11" s="29">
        <v>55430.0</v>
      </c>
      <c r="C11" s="22">
        <v>30280.0</v>
      </c>
      <c r="D11" s="22">
        <v>42925.0</v>
      </c>
      <c r="E11" s="29">
        <v>21050.0</v>
      </c>
      <c r="F11" s="29">
        <v>9617.0</v>
      </c>
      <c r="G11" s="30">
        <v>17570.0</v>
      </c>
      <c r="H11" s="22"/>
      <c r="I11" s="27"/>
      <c r="J11" s="22"/>
      <c r="K11" s="32"/>
    </row>
    <row r="12" outlineLevel="1">
      <c r="A12" s="28" t="s">
        <v>28</v>
      </c>
      <c r="B12" s="29">
        <v>0.0</v>
      </c>
      <c r="C12" s="22">
        <v>0.0</v>
      </c>
      <c r="D12" s="33">
        <v>0.0</v>
      </c>
      <c r="E12" s="29">
        <v>0.0</v>
      </c>
      <c r="F12" s="29">
        <v>0.0</v>
      </c>
      <c r="G12" s="30">
        <v>0.0</v>
      </c>
      <c r="H12" s="22"/>
      <c r="I12" s="27"/>
      <c r="J12" s="22"/>
      <c r="K12" s="32"/>
    </row>
    <row r="13" outlineLevel="1">
      <c r="A13" s="21" t="s">
        <v>29</v>
      </c>
      <c r="B13" s="23">
        <f t="shared" ref="B13:G13" si="4">sum(B14:B16)</f>
        <v>78727</v>
      </c>
      <c r="C13" s="23">
        <f t="shared" si="4"/>
        <v>92550</v>
      </c>
      <c r="D13" s="23">
        <f t="shared" si="4"/>
        <v>134920</v>
      </c>
      <c r="E13" s="23">
        <f t="shared" si="4"/>
        <v>38148</v>
      </c>
      <c r="F13" s="23">
        <f t="shared" si="4"/>
        <v>28774</v>
      </c>
      <c r="G13" s="23">
        <f t="shared" si="4"/>
        <v>42490</v>
      </c>
      <c r="H13" s="29"/>
      <c r="I13" s="27"/>
      <c r="J13" s="22"/>
      <c r="K13" s="32"/>
    </row>
    <row r="14">
      <c r="A14" s="28" t="s">
        <v>30</v>
      </c>
      <c r="B14" s="29">
        <v>60338.0</v>
      </c>
      <c r="C14" s="29">
        <v>61500.0</v>
      </c>
      <c r="D14" s="29">
        <v>40300.0</v>
      </c>
      <c r="E14" s="29">
        <v>34200.0</v>
      </c>
      <c r="F14" s="34">
        <v>18280.0</v>
      </c>
      <c r="G14" s="30">
        <v>35500.0</v>
      </c>
      <c r="H14" s="23"/>
      <c r="I14" s="23"/>
      <c r="J14" s="23"/>
      <c r="K14" s="26"/>
    </row>
    <row r="15" outlineLevel="1">
      <c r="A15" s="28" t="s">
        <v>31</v>
      </c>
      <c r="B15" s="29">
        <v>18389.0</v>
      </c>
      <c r="C15" s="29">
        <v>31050.0</v>
      </c>
      <c r="D15" s="29">
        <v>94620.0</v>
      </c>
      <c r="E15" s="29">
        <v>3948.0</v>
      </c>
      <c r="F15" s="29">
        <v>10494.0</v>
      </c>
      <c r="G15" s="30">
        <v>6990.0</v>
      </c>
      <c r="H15" s="22"/>
      <c r="I15" s="27"/>
      <c r="J15" s="22"/>
      <c r="K15" s="32"/>
    </row>
    <row r="16" outlineLevel="1">
      <c r="A16" s="35" t="s">
        <v>33</v>
      </c>
      <c r="B16" s="36">
        <v>0.0</v>
      </c>
      <c r="C16" s="36">
        <v>0.0</v>
      </c>
      <c r="D16" s="36">
        <v>0.0</v>
      </c>
      <c r="E16" s="36">
        <v>0.0</v>
      </c>
      <c r="F16" s="29">
        <v>0.0</v>
      </c>
      <c r="G16" s="30">
        <v>0.0</v>
      </c>
      <c r="H16" s="22"/>
      <c r="I16" s="27"/>
      <c r="J16" s="22"/>
      <c r="K16" s="32"/>
    </row>
    <row r="17" outlineLevel="1">
      <c r="A17" s="21" t="s">
        <v>34</v>
      </c>
      <c r="B17" s="37">
        <v>0.0</v>
      </c>
      <c r="C17" s="37">
        <v>38000.0</v>
      </c>
      <c r="D17" s="37">
        <v>28500.0</v>
      </c>
      <c r="E17" s="37">
        <v>29500.0</v>
      </c>
      <c r="F17" s="37">
        <v>48750.0</v>
      </c>
      <c r="G17" s="30">
        <v>3500.0</v>
      </c>
      <c r="H17" s="22"/>
      <c r="I17" s="27"/>
      <c r="J17" s="22"/>
      <c r="K17" s="32"/>
    </row>
    <row r="18" outlineLevel="1">
      <c r="A18" s="38" t="s">
        <v>35</v>
      </c>
      <c r="B18" s="23">
        <f t="shared" ref="B18:G18" si="5">sum(B19,B20)</f>
        <v>0</v>
      </c>
      <c r="C18" s="23">
        <f t="shared" si="5"/>
        <v>0</v>
      </c>
      <c r="D18" s="23">
        <f t="shared" si="5"/>
        <v>20000</v>
      </c>
      <c r="E18" s="23">
        <f t="shared" si="5"/>
        <v>0</v>
      </c>
      <c r="F18" s="23">
        <f t="shared" si="5"/>
        <v>0</v>
      </c>
      <c r="G18" s="23">
        <f t="shared" si="5"/>
        <v>20970</v>
      </c>
      <c r="H18" s="22"/>
      <c r="I18" s="27"/>
      <c r="J18" s="22"/>
      <c r="K18" s="32"/>
    </row>
    <row r="19" outlineLevel="1">
      <c r="A19" s="28" t="s">
        <v>36</v>
      </c>
      <c r="B19" s="29">
        <v>0.0</v>
      </c>
      <c r="C19" s="29">
        <v>0.0</v>
      </c>
      <c r="D19" s="22">
        <v>0.0</v>
      </c>
      <c r="E19" s="29">
        <v>0.0</v>
      </c>
      <c r="F19" s="29">
        <v>0.0</v>
      </c>
      <c r="G19" s="30">
        <v>0.0</v>
      </c>
      <c r="H19" s="22"/>
      <c r="I19" s="27"/>
      <c r="J19" s="22"/>
      <c r="K19" s="32"/>
    </row>
    <row r="20">
      <c r="A20" s="28" t="s">
        <v>37</v>
      </c>
      <c r="B20" s="29">
        <v>0.0</v>
      </c>
      <c r="C20" s="22">
        <v>0.0</v>
      </c>
      <c r="D20" s="33">
        <v>20000.0</v>
      </c>
      <c r="E20" s="29">
        <v>0.0</v>
      </c>
      <c r="F20" s="34">
        <v>0.0</v>
      </c>
      <c r="G20" s="34">
        <v>20970.0</v>
      </c>
      <c r="H20" s="31"/>
      <c r="I20" s="39"/>
      <c r="J20" s="31"/>
      <c r="K20" s="26"/>
    </row>
    <row r="21">
      <c r="A21" s="40" t="s">
        <v>38</v>
      </c>
      <c r="B21" s="23">
        <f t="shared" ref="B21:G21" si="6">sum(B22:B24)</f>
        <v>17035</v>
      </c>
      <c r="C21" s="23">
        <f t="shared" si="6"/>
        <v>10890</v>
      </c>
      <c r="D21" s="23">
        <f t="shared" si="6"/>
        <v>19879</v>
      </c>
      <c r="E21" s="23">
        <f t="shared" si="6"/>
        <v>7500</v>
      </c>
      <c r="F21" s="23">
        <f t="shared" si="6"/>
        <v>8065</v>
      </c>
      <c r="G21" s="23">
        <f t="shared" si="6"/>
        <v>11760</v>
      </c>
      <c r="H21" s="22"/>
      <c r="I21" s="27"/>
      <c r="J21" s="22"/>
      <c r="K21" s="26"/>
    </row>
    <row r="22">
      <c r="A22" s="28" t="s">
        <v>40</v>
      </c>
      <c r="B22" s="29">
        <v>14350.0</v>
      </c>
      <c r="C22" s="22">
        <v>8500.0</v>
      </c>
      <c r="D22" s="22">
        <v>12400.0</v>
      </c>
      <c r="E22" s="29">
        <v>3450.0</v>
      </c>
      <c r="F22" s="29">
        <v>4000.0</v>
      </c>
      <c r="G22" s="30">
        <v>5750.0</v>
      </c>
      <c r="H22" s="22"/>
      <c r="I22" s="27"/>
      <c r="J22" s="22"/>
      <c r="K22" s="26"/>
    </row>
    <row r="23">
      <c r="A23" s="28" t="s">
        <v>41</v>
      </c>
      <c r="B23" s="30">
        <v>0.0</v>
      </c>
      <c r="C23" s="22">
        <v>0.0</v>
      </c>
      <c r="D23" s="22">
        <v>2399.0</v>
      </c>
      <c r="E23" s="29">
        <v>0.0</v>
      </c>
      <c r="F23" s="29">
        <v>0.0</v>
      </c>
      <c r="G23" s="30">
        <v>0.0</v>
      </c>
      <c r="H23" s="22"/>
      <c r="I23" s="27"/>
      <c r="J23" s="22"/>
      <c r="K23" s="26"/>
    </row>
    <row r="24">
      <c r="A24" s="28" t="s">
        <v>42</v>
      </c>
      <c r="B24" s="29">
        <v>2685.0</v>
      </c>
      <c r="C24" s="22">
        <v>2390.0</v>
      </c>
      <c r="D24" s="22">
        <v>5080.0</v>
      </c>
      <c r="E24" s="29">
        <v>4050.0</v>
      </c>
      <c r="F24" s="29">
        <v>4065.0</v>
      </c>
      <c r="G24" s="30">
        <v>6010.0</v>
      </c>
      <c r="H24" s="22"/>
      <c r="I24" s="27"/>
      <c r="J24" s="22"/>
      <c r="K24" s="26"/>
    </row>
    <row r="25">
      <c r="A25" s="42" t="s">
        <v>44</v>
      </c>
      <c r="B25" s="23">
        <v>0.0</v>
      </c>
      <c r="C25" s="23">
        <v>0.0</v>
      </c>
      <c r="D25" s="23">
        <v>0.0</v>
      </c>
      <c r="E25" s="23">
        <v>0.0</v>
      </c>
      <c r="F25" s="23">
        <v>0.0</v>
      </c>
      <c r="G25" s="23">
        <v>0.0</v>
      </c>
      <c r="H25" s="44"/>
      <c r="I25" s="44"/>
      <c r="J25" s="44"/>
      <c r="K25" s="2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46" t="s">
        <v>45</v>
      </c>
      <c r="B26" s="48">
        <f t="shared" ref="B26:G26" si="7">B3+B13+B17+B18+B21+B25</f>
        <v>301420</v>
      </c>
      <c r="C26" s="48">
        <f t="shared" si="7"/>
        <v>350844</v>
      </c>
      <c r="D26" s="48">
        <f t="shared" si="7"/>
        <v>389200</v>
      </c>
      <c r="E26" s="48">
        <f t="shared" si="7"/>
        <v>193062</v>
      </c>
      <c r="F26" s="48">
        <f t="shared" si="7"/>
        <v>208166</v>
      </c>
      <c r="G26" s="48">
        <f t="shared" si="7"/>
        <v>217526</v>
      </c>
      <c r="H26" s="49"/>
      <c r="I26" s="50"/>
      <c r="J26" s="49"/>
    </row>
    <row r="27">
      <c r="A27" s="51" t="s">
        <v>47</v>
      </c>
      <c r="B27" s="52">
        <f t="shared" ref="B27:G27" si="8">B26-(B26/1.18)</f>
        <v>45979.32203</v>
      </c>
      <c r="C27" s="52">
        <f t="shared" si="8"/>
        <v>53518.57627</v>
      </c>
      <c r="D27" s="52">
        <f t="shared" si="8"/>
        <v>59369.49153</v>
      </c>
      <c r="E27" s="52">
        <f t="shared" si="8"/>
        <v>29450.13559</v>
      </c>
      <c r="F27" s="52">
        <f t="shared" si="8"/>
        <v>31754.13559</v>
      </c>
      <c r="G27" s="52">
        <f t="shared" si="8"/>
        <v>33181.9322</v>
      </c>
      <c r="H27" s="54"/>
      <c r="I27" s="54"/>
      <c r="J27" s="54"/>
    </row>
    <row r="28">
      <c r="A28" s="55" t="s">
        <v>49</v>
      </c>
      <c r="B28" s="52">
        <f t="shared" ref="B28:G28" si="9">B26-B27</f>
        <v>255440.678</v>
      </c>
      <c r="C28" s="52">
        <f t="shared" si="9"/>
        <v>297325.4237</v>
      </c>
      <c r="D28" s="52">
        <f t="shared" si="9"/>
        <v>329830.5085</v>
      </c>
      <c r="E28" s="52">
        <f t="shared" si="9"/>
        <v>163611.8644</v>
      </c>
      <c r="F28" s="52">
        <f t="shared" si="9"/>
        <v>176411.8644</v>
      </c>
      <c r="G28" s="52">
        <f t="shared" si="9"/>
        <v>184344.0678</v>
      </c>
      <c r="H28" s="54"/>
      <c r="I28" s="54"/>
      <c r="J28" s="54"/>
    </row>
    <row r="29">
      <c r="C29" s="18"/>
      <c r="D29" s="56"/>
      <c r="G29" s="57">
        <f>G26/1.18</f>
        <v>184344.0678</v>
      </c>
    </row>
    <row r="30">
      <c r="C30" s="18"/>
      <c r="D30" s="56"/>
    </row>
    <row r="31">
      <c r="C31" s="18"/>
      <c r="D31" s="56"/>
    </row>
    <row r="32">
      <c r="C32" s="18"/>
      <c r="D32" s="56"/>
    </row>
    <row r="33">
      <c r="C33" s="18"/>
      <c r="D33" s="56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  <row r="1001">
      <c r="C1001" s="58"/>
    </row>
    <row r="1002">
      <c r="C1002" s="58"/>
    </row>
    <row r="1003">
      <c r="C1003" s="58"/>
    </row>
    <row r="1004">
      <c r="C1004" s="58"/>
    </row>
    <row r="1005">
      <c r="C1005" s="58"/>
    </row>
    <row r="1006">
      <c r="C1006" s="58"/>
    </row>
    <row r="1007">
      <c r="C1007" s="58"/>
    </row>
    <row r="1008">
      <c r="C1008" s="58"/>
    </row>
    <row r="1009">
      <c r="C1009" s="58"/>
    </row>
    <row r="1010">
      <c r="C1010" s="58"/>
    </row>
    <row r="1011">
      <c r="C1011" s="58"/>
    </row>
    <row r="1012">
      <c r="C1012" s="58"/>
    </row>
    <row r="1013">
      <c r="C1013" s="58"/>
    </row>
  </sheetData>
  <hyperlinks>
    <hyperlink r:id="rId1" ref="B1"/>
    <hyperlink r:id="rId2" ref="C1"/>
    <hyperlink r:id="rId3" ref="D1"/>
    <hyperlink r:id="rId4" ref="E1"/>
    <hyperlink r:id="rId5" ref="F1"/>
    <hyperlink r:id="rId6" ref="G1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</cols>
  <sheetData>
    <row r="1">
      <c r="A1" s="3"/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16" t="s">
        <v>1</v>
      </c>
      <c r="H1" s="17"/>
      <c r="I1" s="17"/>
      <c r="J1" s="17"/>
      <c r="K1" s="18"/>
      <c r="L1" s="19"/>
    </row>
    <row r="2">
      <c r="A2" s="1" t="s">
        <v>6</v>
      </c>
      <c r="B2" s="7" t="s">
        <v>7</v>
      </c>
      <c r="C2" s="7" t="s">
        <v>8</v>
      </c>
      <c r="D2" s="7" t="s">
        <v>9</v>
      </c>
      <c r="E2" s="7" t="s">
        <v>3</v>
      </c>
      <c r="F2" s="7" t="s">
        <v>10</v>
      </c>
      <c r="G2" s="20" t="s">
        <v>11</v>
      </c>
      <c r="H2" s="7" t="s">
        <v>12</v>
      </c>
      <c r="I2" s="7" t="s">
        <v>13</v>
      </c>
      <c r="J2" s="7" t="s">
        <v>14</v>
      </c>
      <c r="K2" s="18"/>
      <c r="L2" s="19"/>
    </row>
    <row r="3">
      <c r="A3" s="21" t="s">
        <v>16</v>
      </c>
      <c r="B3" s="23">
        <f t="shared" ref="B3:G3" si="1">sum(B4,B10)</f>
        <v>57505</v>
      </c>
      <c r="C3" s="23">
        <f t="shared" si="1"/>
        <v>98847</v>
      </c>
      <c r="D3" s="23">
        <f t="shared" si="1"/>
        <v>83272</v>
      </c>
      <c r="E3" s="23">
        <f t="shared" si="1"/>
        <v>41860</v>
      </c>
      <c r="F3" s="23">
        <f t="shared" si="1"/>
        <v>41255</v>
      </c>
      <c r="G3" s="23">
        <f t="shared" si="1"/>
        <v>26638</v>
      </c>
      <c r="H3" s="23"/>
      <c r="I3" s="23"/>
      <c r="J3" s="23"/>
      <c r="K3" s="26"/>
    </row>
    <row r="4" outlineLevel="1">
      <c r="A4" s="21" t="s">
        <v>20</v>
      </c>
      <c r="B4" s="23">
        <f t="shared" ref="B4:G4" si="2">sum(B5:B9)</f>
        <v>39965</v>
      </c>
      <c r="C4" s="23">
        <f t="shared" si="2"/>
        <v>82967</v>
      </c>
      <c r="D4" s="23">
        <f t="shared" si="2"/>
        <v>61998</v>
      </c>
      <c r="E4" s="23">
        <f t="shared" si="2"/>
        <v>31980</v>
      </c>
      <c r="F4" s="23">
        <f t="shared" si="2"/>
        <v>32924</v>
      </c>
      <c r="G4" s="23">
        <f t="shared" si="2"/>
        <v>23148</v>
      </c>
      <c r="H4" s="22"/>
      <c r="I4" s="27"/>
      <c r="J4" s="22"/>
      <c r="K4" s="26"/>
    </row>
    <row r="5" outlineLevel="1">
      <c r="A5" s="28" t="s">
        <v>21</v>
      </c>
      <c r="B5" s="29">
        <v>17925.0</v>
      </c>
      <c r="C5" s="22">
        <v>78175.0</v>
      </c>
      <c r="D5" s="22">
        <v>61998.0</v>
      </c>
      <c r="E5" s="29">
        <v>31980.0</v>
      </c>
      <c r="F5" s="29">
        <v>32924.0</v>
      </c>
      <c r="G5" s="30">
        <v>23148.0</v>
      </c>
      <c r="H5" s="22"/>
      <c r="I5" s="27"/>
      <c r="J5" s="22"/>
      <c r="K5" s="26"/>
    </row>
    <row r="6" outlineLevel="1">
      <c r="A6" s="28" t="s">
        <v>22</v>
      </c>
      <c r="B6" s="29">
        <v>16440.0</v>
      </c>
      <c r="C6" s="22">
        <v>3192.0</v>
      </c>
      <c r="D6" s="22">
        <v>0.0</v>
      </c>
      <c r="E6" s="29">
        <v>0.0</v>
      </c>
      <c r="F6" s="29">
        <v>0.0</v>
      </c>
      <c r="G6" s="30">
        <v>0.0</v>
      </c>
      <c r="H6" s="22"/>
      <c r="I6" s="27"/>
      <c r="J6" s="22"/>
      <c r="K6" s="26"/>
    </row>
    <row r="7" outlineLevel="1">
      <c r="A7" s="28" t="s">
        <v>23</v>
      </c>
      <c r="B7" s="29">
        <v>2400.0</v>
      </c>
      <c r="C7" s="22">
        <v>1600.0</v>
      </c>
      <c r="D7" s="22">
        <v>0.0</v>
      </c>
      <c r="E7" s="29">
        <v>0.0</v>
      </c>
      <c r="F7" s="29">
        <v>0.0</v>
      </c>
      <c r="G7" s="30">
        <v>0.0</v>
      </c>
      <c r="H7" s="22"/>
      <c r="I7" s="27"/>
      <c r="J7" s="22"/>
      <c r="K7" s="26"/>
    </row>
    <row r="8">
      <c r="A8" s="28" t="s">
        <v>24</v>
      </c>
      <c r="B8" s="29">
        <v>3200.0</v>
      </c>
      <c r="C8" s="22">
        <v>0.0</v>
      </c>
      <c r="D8" s="22">
        <v>0.0</v>
      </c>
      <c r="E8" s="22">
        <v>0.0</v>
      </c>
      <c r="F8" s="22">
        <v>0.0</v>
      </c>
      <c r="G8" s="23">
        <v>0.0</v>
      </c>
      <c r="H8" s="22"/>
      <c r="I8" s="22"/>
      <c r="J8" s="22"/>
      <c r="K8" s="26"/>
    </row>
    <row r="9" outlineLevel="1">
      <c r="A9" s="28" t="s">
        <v>25</v>
      </c>
      <c r="B9" s="30">
        <v>0.0</v>
      </c>
      <c r="C9" s="22">
        <v>0.0</v>
      </c>
      <c r="D9" s="22">
        <v>0.0</v>
      </c>
      <c r="E9" s="29">
        <v>0.0</v>
      </c>
      <c r="F9" s="29">
        <v>0.0</v>
      </c>
      <c r="G9" s="30">
        <v>0.0</v>
      </c>
      <c r="H9" s="22"/>
      <c r="I9" s="27"/>
      <c r="J9" s="22"/>
      <c r="K9" s="32"/>
    </row>
    <row r="10" outlineLevel="1">
      <c r="A10" s="21" t="s">
        <v>26</v>
      </c>
      <c r="B10" s="23">
        <f t="shared" ref="B10:G10" si="3">sum(B11:B12)</f>
        <v>17540</v>
      </c>
      <c r="C10" s="23">
        <f t="shared" si="3"/>
        <v>15880</v>
      </c>
      <c r="D10" s="23">
        <f t="shared" si="3"/>
        <v>21274</v>
      </c>
      <c r="E10" s="23">
        <f t="shared" si="3"/>
        <v>9880</v>
      </c>
      <c r="F10" s="23">
        <f t="shared" si="3"/>
        <v>8331</v>
      </c>
      <c r="G10" s="23">
        <f t="shared" si="3"/>
        <v>3490</v>
      </c>
      <c r="H10" s="22"/>
      <c r="I10" s="27"/>
      <c r="J10" s="22"/>
      <c r="K10" s="32"/>
    </row>
    <row r="11" outlineLevel="1">
      <c r="A11" s="28" t="s">
        <v>27</v>
      </c>
      <c r="B11" s="29">
        <v>17540.0</v>
      </c>
      <c r="C11" s="22">
        <v>15880.0</v>
      </c>
      <c r="D11" s="22">
        <v>21274.0</v>
      </c>
      <c r="E11" s="29">
        <v>9880.0</v>
      </c>
      <c r="F11" s="29">
        <v>8331.0</v>
      </c>
      <c r="G11" s="30">
        <v>3490.0</v>
      </c>
      <c r="H11" s="22"/>
      <c r="I11" s="27"/>
      <c r="J11" s="22"/>
      <c r="K11" s="32"/>
    </row>
    <row r="12" outlineLevel="1">
      <c r="A12" s="28" t="s">
        <v>28</v>
      </c>
      <c r="B12" s="29">
        <v>0.0</v>
      </c>
      <c r="C12" s="22">
        <v>0.0</v>
      </c>
      <c r="D12" s="33">
        <v>0.0</v>
      </c>
      <c r="E12" s="29">
        <v>0.0</v>
      </c>
      <c r="F12" s="29">
        <v>0.0</v>
      </c>
      <c r="G12" s="30">
        <v>0.0</v>
      </c>
      <c r="H12" s="22"/>
      <c r="I12" s="27"/>
      <c r="J12" s="22"/>
      <c r="K12" s="32"/>
    </row>
    <row r="13" outlineLevel="1">
      <c r="A13" s="21" t="s">
        <v>29</v>
      </c>
      <c r="B13" s="23">
        <f t="shared" ref="B13:G13" si="4">sum(B14:B16)</f>
        <v>5900</v>
      </c>
      <c r="C13" s="23">
        <f t="shared" si="4"/>
        <v>7600</v>
      </c>
      <c r="D13" s="23">
        <f t="shared" si="4"/>
        <v>6120</v>
      </c>
      <c r="E13" s="23">
        <f t="shared" si="4"/>
        <v>5800</v>
      </c>
      <c r="F13" s="23">
        <f t="shared" si="4"/>
        <v>1476</v>
      </c>
      <c r="G13" s="23">
        <f t="shared" si="4"/>
        <v>4897</v>
      </c>
      <c r="H13" s="29"/>
      <c r="I13" s="27"/>
      <c r="J13" s="22"/>
      <c r="K13" s="32"/>
    </row>
    <row r="14">
      <c r="A14" s="28" t="s">
        <v>30</v>
      </c>
      <c r="B14" s="29">
        <v>5900.0</v>
      </c>
      <c r="C14" s="29">
        <v>7600.0</v>
      </c>
      <c r="D14" s="29">
        <v>6120.0</v>
      </c>
      <c r="E14" s="29">
        <v>5800.0</v>
      </c>
      <c r="F14" s="34">
        <v>1476.0</v>
      </c>
      <c r="G14" s="30">
        <v>4897.0</v>
      </c>
      <c r="H14" s="23"/>
      <c r="I14" s="23"/>
      <c r="J14" s="23"/>
      <c r="K14" s="26"/>
    </row>
    <row r="15" outlineLevel="1">
      <c r="A15" s="28" t="s">
        <v>31</v>
      </c>
      <c r="B15" s="29">
        <v>0.0</v>
      </c>
      <c r="C15" s="29">
        <v>0.0</v>
      </c>
      <c r="D15" s="29">
        <v>0.0</v>
      </c>
      <c r="E15" s="29">
        <v>0.0</v>
      </c>
      <c r="F15" s="29">
        <v>0.0</v>
      </c>
      <c r="G15" s="30">
        <v>0.0</v>
      </c>
      <c r="H15" s="22"/>
      <c r="I15" s="27"/>
      <c r="J15" s="22"/>
      <c r="K15" s="32"/>
    </row>
    <row r="16" outlineLevel="1">
      <c r="A16" s="35" t="s">
        <v>33</v>
      </c>
      <c r="B16" s="36">
        <v>0.0</v>
      </c>
      <c r="C16" s="36">
        <v>0.0</v>
      </c>
      <c r="D16" s="36">
        <v>0.0</v>
      </c>
      <c r="E16" s="36">
        <v>0.0</v>
      </c>
      <c r="F16" s="29">
        <v>0.0</v>
      </c>
      <c r="G16" s="30">
        <v>0.0</v>
      </c>
      <c r="H16" s="22"/>
      <c r="I16" s="27"/>
      <c r="J16" s="22"/>
      <c r="K16" s="32"/>
    </row>
    <row r="17" outlineLevel="1">
      <c r="A17" s="21" t="s">
        <v>34</v>
      </c>
      <c r="B17" s="37">
        <v>0.0</v>
      </c>
      <c r="C17" s="37">
        <v>0.0</v>
      </c>
      <c r="D17" s="37">
        <v>0.0</v>
      </c>
      <c r="E17" s="37">
        <v>18000.0</v>
      </c>
      <c r="F17" s="37">
        <v>18000.0</v>
      </c>
      <c r="G17" s="23">
        <v>18000.0</v>
      </c>
      <c r="H17" s="22"/>
      <c r="I17" s="27"/>
      <c r="J17" s="22"/>
      <c r="K17" s="32"/>
    </row>
    <row r="18" outlineLevel="1">
      <c r="A18" s="38" t="s">
        <v>35</v>
      </c>
      <c r="B18" s="23">
        <f t="shared" ref="B18:G18" si="5">sum(B19,B20)</f>
        <v>0</v>
      </c>
      <c r="C18" s="23">
        <f t="shared" si="5"/>
        <v>0</v>
      </c>
      <c r="D18" s="23">
        <f t="shared" si="5"/>
        <v>0</v>
      </c>
      <c r="E18" s="23">
        <f t="shared" si="5"/>
        <v>0</v>
      </c>
      <c r="F18" s="23">
        <f t="shared" si="5"/>
        <v>0</v>
      </c>
      <c r="G18" s="23">
        <f t="shared" si="5"/>
        <v>0</v>
      </c>
      <c r="H18" s="22"/>
      <c r="I18" s="27"/>
      <c r="J18" s="22"/>
      <c r="K18" s="32"/>
    </row>
    <row r="19" outlineLevel="1">
      <c r="A19" s="28" t="s">
        <v>36</v>
      </c>
      <c r="B19" s="29">
        <v>0.0</v>
      </c>
      <c r="C19" s="29">
        <v>0.0</v>
      </c>
      <c r="D19" s="33">
        <v>0.0</v>
      </c>
      <c r="E19" s="29">
        <v>0.0</v>
      </c>
      <c r="F19" s="29">
        <v>0.0</v>
      </c>
      <c r="G19" s="30">
        <v>0.0</v>
      </c>
      <c r="H19" s="22"/>
      <c r="I19" s="27"/>
      <c r="J19" s="22"/>
      <c r="K19" s="32"/>
    </row>
    <row r="20">
      <c r="A20" s="28" t="s">
        <v>37</v>
      </c>
      <c r="B20" s="29">
        <v>0.0</v>
      </c>
      <c r="C20" s="22">
        <v>0.0</v>
      </c>
      <c r="D20" s="22">
        <v>0.0</v>
      </c>
      <c r="E20" s="29">
        <v>0.0</v>
      </c>
      <c r="F20" s="34">
        <v>0.0</v>
      </c>
      <c r="G20" s="23">
        <v>0.0</v>
      </c>
      <c r="H20" s="31"/>
      <c r="I20" s="39"/>
      <c r="J20" s="31"/>
      <c r="K20" s="26"/>
    </row>
    <row r="21">
      <c r="A21" s="40" t="s">
        <v>38</v>
      </c>
      <c r="B21" s="23">
        <f t="shared" ref="B21:G21" si="6">sum(B22:B24)</f>
        <v>3950</v>
      </c>
      <c r="C21" s="23">
        <f t="shared" si="6"/>
        <v>7875</v>
      </c>
      <c r="D21" s="23">
        <f t="shared" si="6"/>
        <v>3425</v>
      </c>
      <c r="E21" s="23">
        <f t="shared" si="6"/>
        <v>2100</v>
      </c>
      <c r="F21" s="23">
        <f t="shared" si="6"/>
        <v>3500</v>
      </c>
      <c r="G21" s="23">
        <f t="shared" si="6"/>
        <v>3200</v>
      </c>
      <c r="H21" s="22"/>
      <c r="I21" s="27"/>
      <c r="J21" s="22"/>
      <c r="K21" s="26"/>
    </row>
    <row r="22">
      <c r="A22" s="28" t="s">
        <v>40</v>
      </c>
      <c r="B22" s="29">
        <v>3950.0</v>
      </c>
      <c r="C22" s="22">
        <v>7875.0</v>
      </c>
      <c r="D22" s="22">
        <v>3425.0</v>
      </c>
      <c r="E22" s="29">
        <v>2100.0</v>
      </c>
      <c r="F22" s="29">
        <v>3500.0</v>
      </c>
      <c r="G22" s="30">
        <v>3200.0</v>
      </c>
      <c r="H22" s="22"/>
      <c r="I22" s="27"/>
      <c r="J22" s="22"/>
      <c r="K22" s="26"/>
    </row>
    <row r="23">
      <c r="A23" s="28" t="s">
        <v>41</v>
      </c>
      <c r="B23" s="30">
        <v>0.0</v>
      </c>
      <c r="C23" s="22">
        <v>0.0</v>
      </c>
      <c r="D23" s="22">
        <v>0.0</v>
      </c>
      <c r="E23" s="29">
        <v>0.0</v>
      </c>
      <c r="F23" s="29">
        <v>0.0</v>
      </c>
      <c r="G23" s="30">
        <v>0.0</v>
      </c>
      <c r="H23" s="22"/>
      <c r="I23" s="27"/>
      <c r="J23" s="22"/>
      <c r="K23" s="26"/>
    </row>
    <row r="24">
      <c r="A24" s="28" t="s">
        <v>42</v>
      </c>
      <c r="B24" s="29">
        <v>0.0</v>
      </c>
      <c r="C24" s="22">
        <v>0.0</v>
      </c>
      <c r="D24" s="22">
        <v>0.0</v>
      </c>
      <c r="E24" s="29">
        <v>0.0</v>
      </c>
      <c r="F24" s="29">
        <v>0.0</v>
      </c>
      <c r="G24" s="30">
        <v>0.0</v>
      </c>
      <c r="H24" s="22"/>
      <c r="I24" s="27"/>
      <c r="J24" s="22"/>
      <c r="K24" s="26"/>
    </row>
    <row r="25">
      <c r="A25" s="42" t="s">
        <v>44</v>
      </c>
      <c r="B25" s="34">
        <v>18000.0</v>
      </c>
      <c r="C25" s="34">
        <v>18000.0</v>
      </c>
      <c r="D25" s="34">
        <v>18000.0</v>
      </c>
      <c r="E25" s="34">
        <v>0.0</v>
      </c>
      <c r="F25" s="34">
        <v>0.0</v>
      </c>
      <c r="G25" s="23">
        <v>0.0</v>
      </c>
      <c r="H25" s="44"/>
      <c r="I25" s="44"/>
      <c r="J25" s="44"/>
      <c r="K25" s="2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46" t="s">
        <v>45</v>
      </c>
      <c r="B26" s="48">
        <f t="shared" ref="B26:G26" si="7">B3+B13+B17+B18+B21+B25</f>
        <v>85355</v>
      </c>
      <c r="C26" s="48">
        <f t="shared" si="7"/>
        <v>132322</v>
      </c>
      <c r="D26" s="48">
        <f t="shared" si="7"/>
        <v>110817</v>
      </c>
      <c r="E26" s="48">
        <f t="shared" si="7"/>
        <v>67760</v>
      </c>
      <c r="F26" s="48">
        <f t="shared" si="7"/>
        <v>64231</v>
      </c>
      <c r="G26" s="48">
        <f t="shared" si="7"/>
        <v>52735</v>
      </c>
      <c r="H26" s="49"/>
      <c r="I26" s="50"/>
      <c r="J26" s="49"/>
    </row>
    <row r="27">
      <c r="A27" s="51" t="s">
        <v>47</v>
      </c>
      <c r="B27" s="52">
        <f t="shared" ref="B27:G27" si="8">B26-(B26/1.18)</f>
        <v>13020.25424</v>
      </c>
      <c r="C27" s="52">
        <f t="shared" si="8"/>
        <v>20184.71186</v>
      </c>
      <c r="D27" s="52">
        <f t="shared" si="8"/>
        <v>16904.28814</v>
      </c>
      <c r="E27" s="52">
        <f t="shared" si="8"/>
        <v>10336.27119</v>
      </c>
      <c r="F27" s="52">
        <f t="shared" si="8"/>
        <v>9797.949153</v>
      </c>
      <c r="G27" s="52">
        <f t="shared" si="8"/>
        <v>8044.322034</v>
      </c>
      <c r="H27" s="54"/>
      <c r="I27" s="54"/>
      <c r="J27" s="54"/>
    </row>
    <row r="28">
      <c r="A28" s="55" t="s">
        <v>49</v>
      </c>
      <c r="B28" s="52">
        <f t="shared" ref="B28:G28" si="9">B26-B27</f>
        <v>72334.74576</v>
      </c>
      <c r="C28" s="52">
        <f t="shared" si="9"/>
        <v>112137.2881</v>
      </c>
      <c r="D28" s="52">
        <f t="shared" si="9"/>
        <v>93912.71186</v>
      </c>
      <c r="E28" s="52">
        <f t="shared" si="9"/>
        <v>57423.72881</v>
      </c>
      <c r="F28" s="52">
        <f t="shared" si="9"/>
        <v>54433.05085</v>
      </c>
      <c r="G28" s="52">
        <f t="shared" si="9"/>
        <v>44690.67797</v>
      </c>
      <c r="H28" s="54"/>
      <c r="I28" s="54"/>
      <c r="J28" s="54"/>
    </row>
    <row r="29">
      <c r="C29" s="18"/>
      <c r="D29" s="56"/>
    </row>
    <row r="30">
      <c r="C30" s="18"/>
      <c r="D30" s="56"/>
    </row>
    <row r="31">
      <c r="C31" s="18"/>
      <c r="D31" s="56"/>
    </row>
    <row r="32">
      <c r="C32" s="18"/>
      <c r="D32" s="56"/>
    </row>
    <row r="33">
      <c r="C33" s="18"/>
      <c r="D33" s="56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  <row r="1001">
      <c r="C1001" s="58"/>
    </row>
    <row r="1002">
      <c r="C1002" s="58"/>
    </row>
    <row r="1003">
      <c r="C1003" s="58"/>
    </row>
    <row r="1004">
      <c r="C1004" s="58"/>
    </row>
    <row r="1005">
      <c r="C1005" s="58"/>
    </row>
    <row r="1006">
      <c r="C1006" s="58"/>
    </row>
    <row r="1007">
      <c r="C1007" s="58"/>
    </row>
    <row r="1008">
      <c r="C1008" s="58"/>
    </row>
    <row r="1009">
      <c r="C1009" s="58"/>
    </row>
    <row r="1010">
      <c r="C1010" s="58"/>
    </row>
    <row r="1011">
      <c r="C1011" s="58"/>
    </row>
    <row r="1012">
      <c r="C1012" s="58"/>
    </row>
    <row r="1013">
      <c r="C1013" s="58"/>
    </row>
  </sheetData>
  <hyperlinks>
    <hyperlink r:id="rId1" ref="B1"/>
    <hyperlink r:id="rId2" ref="C1"/>
    <hyperlink r:id="rId3" ref="D1"/>
    <hyperlink r:id="rId4" ref="E1"/>
    <hyperlink r:id="rId5" ref="F1"/>
    <hyperlink r:id="rId6" ref="G1"/>
  </hyperlinks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</cols>
  <sheetData>
    <row r="1">
      <c r="A1" s="3"/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16" t="s">
        <v>1</v>
      </c>
      <c r="H1" s="17"/>
      <c r="I1" s="17"/>
      <c r="J1" s="17"/>
      <c r="K1" s="18"/>
      <c r="L1" s="19"/>
    </row>
    <row r="2">
      <c r="A2" s="1" t="s">
        <v>6</v>
      </c>
      <c r="B2" s="7" t="s">
        <v>7</v>
      </c>
      <c r="C2" s="7" t="s">
        <v>8</v>
      </c>
      <c r="D2" s="7" t="s">
        <v>9</v>
      </c>
      <c r="E2" s="7" t="s">
        <v>3</v>
      </c>
      <c r="F2" s="7" t="s">
        <v>10</v>
      </c>
      <c r="G2" s="20" t="s">
        <v>11</v>
      </c>
      <c r="H2" s="7" t="s">
        <v>12</v>
      </c>
      <c r="I2" s="7" t="s">
        <v>13</v>
      </c>
      <c r="J2" s="7" t="s">
        <v>14</v>
      </c>
      <c r="K2" s="18"/>
      <c r="L2" s="19"/>
    </row>
    <row r="3">
      <c r="A3" s="21" t="s">
        <v>16</v>
      </c>
      <c r="B3" s="23">
        <f t="shared" ref="B3:G3" si="1">sum(B4,B10)</f>
        <v>84355</v>
      </c>
      <c r="C3" s="23">
        <f t="shared" si="1"/>
        <v>142228</v>
      </c>
      <c r="D3" s="23">
        <f t="shared" si="1"/>
        <v>100617</v>
      </c>
      <c r="E3" s="23">
        <f t="shared" si="1"/>
        <v>57151</v>
      </c>
      <c r="F3" s="23">
        <f t="shared" si="1"/>
        <v>52819</v>
      </c>
      <c r="G3" s="23">
        <f t="shared" si="1"/>
        <v>43289</v>
      </c>
      <c r="H3" s="23"/>
      <c r="I3" s="23"/>
      <c r="J3" s="23"/>
      <c r="K3" s="26"/>
    </row>
    <row r="4" outlineLevel="1">
      <c r="A4" s="21" t="s">
        <v>20</v>
      </c>
      <c r="B4" s="23">
        <f t="shared" ref="B4:G4" si="2">sum(B5:B9)</f>
        <v>33095</v>
      </c>
      <c r="C4" s="23">
        <f t="shared" si="2"/>
        <v>97228</v>
      </c>
      <c r="D4" s="23">
        <f t="shared" si="2"/>
        <v>39717</v>
      </c>
      <c r="E4" s="23">
        <f t="shared" si="2"/>
        <v>36361</v>
      </c>
      <c r="F4" s="23">
        <f t="shared" si="2"/>
        <v>36495</v>
      </c>
      <c r="G4" s="23">
        <f t="shared" si="2"/>
        <v>32802</v>
      </c>
      <c r="H4" s="22"/>
      <c r="I4" s="27"/>
      <c r="J4" s="22"/>
      <c r="K4" s="26"/>
    </row>
    <row r="5" outlineLevel="1">
      <c r="A5" s="28" t="s">
        <v>21</v>
      </c>
      <c r="B5" s="29">
        <v>21550.0</v>
      </c>
      <c r="C5" s="22">
        <v>93238.0</v>
      </c>
      <c r="D5" s="22">
        <v>39717.0</v>
      </c>
      <c r="E5" s="29">
        <v>36361.0</v>
      </c>
      <c r="F5" s="29">
        <v>36495.0</v>
      </c>
      <c r="G5" s="30">
        <v>32802.0</v>
      </c>
      <c r="H5" s="22"/>
      <c r="I5" s="27"/>
      <c r="J5" s="22"/>
      <c r="K5" s="26"/>
    </row>
    <row r="6" outlineLevel="1">
      <c r="A6" s="28" t="s">
        <v>22</v>
      </c>
      <c r="B6" s="29">
        <v>11545.0</v>
      </c>
      <c r="C6" s="22">
        <v>3990.0</v>
      </c>
      <c r="D6" s="22">
        <v>0.0</v>
      </c>
      <c r="E6" s="29">
        <v>0.0</v>
      </c>
      <c r="F6" s="29">
        <v>0.0</v>
      </c>
      <c r="G6" s="30">
        <v>0.0</v>
      </c>
      <c r="H6" s="22"/>
      <c r="I6" s="27"/>
      <c r="J6" s="22"/>
      <c r="K6" s="26"/>
    </row>
    <row r="7" outlineLevel="1">
      <c r="A7" s="28" t="s">
        <v>23</v>
      </c>
      <c r="B7" s="29">
        <v>0.0</v>
      </c>
      <c r="C7" s="22">
        <v>0.0</v>
      </c>
      <c r="D7" s="22">
        <v>0.0</v>
      </c>
      <c r="E7" s="29">
        <v>0.0</v>
      </c>
      <c r="F7" s="29">
        <v>0.0</v>
      </c>
      <c r="G7" s="30">
        <v>0.0</v>
      </c>
      <c r="H7" s="22"/>
      <c r="I7" s="27"/>
      <c r="J7" s="22"/>
      <c r="K7" s="26"/>
    </row>
    <row r="8">
      <c r="A8" s="28" t="s">
        <v>24</v>
      </c>
      <c r="B8" s="29">
        <v>0.0</v>
      </c>
      <c r="C8" s="22">
        <v>0.0</v>
      </c>
      <c r="D8" s="22">
        <v>0.0</v>
      </c>
      <c r="E8" s="22">
        <v>0.0</v>
      </c>
      <c r="F8" s="22">
        <v>0.0</v>
      </c>
      <c r="G8" s="23">
        <v>0.0</v>
      </c>
      <c r="H8" s="31"/>
      <c r="I8" s="31"/>
      <c r="J8" s="31"/>
      <c r="K8" s="26"/>
    </row>
    <row r="9" outlineLevel="1">
      <c r="A9" s="28" t="s">
        <v>25</v>
      </c>
      <c r="B9" s="30">
        <v>0.0</v>
      </c>
      <c r="C9" s="22">
        <v>0.0</v>
      </c>
      <c r="D9" s="22">
        <v>0.0</v>
      </c>
      <c r="E9" s="29">
        <v>0.0</v>
      </c>
      <c r="F9" s="29">
        <v>0.0</v>
      </c>
      <c r="G9" s="30">
        <v>0.0</v>
      </c>
      <c r="H9" s="22"/>
      <c r="I9" s="27"/>
      <c r="J9" s="22"/>
      <c r="K9" s="32"/>
    </row>
    <row r="10" outlineLevel="1">
      <c r="A10" s="21" t="s">
        <v>26</v>
      </c>
      <c r="B10" s="23">
        <f t="shared" ref="B10:G10" si="3">sum(B11:B12)</f>
        <v>51260</v>
      </c>
      <c r="C10" s="23">
        <f t="shared" si="3"/>
        <v>45000</v>
      </c>
      <c r="D10" s="23">
        <f t="shared" si="3"/>
        <v>60900</v>
      </c>
      <c r="E10" s="23">
        <f t="shared" si="3"/>
        <v>20790</v>
      </c>
      <c r="F10" s="23">
        <f t="shared" si="3"/>
        <v>16324</v>
      </c>
      <c r="G10" s="23">
        <f t="shared" si="3"/>
        <v>10487</v>
      </c>
      <c r="H10" s="22"/>
      <c r="I10" s="27"/>
      <c r="J10" s="22"/>
      <c r="K10" s="32"/>
    </row>
    <row r="11" outlineLevel="1">
      <c r="A11" s="28" t="s">
        <v>27</v>
      </c>
      <c r="B11" s="29">
        <v>43760.0</v>
      </c>
      <c r="C11" s="22">
        <v>45000.0</v>
      </c>
      <c r="D11" s="22">
        <v>60900.0</v>
      </c>
      <c r="E11" s="29">
        <v>20790.0</v>
      </c>
      <c r="F11" s="29">
        <v>16324.0</v>
      </c>
      <c r="G11" s="30">
        <v>10487.0</v>
      </c>
      <c r="H11" s="22"/>
      <c r="I11" s="27"/>
      <c r="J11" s="22"/>
      <c r="K11" s="32"/>
    </row>
    <row r="12" outlineLevel="1">
      <c r="A12" s="28" t="s">
        <v>28</v>
      </c>
      <c r="B12" s="29">
        <v>7500.0</v>
      </c>
      <c r="C12" s="22">
        <v>0.0</v>
      </c>
      <c r="D12" s="33">
        <v>0.0</v>
      </c>
      <c r="E12" s="29">
        <v>0.0</v>
      </c>
      <c r="F12" s="29">
        <v>0.0</v>
      </c>
      <c r="G12" s="30">
        <v>0.0</v>
      </c>
      <c r="H12" s="22"/>
      <c r="I12" s="27"/>
      <c r="J12" s="22"/>
      <c r="K12" s="32"/>
    </row>
    <row r="13" outlineLevel="1">
      <c r="A13" s="21" t="s">
        <v>29</v>
      </c>
      <c r="B13" s="23">
        <f t="shared" ref="B13:G13" si="4">sum(B14:B16)</f>
        <v>3600</v>
      </c>
      <c r="C13" s="23">
        <f t="shared" si="4"/>
        <v>3600</v>
      </c>
      <c r="D13" s="23">
        <f t="shared" si="4"/>
        <v>1440</v>
      </c>
      <c r="E13" s="23">
        <f t="shared" si="4"/>
        <v>6080</v>
      </c>
      <c r="F13" s="23">
        <f t="shared" si="4"/>
        <v>3476</v>
      </c>
      <c r="G13" s="23">
        <f t="shared" si="4"/>
        <v>1540</v>
      </c>
      <c r="H13" s="29"/>
      <c r="I13" s="27"/>
      <c r="J13" s="22"/>
      <c r="K13" s="32"/>
    </row>
    <row r="14">
      <c r="A14" s="28" t="s">
        <v>30</v>
      </c>
      <c r="B14" s="29">
        <v>3600.0</v>
      </c>
      <c r="C14" s="29">
        <v>3600.0</v>
      </c>
      <c r="D14" s="29">
        <v>1440.0</v>
      </c>
      <c r="E14" s="29">
        <v>6080.0</v>
      </c>
      <c r="F14" s="34">
        <v>3476.0</v>
      </c>
      <c r="G14" s="30">
        <v>1540.0</v>
      </c>
      <c r="H14" s="23"/>
      <c r="I14" s="23"/>
      <c r="J14" s="23"/>
      <c r="K14" s="26"/>
    </row>
    <row r="15" outlineLevel="1">
      <c r="A15" s="28" t="s">
        <v>31</v>
      </c>
      <c r="B15" s="29">
        <v>0.0</v>
      </c>
      <c r="C15" s="29">
        <v>0.0</v>
      </c>
      <c r="D15" s="29">
        <v>0.0</v>
      </c>
      <c r="E15" s="29">
        <v>0.0</v>
      </c>
      <c r="F15" s="29">
        <v>0.0</v>
      </c>
      <c r="G15" s="30">
        <v>0.0</v>
      </c>
      <c r="H15" s="22"/>
      <c r="I15" s="27"/>
      <c r="J15" s="22"/>
      <c r="K15" s="32"/>
    </row>
    <row r="16" outlineLevel="1">
      <c r="A16" s="35" t="s">
        <v>33</v>
      </c>
      <c r="B16" s="36">
        <v>0.0</v>
      </c>
      <c r="C16" s="36">
        <v>0.0</v>
      </c>
      <c r="D16" s="36">
        <v>0.0</v>
      </c>
      <c r="E16" s="36">
        <v>0.0</v>
      </c>
      <c r="F16" s="29">
        <v>0.0</v>
      </c>
      <c r="G16" s="30">
        <v>0.0</v>
      </c>
      <c r="H16" s="22"/>
      <c r="I16" s="27"/>
      <c r="J16" s="22"/>
      <c r="K16" s="32"/>
    </row>
    <row r="17" outlineLevel="1">
      <c r="A17" s="21" t="s">
        <v>34</v>
      </c>
      <c r="B17" s="37">
        <v>0.0</v>
      </c>
      <c r="C17" s="37">
        <v>0.0</v>
      </c>
      <c r="D17" s="37">
        <v>5000.0</v>
      </c>
      <c r="E17" s="37">
        <v>0.0</v>
      </c>
      <c r="F17" s="37">
        <v>0.0</v>
      </c>
      <c r="G17" s="23">
        <v>0.0</v>
      </c>
      <c r="H17" s="22"/>
      <c r="I17" s="27"/>
      <c r="J17" s="22"/>
      <c r="K17" s="32"/>
    </row>
    <row r="18" outlineLevel="1">
      <c r="A18" s="38" t="s">
        <v>35</v>
      </c>
      <c r="B18" s="23">
        <f t="shared" ref="B18:G18" si="5">sum(B19,B20)</f>
        <v>0</v>
      </c>
      <c r="C18" s="23">
        <f t="shared" si="5"/>
        <v>0</v>
      </c>
      <c r="D18" s="23">
        <f t="shared" si="5"/>
        <v>0</v>
      </c>
      <c r="E18" s="23">
        <f t="shared" si="5"/>
        <v>0</v>
      </c>
      <c r="F18" s="23">
        <f t="shared" si="5"/>
        <v>0</v>
      </c>
      <c r="G18" s="23">
        <f t="shared" si="5"/>
        <v>0</v>
      </c>
      <c r="H18" s="22"/>
      <c r="I18" s="27"/>
      <c r="J18" s="22"/>
      <c r="K18" s="32"/>
    </row>
    <row r="19" outlineLevel="1">
      <c r="A19" s="28" t="s">
        <v>36</v>
      </c>
      <c r="B19" s="29">
        <v>0.0</v>
      </c>
      <c r="C19" s="29">
        <v>0.0</v>
      </c>
      <c r="D19" s="33">
        <v>0.0</v>
      </c>
      <c r="E19" s="29">
        <v>0.0</v>
      </c>
      <c r="F19" s="29">
        <v>0.0</v>
      </c>
      <c r="G19" s="30">
        <v>0.0</v>
      </c>
      <c r="H19" s="22"/>
      <c r="I19" s="27"/>
      <c r="J19" s="22"/>
      <c r="K19" s="32"/>
    </row>
    <row r="20">
      <c r="A20" s="28" t="s">
        <v>37</v>
      </c>
      <c r="B20" s="29">
        <v>0.0</v>
      </c>
      <c r="C20" s="22">
        <v>0.0</v>
      </c>
      <c r="D20" s="31">
        <v>0.0</v>
      </c>
      <c r="E20" s="34">
        <v>0.0</v>
      </c>
      <c r="F20" s="34">
        <v>0.0</v>
      </c>
      <c r="G20" s="23">
        <v>0.0</v>
      </c>
      <c r="H20" s="31"/>
      <c r="I20" s="39"/>
      <c r="J20" s="31"/>
      <c r="K20" s="26"/>
    </row>
    <row r="21">
      <c r="A21" s="40" t="s">
        <v>38</v>
      </c>
      <c r="B21" s="23">
        <f t="shared" ref="B21:G21" si="6">sum(B22:B24)</f>
        <v>7235</v>
      </c>
      <c r="C21" s="23">
        <f t="shared" si="6"/>
        <v>11205</v>
      </c>
      <c r="D21" s="23">
        <f t="shared" si="6"/>
        <v>10675</v>
      </c>
      <c r="E21" s="23">
        <f t="shared" si="6"/>
        <v>4975</v>
      </c>
      <c r="F21" s="23">
        <f t="shared" si="6"/>
        <v>6320</v>
      </c>
      <c r="G21" s="23">
        <f t="shared" si="6"/>
        <v>4240</v>
      </c>
      <c r="H21" s="22"/>
      <c r="I21" s="27"/>
      <c r="J21" s="22"/>
      <c r="K21" s="26"/>
    </row>
    <row r="22">
      <c r="A22" s="28" t="s">
        <v>40</v>
      </c>
      <c r="B22" s="29">
        <v>6850.0</v>
      </c>
      <c r="C22" s="22">
        <v>11100.0</v>
      </c>
      <c r="D22" s="22">
        <v>10290.0</v>
      </c>
      <c r="E22" s="29">
        <v>4800.0</v>
      </c>
      <c r="F22" s="29">
        <v>6250.0</v>
      </c>
      <c r="G22" s="30">
        <v>4240.0</v>
      </c>
      <c r="H22" s="22"/>
      <c r="I22" s="27"/>
      <c r="J22" s="22"/>
      <c r="K22" s="26"/>
    </row>
    <row r="23">
      <c r="A23" s="28" t="s">
        <v>41</v>
      </c>
      <c r="B23" s="30">
        <v>0.0</v>
      </c>
      <c r="C23" s="22">
        <v>0.0</v>
      </c>
      <c r="D23" s="22">
        <v>0.0</v>
      </c>
      <c r="E23" s="29">
        <v>0.0</v>
      </c>
      <c r="F23" s="29">
        <v>0.0</v>
      </c>
      <c r="G23" s="30">
        <v>0.0</v>
      </c>
      <c r="H23" s="22"/>
      <c r="I23" s="27"/>
      <c r="J23" s="22"/>
      <c r="K23" s="26"/>
    </row>
    <row r="24">
      <c r="A24" s="28" t="s">
        <v>42</v>
      </c>
      <c r="B24" s="29">
        <v>385.0</v>
      </c>
      <c r="C24" s="22">
        <v>105.0</v>
      </c>
      <c r="D24" s="22">
        <v>385.0</v>
      </c>
      <c r="E24" s="29">
        <v>175.0</v>
      </c>
      <c r="F24" s="29">
        <v>70.0</v>
      </c>
      <c r="G24" s="30">
        <v>0.0</v>
      </c>
      <c r="H24" s="22"/>
      <c r="I24" s="27"/>
      <c r="J24" s="22"/>
      <c r="K24" s="26"/>
    </row>
    <row r="25">
      <c r="A25" s="42" t="s">
        <v>44</v>
      </c>
      <c r="B25" s="34">
        <v>0.0</v>
      </c>
      <c r="C25" s="34">
        <v>0.0</v>
      </c>
      <c r="D25" s="34">
        <v>0.0</v>
      </c>
      <c r="E25" s="34">
        <v>0.0</v>
      </c>
      <c r="F25" s="34">
        <v>0.0</v>
      </c>
      <c r="G25" s="23">
        <v>0.0</v>
      </c>
      <c r="H25" s="44"/>
      <c r="I25" s="44"/>
      <c r="J25" s="44"/>
      <c r="K25" s="2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46" t="s">
        <v>45</v>
      </c>
      <c r="B26" s="48">
        <f t="shared" ref="B26:G26" si="7">B3+B13+B17+B18+B21+B25</f>
        <v>95190</v>
      </c>
      <c r="C26" s="48">
        <f t="shared" si="7"/>
        <v>157033</v>
      </c>
      <c r="D26" s="48">
        <f t="shared" si="7"/>
        <v>117732</v>
      </c>
      <c r="E26" s="48">
        <f t="shared" si="7"/>
        <v>68206</v>
      </c>
      <c r="F26" s="48">
        <f t="shared" si="7"/>
        <v>62615</v>
      </c>
      <c r="G26" s="48">
        <f t="shared" si="7"/>
        <v>49069</v>
      </c>
      <c r="H26" s="49"/>
      <c r="I26" s="50"/>
      <c r="J26" s="49"/>
    </row>
    <row r="27">
      <c r="A27" s="51" t="s">
        <v>47</v>
      </c>
      <c r="B27" s="52">
        <f t="shared" ref="B27:G27" si="8">B26-(B26/1.18)</f>
        <v>14520.50847</v>
      </c>
      <c r="C27" s="52">
        <f t="shared" si="8"/>
        <v>23954.18644</v>
      </c>
      <c r="D27" s="52">
        <f t="shared" si="8"/>
        <v>17959.11864</v>
      </c>
      <c r="E27" s="52">
        <f t="shared" si="8"/>
        <v>10404.30508</v>
      </c>
      <c r="F27" s="52">
        <f t="shared" si="8"/>
        <v>9551.440678</v>
      </c>
      <c r="G27" s="52">
        <f t="shared" si="8"/>
        <v>7485.101695</v>
      </c>
      <c r="H27" s="54"/>
      <c r="I27" s="54"/>
      <c r="J27" s="54"/>
    </row>
    <row r="28">
      <c r="A28" s="55" t="s">
        <v>49</v>
      </c>
      <c r="B28" s="52">
        <f t="shared" ref="B28:G28" si="9">B26-B27</f>
        <v>80669.49153</v>
      </c>
      <c r="C28" s="52">
        <f t="shared" si="9"/>
        <v>133078.8136</v>
      </c>
      <c r="D28" s="52">
        <f t="shared" si="9"/>
        <v>99772.88136</v>
      </c>
      <c r="E28" s="52">
        <f t="shared" si="9"/>
        <v>57801.69492</v>
      </c>
      <c r="F28" s="52">
        <f t="shared" si="9"/>
        <v>53063.55932</v>
      </c>
      <c r="G28" s="52">
        <f t="shared" si="9"/>
        <v>41583.89831</v>
      </c>
      <c r="H28" s="54"/>
      <c r="I28" s="54"/>
      <c r="J28" s="54"/>
    </row>
    <row r="29">
      <c r="C29" s="18"/>
      <c r="D29" s="56"/>
    </row>
    <row r="30">
      <c r="C30" s="18"/>
      <c r="D30" s="56"/>
    </row>
    <row r="31">
      <c r="C31" s="18"/>
      <c r="D31" s="56"/>
    </row>
    <row r="32">
      <c r="C32" s="18"/>
      <c r="D32" s="56"/>
    </row>
    <row r="33">
      <c r="C33" s="18"/>
      <c r="D33" s="56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  <row r="1001">
      <c r="C1001" s="58"/>
    </row>
    <row r="1002">
      <c r="C1002" s="58"/>
    </row>
    <row r="1003">
      <c r="C1003" s="58"/>
    </row>
    <row r="1004">
      <c r="C1004" s="58"/>
    </row>
    <row r="1005">
      <c r="C1005" s="58"/>
    </row>
    <row r="1006">
      <c r="C1006" s="58"/>
    </row>
    <row r="1007">
      <c r="C1007" s="58"/>
    </row>
    <row r="1008">
      <c r="C1008" s="58"/>
    </row>
    <row r="1009">
      <c r="C1009" s="58"/>
    </row>
    <row r="1010">
      <c r="C1010" s="58"/>
    </row>
    <row r="1011">
      <c r="C1011" s="58"/>
    </row>
    <row r="1012">
      <c r="C1012" s="58"/>
    </row>
    <row r="1013">
      <c r="C1013" s="58"/>
    </row>
  </sheetData>
  <hyperlinks>
    <hyperlink r:id="rId1" ref="B1"/>
    <hyperlink r:id="rId2" ref="C1"/>
    <hyperlink r:id="rId3" ref="D1"/>
    <hyperlink r:id="rId4" ref="E1"/>
    <hyperlink r:id="rId5" ref="F1"/>
    <hyperlink r:id="rId6" ref="G1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</cols>
  <sheetData>
    <row r="1">
      <c r="A1" s="3"/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16" t="s">
        <v>1</v>
      </c>
      <c r="H1" s="17"/>
      <c r="I1" s="17"/>
      <c r="J1" s="17"/>
      <c r="K1" s="18"/>
      <c r="L1" s="19"/>
    </row>
    <row r="2">
      <c r="A2" s="1" t="s">
        <v>6</v>
      </c>
      <c r="B2" s="7" t="s">
        <v>7</v>
      </c>
      <c r="C2" s="7" t="s">
        <v>8</v>
      </c>
      <c r="D2" s="7" t="s">
        <v>9</v>
      </c>
      <c r="E2" s="7" t="s">
        <v>3</v>
      </c>
      <c r="F2" s="7" t="s">
        <v>10</v>
      </c>
      <c r="G2" s="20" t="s">
        <v>11</v>
      </c>
      <c r="H2" s="7" t="s">
        <v>12</v>
      </c>
      <c r="I2" s="7" t="s">
        <v>13</v>
      </c>
      <c r="J2" s="7" t="s">
        <v>14</v>
      </c>
      <c r="K2" s="18"/>
      <c r="L2" s="19"/>
    </row>
    <row r="3">
      <c r="A3" s="21" t="s">
        <v>16</v>
      </c>
      <c r="B3" s="23">
        <f t="shared" ref="B3:G3" si="1">sum(B4,B10)</f>
        <v>114996</v>
      </c>
      <c r="C3" s="23">
        <f t="shared" si="1"/>
        <v>109675</v>
      </c>
      <c r="D3" s="23">
        <f t="shared" si="1"/>
        <v>72234</v>
      </c>
      <c r="E3" s="23">
        <f t="shared" si="1"/>
        <v>54301</v>
      </c>
      <c r="F3" s="23">
        <f t="shared" si="1"/>
        <v>34608</v>
      </c>
      <c r="G3" s="23">
        <f t="shared" si="1"/>
        <v>53046</v>
      </c>
      <c r="H3" s="23"/>
      <c r="I3" s="23"/>
      <c r="J3" s="23"/>
      <c r="K3" s="26"/>
    </row>
    <row r="4" outlineLevel="1">
      <c r="A4" s="21" t="s">
        <v>20</v>
      </c>
      <c r="B4" s="23">
        <f t="shared" ref="B4:G4" si="2">sum(B5:B9)</f>
        <v>107696</v>
      </c>
      <c r="C4" s="23">
        <f t="shared" si="2"/>
        <v>96675</v>
      </c>
      <c r="D4" s="23">
        <f t="shared" si="2"/>
        <v>62834</v>
      </c>
      <c r="E4" s="23">
        <f t="shared" si="2"/>
        <v>24256</v>
      </c>
      <c r="F4" s="23">
        <f t="shared" si="2"/>
        <v>31608</v>
      </c>
      <c r="G4" s="23">
        <f t="shared" si="2"/>
        <v>39546</v>
      </c>
      <c r="H4" s="22"/>
      <c r="I4" s="27"/>
      <c r="J4" s="22"/>
      <c r="K4" s="26"/>
    </row>
    <row r="5" outlineLevel="1">
      <c r="A5" s="28" t="s">
        <v>21</v>
      </c>
      <c r="B5" s="29">
        <v>49100.0</v>
      </c>
      <c r="C5" s="22">
        <v>71921.0</v>
      </c>
      <c r="D5" s="22">
        <v>62834.0</v>
      </c>
      <c r="E5" s="29">
        <v>24256.0</v>
      </c>
      <c r="F5" s="29">
        <v>31608.0</v>
      </c>
      <c r="G5" s="30">
        <v>39546.0</v>
      </c>
      <c r="H5" s="22"/>
      <c r="I5" s="27"/>
      <c r="J5" s="22"/>
      <c r="K5" s="26"/>
    </row>
    <row r="6" outlineLevel="1">
      <c r="A6" s="28" t="s">
        <v>22</v>
      </c>
      <c r="B6" s="29">
        <v>54696.0</v>
      </c>
      <c r="C6" s="22">
        <v>22954.0</v>
      </c>
      <c r="D6" s="22">
        <v>0.0</v>
      </c>
      <c r="E6" s="29">
        <v>0.0</v>
      </c>
      <c r="F6" s="29">
        <v>0.0</v>
      </c>
      <c r="G6" s="30">
        <v>0.0</v>
      </c>
      <c r="H6" s="22"/>
      <c r="I6" s="27"/>
      <c r="J6" s="22"/>
      <c r="K6" s="26"/>
    </row>
    <row r="7" outlineLevel="1">
      <c r="A7" s="28" t="s">
        <v>23</v>
      </c>
      <c r="B7" s="29">
        <v>3900.0</v>
      </c>
      <c r="C7" s="22">
        <v>1800.0</v>
      </c>
      <c r="D7" s="22">
        <v>0.0</v>
      </c>
      <c r="E7" s="29">
        <v>0.0</v>
      </c>
      <c r="F7" s="29">
        <v>0.0</v>
      </c>
      <c r="G7" s="30">
        <v>0.0</v>
      </c>
      <c r="H7" s="22"/>
      <c r="I7" s="27"/>
      <c r="J7" s="22"/>
      <c r="K7" s="26"/>
    </row>
    <row r="8">
      <c r="A8" s="28" t="s">
        <v>24</v>
      </c>
      <c r="B8" s="29">
        <v>0.0</v>
      </c>
      <c r="C8" s="22">
        <v>0.0</v>
      </c>
      <c r="D8" s="22">
        <v>0.0</v>
      </c>
      <c r="E8" s="22">
        <v>0.0</v>
      </c>
      <c r="F8" s="22">
        <v>0.0</v>
      </c>
      <c r="G8" s="23">
        <v>0.0</v>
      </c>
      <c r="H8" s="31"/>
      <c r="I8" s="31"/>
      <c r="J8" s="31"/>
      <c r="K8" s="26"/>
    </row>
    <row r="9" outlineLevel="1">
      <c r="A9" s="28" t="s">
        <v>25</v>
      </c>
      <c r="B9" s="29">
        <v>0.0</v>
      </c>
      <c r="C9" s="22">
        <v>0.0</v>
      </c>
      <c r="D9" s="22">
        <v>0.0</v>
      </c>
      <c r="E9" s="29">
        <v>0.0</v>
      </c>
      <c r="F9" s="29">
        <v>0.0</v>
      </c>
      <c r="G9" s="30">
        <v>0.0</v>
      </c>
      <c r="H9" s="22"/>
      <c r="I9" s="27"/>
      <c r="J9" s="22"/>
      <c r="K9" s="32"/>
    </row>
    <row r="10" outlineLevel="1">
      <c r="A10" s="21" t="s">
        <v>26</v>
      </c>
      <c r="B10" s="23">
        <f t="shared" ref="B10:G10" si="3">sum(B11:B12)</f>
        <v>7300</v>
      </c>
      <c r="C10" s="23">
        <f t="shared" si="3"/>
        <v>13000</v>
      </c>
      <c r="D10" s="23">
        <f t="shared" si="3"/>
        <v>9400</v>
      </c>
      <c r="E10" s="23">
        <f t="shared" si="3"/>
        <v>30045</v>
      </c>
      <c r="F10" s="23">
        <f t="shared" si="3"/>
        <v>3000</v>
      </c>
      <c r="G10" s="23">
        <f t="shared" si="3"/>
        <v>13500</v>
      </c>
      <c r="H10" s="22"/>
      <c r="I10" s="27"/>
      <c r="J10" s="22"/>
      <c r="K10" s="32"/>
    </row>
    <row r="11" outlineLevel="1">
      <c r="A11" s="28" t="s">
        <v>27</v>
      </c>
      <c r="B11" s="29">
        <v>7300.0</v>
      </c>
      <c r="C11" s="22">
        <v>13000.0</v>
      </c>
      <c r="D11" s="22">
        <v>9400.0</v>
      </c>
      <c r="E11" s="29">
        <v>30045.0</v>
      </c>
      <c r="F11" s="29">
        <v>3000.0</v>
      </c>
      <c r="G11" s="30">
        <v>500.0</v>
      </c>
      <c r="H11" s="22"/>
      <c r="I11" s="27"/>
      <c r="J11" s="22"/>
      <c r="K11" s="32"/>
    </row>
    <row r="12" outlineLevel="1">
      <c r="A12" s="28" t="s">
        <v>28</v>
      </c>
      <c r="B12" s="29">
        <v>0.0</v>
      </c>
      <c r="C12" s="22">
        <v>0.0</v>
      </c>
      <c r="D12" s="33">
        <v>0.0</v>
      </c>
      <c r="E12" s="29">
        <v>0.0</v>
      </c>
      <c r="F12" s="29">
        <v>0.0</v>
      </c>
      <c r="G12" s="30">
        <v>13000.0</v>
      </c>
      <c r="H12" s="22"/>
      <c r="I12" s="27"/>
      <c r="J12" s="22"/>
      <c r="K12" s="32"/>
    </row>
    <row r="13" outlineLevel="1">
      <c r="A13" s="21" t="s">
        <v>29</v>
      </c>
      <c r="B13" s="23">
        <f t="shared" ref="B13:G13" si="4">sum(B14:B16)</f>
        <v>2756</v>
      </c>
      <c r="C13" s="23">
        <f t="shared" si="4"/>
        <v>1800</v>
      </c>
      <c r="D13" s="23">
        <f t="shared" si="4"/>
        <v>0</v>
      </c>
      <c r="E13" s="23">
        <f t="shared" si="4"/>
        <v>0</v>
      </c>
      <c r="F13" s="23">
        <f t="shared" si="4"/>
        <v>2450</v>
      </c>
      <c r="G13" s="23">
        <f t="shared" si="4"/>
        <v>1500</v>
      </c>
      <c r="H13" s="29"/>
      <c r="I13" s="27"/>
      <c r="J13" s="22"/>
      <c r="K13" s="32"/>
    </row>
    <row r="14">
      <c r="A14" s="28" t="s">
        <v>30</v>
      </c>
      <c r="B14" s="29">
        <v>2756.0</v>
      </c>
      <c r="C14" s="29">
        <v>1800.0</v>
      </c>
      <c r="D14" s="29">
        <v>0.0</v>
      </c>
      <c r="E14" s="29">
        <v>0.0</v>
      </c>
      <c r="F14" s="29">
        <v>2450.0</v>
      </c>
      <c r="G14" s="30">
        <v>1500.0</v>
      </c>
      <c r="H14" s="30"/>
      <c r="I14" s="30"/>
      <c r="J14" s="30"/>
      <c r="K14" s="26"/>
    </row>
    <row r="15" outlineLevel="1">
      <c r="A15" s="28" t="s">
        <v>31</v>
      </c>
      <c r="B15" s="29">
        <v>0.0</v>
      </c>
      <c r="C15" s="29">
        <v>0.0</v>
      </c>
      <c r="D15" s="29">
        <v>0.0</v>
      </c>
      <c r="E15" s="29">
        <v>0.0</v>
      </c>
      <c r="F15" s="29">
        <v>0.0</v>
      </c>
      <c r="G15" s="30">
        <v>0.0</v>
      </c>
      <c r="H15" s="22"/>
      <c r="I15" s="27"/>
      <c r="J15" s="22"/>
      <c r="K15" s="32"/>
    </row>
    <row r="16" outlineLevel="1">
      <c r="A16" s="35" t="s">
        <v>33</v>
      </c>
      <c r="B16" s="36">
        <v>0.0</v>
      </c>
      <c r="C16" s="36">
        <v>0.0</v>
      </c>
      <c r="D16" s="36">
        <v>0.0</v>
      </c>
      <c r="E16" s="36">
        <v>0.0</v>
      </c>
      <c r="F16" s="29">
        <v>0.0</v>
      </c>
      <c r="G16" s="30">
        <v>0.0</v>
      </c>
      <c r="H16" s="22"/>
      <c r="I16" s="27"/>
      <c r="J16" s="22"/>
      <c r="K16" s="32"/>
    </row>
    <row r="17" outlineLevel="1">
      <c r="A17" s="21" t="s">
        <v>34</v>
      </c>
      <c r="B17" s="37">
        <v>0.0</v>
      </c>
      <c r="C17" s="37">
        <v>0.0</v>
      </c>
      <c r="D17" s="37">
        <v>0.0</v>
      </c>
      <c r="E17" s="37">
        <v>0.0</v>
      </c>
      <c r="F17" s="37">
        <v>0.0</v>
      </c>
      <c r="G17" s="23">
        <v>0.0</v>
      </c>
      <c r="H17" s="22"/>
      <c r="I17" s="27"/>
      <c r="J17" s="22"/>
      <c r="K17" s="32"/>
    </row>
    <row r="18" outlineLevel="1">
      <c r="A18" s="38" t="s">
        <v>35</v>
      </c>
      <c r="B18" s="23">
        <f t="shared" ref="B18:G18" si="5">sum(B19,B20)</f>
        <v>0</v>
      </c>
      <c r="C18" s="23">
        <f t="shared" si="5"/>
        <v>0</v>
      </c>
      <c r="D18" s="23">
        <f t="shared" si="5"/>
        <v>0</v>
      </c>
      <c r="E18" s="23">
        <f t="shared" si="5"/>
        <v>6000</v>
      </c>
      <c r="F18" s="23">
        <f t="shared" si="5"/>
        <v>0</v>
      </c>
      <c r="G18" s="23">
        <f t="shared" si="5"/>
        <v>2000</v>
      </c>
      <c r="H18" s="22"/>
      <c r="I18" s="27"/>
      <c r="J18" s="22"/>
      <c r="K18" s="32"/>
    </row>
    <row r="19" outlineLevel="1">
      <c r="A19" s="28" t="s">
        <v>36</v>
      </c>
      <c r="B19" s="29">
        <v>0.0</v>
      </c>
      <c r="C19" s="29">
        <v>0.0</v>
      </c>
      <c r="D19" s="33">
        <v>0.0</v>
      </c>
      <c r="E19" s="22">
        <v>0.0</v>
      </c>
      <c r="F19" s="29">
        <v>0.0</v>
      </c>
      <c r="G19" s="30">
        <v>2000.0</v>
      </c>
      <c r="H19" s="22"/>
      <c r="I19" s="27"/>
      <c r="J19" s="22"/>
      <c r="K19" s="32"/>
    </row>
    <row r="20">
      <c r="A20" s="28" t="s">
        <v>37</v>
      </c>
      <c r="B20" s="29">
        <v>0.0</v>
      </c>
      <c r="C20" s="22">
        <v>0.0</v>
      </c>
      <c r="D20" s="22">
        <v>0.0</v>
      </c>
      <c r="E20" s="22">
        <v>6000.0</v>
      </c>
      <c r="F20" s="29">
        <v>0.0</v>
      </c>
      <c r="G20" s="23">
        <v>0.0</v>
      </c>
      <c r="H20" s="31"/>
      <c r="I20" s="39"/>
      <c r="J20" s="31"/>
      <c r="K20" s="26"/>
    </row>
    <row r="21">
      <c r="A21" s="40" t="s">
        <v>38</v>
      </c>
      <c r="B21" s="23">
        <f t="shared" ref="B21:G21" si="6">sum(B22:B24)</f>
        <v>8435</v>
      </c>
      <c r="C21" s="23">
        <f t="shared" si="6"/>
        <v>7720</v>
      </c>
      <c r="D21" s="23">
        <f t="shared" si="6"/>
        <v>5500</v>
      </c>
      <c r="E21" s="23">
        <f t="shared" si="6"/>
        <v>5500</v>
      </c>
      <c r="F21" s="23">
        <f t="shared" si="6"/>
        <v>1350</v>
      </c>
      <c r="G21" s="23">
        <f t="shared" si="6"/>
        <v>275</v>
      </c>
      <c r="H21" s="22"/>
      <c r="I21" s="27"/>
      <c r="J21" s="22"/>
      <c r="K21" s="26"/>
    </row>
    <row r="22">
      <c r="A22" s="28" t="s">
        <v>40</v>
      </c>
      <c r="B22" s="29">
        <v>8435.0</v>
      </c>
      <c r="C22" s="22">
        <v>7720.0</v>
      </c>
      <c r="D22" s="22">
        <v>5500.0</v>
      </c>
      <c r="E22" s="29">
        <v>5500.0</v>
      </c>
      <c r="F22" s="29">
        <v>1350.0</v>
      </c>
      <c r="G22" s="30">
        <v>275.0</v>
      </c>
      <c r="H22" s="22"/>
      <c r="I22" s="27"/>
      <c r="J22" s="22"/>
      <c r="K22" s="26"/>
    </row>
    <row r="23">
      <c r="A23" s="28" t="s">
        <v>41</v>
      </c>
      <c r="B23" s="30">
        <v>0.0</v>
      </c>
      <c r="C23" s="22">
        <v>0.0</v>
      </c>
      <c r="D23" s="22">
        <v>0.0</v>
      </c>
      <c r="E23" s="29">
        <v>0.0</v>
      </c>
      <c r="F23" s="29">
        <v>0.0</v>
      </c>
      <c r="G23" s="30">
        <v>0.0</v>
      </c>
      <c r="H23" s="22"/>
      <c r="I23" s="27"/>
      <c r="J23" s="22"/>
      <c r="K23" s="26"/>
    </row>
    <row r="24">
      <c r="A24" s="28" t="s">
        <v>42</v>
      </c>
      <c r="B24" s="29">
        <v>0.0</v>
      </c>
      <c r="C24" s="22">
        <v>0.0</v>
      </c>
      <c r="D24" s="22">
        <v>0.0</v>
      </c>
      <c r="E24" s="29">
        <v>0.0</v>
      </c>
      <c r="F24" s="29">
        <v>0.0</v>
      </c>
      <c r="G24" s="30">
        <v>0.0</v>
      </c>
      <c r="H24" s="22"/>
      <c r="I24" s="27"/>
      <c r="J24" s="22"/>
      <c r="K24" s="26"/>
    </row>
    <row r="25">
      <c r="A25" s="42" t="s">
        <v>44</v>
      </c>
      <c r="B25" s="34">
        <v>0.0</v>
      </c>
      <c r="C25" s="34">
        <v>0.0</v>
      </c>
      <c r="D25" s="34">
        <v>0.0</v>
      </c>
      <c r="E25" s="34">
        <v>0.0</v>
      </c>
      <c r="F25" s="34">
        <v>0.0</v>
      </c>
      <c r="G25" s="23">
        <v>0.0</v>
      </c>
      <c r="H25" s="44"/>
      <c r="I25" s="44"/>
      <c r="J25" s="44"/>
      <c r="K25" s="2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46" t="s">
        <v>45</v>
      </c>
      <c r="B26" s="48">
        <f t="shared" ref="B26:G26" si="7">B3+B13+B17+B18+B21+B25</f>
        <v>126187</v>
      </c>
      <c r="C26" s="48">
        <f t="shared" si="7"/>
        <v>119195</v>
      </c>
      <c r="D26" s="48">
        <f t="shared" si="7"/>
        <v>77734</v>
      </c>
      <c r="E26" s="48">
        <f t="shared" si="7"/>
        <v>65801</v>
      </c>
      <c r="F26" s="48">
        <f t="shared" si="7"/>
        <v>38408</v>
      </c>
      <c r="G26" s="48">
        <f t="shared" si="7"/>
        <v>56821</v>
      </c>
      <c r="H26" s="49"/>
      <c r="I26" s="50"/>
      <c r="J26" s="49"/>
    </row>
    <row r="27">
      <c r="A27" s="51" t="s">
        <v>47</v>
      </c>
      <c r="B27" s="52">
        <f t="shared" ref="B27:G27" si="8">B26-(B26/1.18)</f>
        <v>19248.86441</v>
      </c>
      <c r="C27" s="52">
        <f t="shared" si="8"/>
        <v>18182.28814</v>
      </c>
      <c r="D27" s="52">
        <f t="shared" si="8"/>
        <v>11857.72881</v>
      </c>
      <c r="E27" s="52">
        <f t="shared" si="8"/>
        <v>10037.44068</v>
      </c>
      <c r="F27" s="52">
        <f t="shared" si="8"/>
        <v>5858.847458</v>
      </c>
      <c r="G27" s="52">
        <f t="shared" si="8"/>
        <v>8667.610169</v>
      </c>
      <c r="H27" s="54"/>
      <c r="I27" s="54"/>
      <c r="J27" s="54"/>
    </row>
    <row r="28">
      <c r="A28" s="55" t="s">
        <v>49</v>
      </c>
      <c r="B28" s="52">
        <f t="shared" ref="B28:G28" si="9">B26-B27</f>
        <v>106938.1356</v>
      </c>
      <c r="C28" s="52">
        <f t="shared" si="9"/>
        <v>101012.7119</v>
      </c>
      <c r="D28" s="52">
        <f t="shared" si="9"/>
        <v>65876.27119</v>
      </c>
      <c r="E28" s="52">
        <f t="shared" si="9"/>
        <v>55763.55932</v>
      </c>
      <c r="F28" s="52">
        <f t="shared" si="9"/>
        <v>32549.15254</v>
      </c>
      <c r="G28" s="52">
        <f t="shared" si="9"/>
        <v>48153.38983</v>
      </c>
      <c r="H28" s="54"/>
      <c r="I28" s="54"/>
      <c r="J28" s="54"/>
    </row>
    <row r="29">
      <c r="C29" s="18"/>
      <c r="D29" s="56"/>
    </row>
    <row r="30">
      <c r="C30" s="18"/>
      <c r="D30" s="56"/>
    </row>
    <row r="31">
      <c r="C31" s="18"/>
      <c r="D31" s="56"/>
    </row>
    <row r="32">
      <c r="C32" s="18"/>
      <c r="D32" s="56"/>
    </row>
    <row r="33">
      <c r="C33" s="18"/>
      <c r="D33" s="56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  <row r="1001">
      <c r="C1001" s="58"/>
    </row>
    <row r="1002">
      <c r="C1002" s="58"/>
    </row>
    <row r="1003">
      <c r="C1003" s="58"/>
    </row>
    <row r="1004">
      <c r="C1004" s="58"/>
    </row>
    <row r="1005">
      <c r="C1005" s="58"/>
    </row>
    <row r="1006">
      <c r="C1006" s="58"/>
    </row>
    <row r="1007">
      <c r="C1007" s="58"/>
    </row>
    <row r="1008">
      <c r="C1008" s="58"/>
    </row>
    <row r="1009">
      <c r="C1009" s="58"/>
    </row>
    <row r="1010">
      <c r="C1010" s="58"/>
    </row>
    <row r="1011">
      <c r="C1011" s="58"/>
    </row>
    <row r="1012">
      <c r="C1012" s="58"/>
    </row>
    <row r="1013">
      <c r="C1013" s="58"/>
    </row>
  </sheetData>
  <hyperlinks>
    <hyperlink r:id="rId1" ref="B1"/>
    <hyperlink r:id="rId2" ref="C1"/>
    <hyperlink r:id="rId3" ref="D1"/>
    <hyperlink r:id="rId4" ref="E1"/>
    <hyperlink r:id="rId5" ref="F1"/>
    <hyperlink r:id="rId6" ref="G1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</cols>
  <sheetData>
    <row r="1">
      <c r="A1" s="3"/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16" t="s">
        <v>1</v>
      </c>
      <c r="H1" s="17"/>
      <c r="I1" s="17"/>
      <c r="J1" s="17"/>
      <c r="K1" s="18"/>
      <c r="L1" s="19"/>
    </row>
    <row r="2">
      <c r="A2" s="1" t="s">
        <v>6</v>
      </c>
      <c r="B2" s="7" t="s">
        <v>7</v>
      </c>
      <c r="C2" s="7" t="s">
        <v>8</v>
      </c>
      <c r="D2" s="7" t="s">
        <v>9</v>
      </c>
      <c r="E2" s="7" t="s">
        <v>3</v>
      </c>
      <c r="F2" s="7" t="s">
        <v>10</v>
      </c>
      <c r="G2" s="20" t="s">
        <v>11</v>
      </c>
      <c r="H2" s="7" t="s">
        <v>12</v>
      </c>
      <c r="I2" s="7" t="s">
        <v>13</v>
      </c>
      <c r="J2" s="7" t="s">
        <v>14</v>
      </c>
      <c r="K2" s="18"/>
      <c r="L2" s="19"/>
    </row>
    <row r="3">
      <c r="A3" s="21" t="s">
        <v>16</v>
      </c>
      <c r="B3" s="23">
        <f t="shared" ref="B3:G3" si="1">sum(B4,B10)</f>
        <v>179568</v>
      </c>
      <c r="C3" s="23">
        <f t="shared" si="1"/>
        <v>283572</v>
      </c>
      <c r="D3" s="23">
        <f t="shared" si="1"/>
        <v>164155</v>
      </c>
      <c r="E3" s="23">
        <f t="shared" si="1"/>
        <v>74328</v>
      </c>
      <c r="F3" s="23">
        <f t="shared" si="1"/>
        <v>82414</v>
      </c>
      <c r="G3" s="23">
        <f t="shared" si="1"/>
        <v>109927</v>
      </c>
      <c r="H3" s="23"/>
      <c r="I3" s="23"/>
      <c r="J3" s="23"/>
      <c r="K3" s="26"/>
    </row>
    <row r="4" outlineLevel="1">
      <c r="A4" s="21" t="s">
        <v>20</v>
      </c>
      <c r="B4" s="23">
        <f t="shared" ref="B4:G4" si="2">sum(B5:B9)</f>
        <v>78287</v>
      </c>
      <c r="C4" s="23">
        <f t="shared" si="2"/>
        <v>169817</v>
      </c>
      <c r="D4" s="23">
        <f t="shared" si="2"/>
        <v>109600</v>
      </c>
      <c r="E4" s="23">
        <f t="shared" si="2"/>
        <v>59528</v>
      </c>
      <c r="F4" s="23">
        <f t="shared" si="2"/>
        <v>74519</v>
      </c>
      <c r="G4" s="23">
        <f t="shared" si="2"/>
        <v>86293</v>
      </c>
      <c r="H4" s="22"/>
      <c r="I4" s="27"/>
      <c r="J4" s="22"/>
      <c r="K4" s="26"/>
    </row>
    <row r="5" outlineLevel="1">
      <c r="A5" s="28" t="s">
        <v>21</v>
      </c>
      <c r="B5" s="29">
        <v>0.0</v>
      </c>
      <c r="C5" s="22">
        <v>87543.0</v>
      </c>
      <c r="D5" s="22">
        <v>45000.0</v>
      </c>
      <c r="E5" s="29">
        <v>42153.0</v>
      </c>
      <c r="F5" s="29">
        <v>43069.0</v>
      </c>
      <c r="G5" s="30">
        <v>52574.0</v>
      </c>
      <c r="H5" s="22"/>
      <c r="I5" s="27"/>
      <c r="J5" s="22"/>
      <c r="K5" s="26"/>
    </row>
    <row r="6" outlineLevel="1">
      <c r="A6" s="28" t="s">
        <v>22</v>
      </c>
      <c r="B6" s="29">
        <v>13450.0</v>
      </c>
      <c r="C6" s="22">
        <v>19250.0</v>
      </c>
      <c r="D6" s="22">
        <v>10500.0</v>
      </c>
      <c r="E6" s="29">
        <v>3650.0</v>
      </c>
      <c r="F6" s="29">
        <v>12250.0</v>
      </c>
      <c r="G6" s="30">
        <v>9370.0</v>
      </c>
      <c r="H6" s="22"/>
      <c r="I6" s="27"/>
      <c r="J6" s="22"/>
      <c r="K6" s="26"/>
    </row>
    <row r="7" outlineLevel="1">
      <c r="A7" s="28" t="s">
        <v>23</v>
      </c>
      <c r="B7" s="29">
        <v>38962.0</v>
      </c>
      <c r="C7" s="22">
        <v>38749.0</v>
      </c>
      <c r="D7" s="22">
        <v>27850.0</v>
      </c>
      <c r="E7" s="29">
        <v>9600.0</v>
      </c>
      <c r="F7" s="29">
        <v>9175.0</v>
      </c>
      <c r="G7" s="30">
        <v>16025.0</v>
      </c>
      <c r="H7" s="22"/>
      <c r="I7" s="27"/>
      <c r="J7" s="22"/>
      <c r="K7" s="26"/>
    </row>
    <row r="8">
      <c r="A8" s="28" t="s">
        <v>24</v>
      </c>
      <c r="B8" s="29">
        <v>25875.0</v>
      </c>
      <c r="C8" s="22">
        <v>24275.0</v>
      </c>
      <c r="D8" s="22">
        <v>26250.0</v>
      </c>
      <c r="E8" s="22">
        <v>4125.0</v>
      </c>
      <c r="F8" s="22">
        <v>10025.0</v>
      </c>
      <c r="G8" s="30">
        <v>8324.0</v>
      </c>
      <c r="H8" s="31"/>
      <c r="I8" s="31"/>
      <c r="J8" s="31"/>
      <c r="K8" s="26"/>
    </row>
    <row r="9" outlineLevel="1">
      <c r="A9" s="28" t="s">
        <v>25</v>
      </c>
      <c r="B9" s="30">
        <v>0.0</v>
      </c>
      <c r="C9" s="22">
        <v>0.0</v>
      </c>
      <c r="D9" s="22">
        <v>0.0</v>
      </c>
      <c r="E9" s="29">
        <v>0.0</v>
      </c>
      <c r="F9" s="29">
        <v>0.0</v>
      </c>
      <c r="G9" s="30">
        <v>0.0</v>
      </c>
      <c r="H9" s="22"/>
      <c r="I9" s="27"/>
      <c r="J9" s="22"/>
      <c r="K9" s="32"/>
    </row>
    <row r="10" outlineLevel="1">
      <c r="A10" s="21" t="s">
        <v>26</v>
      </c>
      <c r="B10" s="23">
        <f t="shared" ref="B10:G10" si="3">sum(B11:B12)</f>
        <v>101281</v>
      </c>
      <c r="C10" s="23">
        <f t="shared" si="3"/>
        <v>113755</v>
      </c>
      <c r="D10" s="23">
        <f t="shared" si="3"/>
        <v>54555</v>
      </c>
      <c r="E10" s="23">
        <f t="shared" si="3"/>
        <v>14800</v>
      </c>
      <c r="F10" s="23">
        <f t="shared" si="3"/>
        <v>7895</v>
      </c>
      <c r="G10" s="23">
        <f t="shared" si="3"/>
        <v>23634</v>
      </c>
      <c r="H10" s="22"/>
      <c r="I10" s="27"/>
      <c r="J10" s="22"/>
      <c r="K10" s="32"/>
    </row>
    <row r="11" outlineLevel="1">
      <c r="A11" s="28" t="s">
        <v>27</v>
      </c>
      <c r="B11" s="29">
        <v>101281.0</v>
      </c>
      <c r="C11" s="22">
        <v>113755.0</v>
      </c>
      <c r="D11" s="22">
        <v>54555.0</v>
      </c>
      <c r="E11" s="29">
        <v>14800.0</v>
      </c>
      <c r="F11" s="29">
        <v>7895.0</v>
      </c>
      <c r="G11" s="30">
        <v>23634.0</v>
      </c>
      <c r="H11" s="22"/>
      <c r="I11" s="27"/>
      <c r="J11" s="22"/>
      <c r="K11" s="32"/>
    </row>
    <row r="12" outlineLevel="1">
      <c r="A12" s="28" t="s">
        <v>28</v>
      </c>
      <c r="B12" s="29">
        <v>0.0</v>
      </c>
      <c r="C12" s="22">
        <v>0.0</v>
      </c>
      <c r="D12" s="33">
        <v>0.0</v>
      </c>
      <c r="E12" s="29">
        <v>0.0</v>
      </c>
      <c r="F12" s="29">
        <v>0.0</v>
      </c>
      <c r="G12" s="30">
        <v>0.0</v>
      </c>
      <c r="H12" s="22"/>
      <c r="I12" s="27"/>
      <c r="J12" s="22"/>
      <c r="K12" s="32"/>
    </row>
    <row r="13" outlineLevel="1">
      <c r="A13" s="21" t="s">
        <v>29</v>
      </c>
      <c r="B13" s="23">
        <f t="shared" ref="B13:G13" si="4">sum(B14:B16)</f>
        <v>3588</v>
      </c>
      <c r="C13" s="23">
        <f t="shared" si="4"/>
        <v>0</v>
      </c>
      <c r="D13" s="23">
        <f t="shared" si="4"/>
        <v>0</v>
      </c>
      <c r="E13" s="23">
        <f t="shared" si="4"/>
        <v>0</v>
      </c>
      <c r="F13" s="23">
        <f t="shared" si="4"/>
        <v>0</v>
      </c>
      <c r="G13" s="23">
        <f t="shared" si="4"/>
        <v>0</v>
      </c>
      <c r="H13" s="29"/>
      <c r="I13" s="27"/>
      <c r="J13" s="22"/>
      <c r="K13" s="32"/>
    </row>
    <row r="14">
      <c r="A14" s="28" t="s">
        <v>30</v>
      </c>
      <c r="B14" s="29">
        <v>0.0</v>
      </c>
      <c r="C14" s="29">
        <v>0.0</v>
      </c>
      <c r="D14" s="29">
        <v>0.0</v>
      </c>
      <c r="E14" s="29">
        <v>0.0</v>
      </c>
      <c r="F14" s="29">
        <v>0.0</v>
      </c>
      <c r="G14" s="30">
        <v>0.0</v>
      </c>
      <c r="H14" s="30"/>
      <c r="I14" s="30"/>
      <c r="J14" s="30"/>
      <c r="K14" s="26"/>
    </row>
    <row r="15" outlineLevel="1">
      <c r="A15" s="28" t="s">
        <v>31</v>
      </c>
      <c r="B15" s="29">
        <v>3588.0</v>
      </c>
      <c r="C15" s="29">
        <v>0.0</v>
      </c>
      <c r="D15" s="29">
        <v>0.0</v>
      </c>
      <c r="E15" s="29">
        <v>0.0</v>
      </c>
      <c r="F15" s="29">
        <v>0.0</v>
      </c>
      <c r="G15" s="30">
        <v>0.0</v>
      </c>
      <c r="H15" s="22"/>
      <c r="I15" s="27"/>
      <c r="J15" s="22"/>
      <c r="K15" s="32"/>
    </row>
    <row r="16" outlineLevel="1">
      <c r="A16" s="35" t="s">
        <v>33</v>
      </c>
      <c r="B16" s="36">
        <v>0.0</v>
      </c>
      <c r="C16" s="22">
        <v>0.0</v>
      </c>
      <c r="D16" s="22">
        <v>0.0</v>
      </c>
      <c r="E16" s="22">
        <v>0.0</v>
      </c>
      <c r="F16" s="29">
        <v>0.0</v>
      </c>
      <c r="G16" s="30">
        <v>0.0</v>
      </c>
      <c r="H16" s="22"/>
      <c r="I16" s="27"/>
      <c r="J16" s="22"/>
      <c r="K16" s="32"/>
    </row>
    <row r="17" outlineLevel="1">
      <c r="A17" s="21" t="s">
        <v>34</v>
      </c>
      <c r="B17" s="37">
        <v>0.0</v>
      </c>
      <c r="C17" s="31">
        <v>0.0</v>
      </c>
      <c r="D17" s="31">
        <v>0.0</v>
      </c>
      <c r="E17" s="31">
        <v>0.0</v>
      </c>
      <c r="F17" s="31">
        <v>0.0</v>
      </c>
      <c r="G17" s="23">
        <v>0.0</v>
      </c>
      <c r="H17" s="22"/>
      <c r="I17" s="27"/>
      <c r="J17" s="22"/>
      <c r="K17" s="32"/>
    </row>
    <row r="18" outlineLevel="1">
      <c r="A18" s="38" t="s">
        <v>35</v>
      </c>
      <c r="B18" s="23">
        <f t="shared" ref="B18:G18" si="5">sum(B19,B20)</f>
        <v>18000</v>
      </c>
      <c r="C18" s="23">
        <f t="shared" si="5"/>
        <v>0</v>
      </c>
      <c r="D18" s="23">
        <f t="shared" si="5"/>
        <v>0</v>
      </c>
      <c r="E18" s="23">
        <f t="shared" si="5"/>
        <v>0</v>
      </c>
      <c r="F18" s="23">
        <f t="shared" si="5"/>
        <v>0</v>
      </c>
      <c r="G18" s="23">
        <f t="shared" si="5"/>
        <v>0</v>
      </c>
      <c r="H18" s="22"/>
      <c r="I18" s="27"/>
      <c r="J18" s="22"/>
      <c r="K18" s="32"/>
    </row>
    <row r="19" outlineLevel="1">
      <c r="A19" s="28" t="s">
        <v>36</v>
      </c>
      <c r="B19" s="29">
        <v>18000.0</v>
      </c>
      <c r="C19" s="29">
        <v>0.0</v>
      </c>
      <c r="D19" s="33">
        <v>0.0</v>
      </c>
      <c r="E19" s="29">
        <v>0.0</v>
      </c>
      <c r="F19" s="29">
        <v>0.0</v>
      </c>
      <c r="G19" s="30">
        <v>0.0</v>
      </c>
      <c r="H19" s="22"/>
      <c r="I19" s="27"/>
      <c r="J19" s="22"/>
      <c r="K19" s="32"/>
    </row>
    <row r="20">
      <c r="A20" s="28" t="s">
        <v>37</v>
      </c>
      <c r="B20" s="29">
        <v>0.0</v>
      </c>
      <c r="C20" s="22">
        <v>0.0</v>
      </c>
      <c r="D20" s="22">
        <v>0.0</v>
      </c>
      <c r="E20" s="29">
        <v>0.0</v>
      </c>
      <c r="F20" s="29">
        <v>0.0</v>
      </c>
      <c r="G20" s="23">
        <v>0.0</v>
      </c>
      <c r="H20" s="31"/>
      <c r="I20" s="39"/>
      <c r="J20" s="31"/>
      <c r="K20" s="26"/>
    </row>
    <row r="21">
      <c r="A21" s="40" t="s">
        <v>38</v>
      </c>
      <c r="B21" s="23">
        <f t="shared" ref="B21:G21" si="6">sum(B22:B24)</f>
        <v>21525</v>
      </c>
      <c r="C21" s="23">
        <f t="shared" si="6"/>
        <v>19750</v>
      </c>
      <c r="D21" s="23">
        <f t="shared" si="6"/>
        <v>19400</v>
      </c>
      <c r="E21" s="23">
        <f t="shared" si="6"/>
        <v>10150</v>
      </c>
      <c r="F21" s="23">
        <f t="shared" si="6"/>
        <v>13075</v>
      </c>
      <c r="G21" s="23">
        <f t="shared" si="6"/>
        <v>13300</v>
      </c>
      <c r="H21" s="22"/>
      <c r="I21" s="27"/>
      <c r="J21" s="22"/>
      <c r="K21" s="26"/>
    </row>
    <row r="22">
      <c r="A22" s="28" t="s">
        <v>40</v>
      </c>
      <c r="B22" s="29">
        <v>21525.0</v>
      </c>
      <c r="C22" s="22">
        <v>19750.0</v>
      </c>
      <c r="D22" s="22">
        <v>19400.0</v>
      </c>
      <c r="E22" s="29">
        <v>10150.0</v>
      </c>
      <c r="F22" s="29">
        <v>13075.0</v>
      </c>
      <c r="G22" s="30">
        <v>13300.0</v>
      </c>
      <c r="H22" s="22"/>
      <c r="I22" s="27"/>
      <c r="J22" s="22"/>
      <c r="K22" s="26"/>
    </row>
    <row r="23">
      <c r="A23" s="28" t="s">
        <v>41</v>
      </c>
      <c r="B23" s="30">
        <v>0.0</v>
      </c>
      <c r="C23" s="22">
        <v>0.0</v>
      </c>
      <c r="D23" s="22">
        <v>0.0</v>
      </c>
      <c r="E23" s="29">
        <v>0.0</v>
      </c>
      <c r="F23" s="29">
        <v>0.0</v>
      </c>
      <c r="G23" s="30">
        <v>0.0</v>
      </c>
      <c r="H23" s="22"/>
      <c r="I23" s="27"/>
      <c r="J23" s="22"/>
      <c r="K23" s="26"/>
    </row>
    <row r="24">
      <c r="A24" s="28" t="s">
        <v>42</v>
      </c>
      <c r="B24" s="29">
        <v>0.0</v>
      </c>
      <c r="C24" s="22">
        <v>0.0</v>
      </c>
      <c r="D24" s="22">
        <v>0.0</v>
      </c>
      <c r="E24" s="29">
        <v>0.0</v>
      </c>
      <c r="F24" s="29">
        <v>0.0</v>
      </c>
      <c r="G24" s="30">
        <v>0.0</v>
      </c>
      <c r="H24" s="22"/>
      <c r="I24" s="27"/>
      <c r="J24" s="22"/>
      <c r="K24" s="26"/>
    </row>
    <row r="25">
      <c r="A25" s="42" t="s">
        <v>44</v>
      </c>
      <c r="B25" s="34">
        <v>120000.0</v>
      </c>
      <c r="C25" s="34">
        <v>120000.0</v>
      </c>
      <c r="D25" s="34">
        <v>120000.0</v>
      </c>
      <c r="E25" s="34">
        <v>120000.0</v>
      </c>
      <c r="F25" s="34">
        <v>120000.0</v>
      </c>
      <c r="G25" s="23">
        <v>120000.0</v>
      </c>
      <c r="H25" s="44"/>
      <c r="I25" s="44"/>
      <c r="J25" s="44"/>
      <c r="K25" s="26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  <row r="26">
      <c r="A26" s="46" t="s">
        <v>45</v>
      </c>
      <c r="B26" s="48">
        <f t="shared" ref="B26:G26" si="7">B3+B13+B17+B18+B21+B25</f>
        <v>342681</v>
      </c>
      <c r="C26" s="48">
        <f t="shared" si="7"/>
        <v>423322</v>
      </c>
      <c r="D26" s="48">
        <f t="shared" si="7"/>
        <v>303555</v>
      </c>
      <c r="E26" s="48">
        <f t="shared" si="7"/>
        <v>204478</v>
      </c>
      <c r="F26" s="48">
        <f t="shared" si="7"/>
        <v>215489</v>
      </c>
      <c r="G26" s="48">
        <f t="shared" si="7"/>
        <v>243227</v>
      </c>
      <c r="H26" s="49"/>
      <c r="I26" s="50"/>
      <c r="J26" s="49"/>
    </row>
    <row r="27">
      <c r="A27" s="51" t="s">
        <v>47</v>
      </c>
      <c r="B27" s="52">
        <f t="shared" ref="B27:G27" si="8">B26-(B26/1.18)</f>
        <v>52273.37288</v>
      </c>
      <c r="C27" s="52">
        <f t="shared" si="8"/>
        <v>64574.54237</v>
      </c>
      <c r="D27" s="52">
        <f t="shared" si="8"/>
        <v>46305</v>
      </c>
      <c r="E27" s="52">
        <f t="shared" si="8"/>
        <v>31191.55932</v>
      </c>
      <c r="F27" s="52">
        <f t="shared" si="8"/>
        <v>32871.20339</v>
      </c>
      <c r="G27" s="52">
        <f t="shared" si="8"/>
        <v>37102.42373</v>
      </c>
      <c r="H27" s="54"/>
      <c r="I27" s="54"/>
      <c r="J27" s="54"/>
    </row>
    <row r="28">
      <c r="A28" s="55" t="s">
        <v>49</v>
      </c>
      <c r="B28" s="52">
        <f t="shared" ref="B28:G28" si="9">B26-B27</f>
        <v>290407.6271</v>
      </c>
      <c r="C28" s="52">
        <f t="shared" si="9"/>
        <v>358747.4576</v>
      </c>
      <c r="D28" s="52">
        <f t="shared" si="9"/>
        <v>257250</v>
      </c>
      <c r="E28" s="52">
        <f t="shared" si="9"/>
        <v>173286.4407</v>
      </c>
      <c r="F28" s="52">
        <f t="shared" si="9"/>
        <v>182617.7966</v>
      </c>
      <c r="G28" s="52">
        <f t="shared" si="9"/>
        <v>206124.5763</v>
      </c>
      <c r="H28" s="54"/>
      <c r="I28" s="54"/>
      <c r="J28" s="54"/>
    </row>
    <row r="29">
      <c r="C29" s="18"/>
      <c r="D29" s="56"/>
    </row>
    <row r="30">
      <c r="C30" s="18"/>
      <c r="D30" s="56"/>
    </row>
    <row r="31">
      <c r="C31" s="18"/>
      <c r="D31" s="56"/>
    </row>
    <row r="32">
      <c r="C32" s="18"/>
      <c r="D32" s="56"/>
    </row>
    <row r="33">
      <c r="C33" s="18"/>
      <c r="D33" s="56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  <row r="1001">
      <c r="C1001" s="58"/>
    </row>
    <row r="1002">
      <c r="C1002" s="58"/>
    </row>
    <row r="1003">
      <c r="C1003" s="58"/>
    </row>
    <row r="1004">
      <c r="C1004" s="58"/>
    </row>
    <row r="1005">
      <c r="C1005" s="58"/>
    </row>
    <row r="1006">
      <c r="C1006" s="58"/>
    </row>
    <row r="1007">
      <c r="C1007" s="58"/>
    </row>
    <row r="1008">
      <c r="C1008" s="58"/>
    </row>
    <row r="1009">
      <c r="C1009" s="58"/>
    </row>
    <row r="1010">
      <c r="C1010" s="58"/>
    </row>
    <row r="1011">
      <c r="C1011" s="58"/>
    </row>
    <row r="1012">
      <c r="C1012" s="58"/>
    </row>
    <row r="1013">
      <c r="C1013" s="58"/>
    </row>
  </sheetData>
  <hyperlinks>
    <hyperlink r:id="rId1" ref="B1"/>
    <hyperlink r:id="rId2" ref="C1"/>
    <hyperlink r:id="rId3" ref="D1"/>
    <hyperlink r:id="rId4" ref="E1"/>
    <hyperlink r:id="rId5" ref="F1"/>
    <hyperlink r:id="rId6" ref="G1"/>
  </hyperlinks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</cols>
  <sheetData>
    <row r="1">
      <c r="A1" s="3"/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18"/>
      <c r="H1" s="19"/>
    </row>
    <row r="2">
      <c r="A2" s="1" t="s">
        <v>6</v>
      </c>
      <c r="B2" s="7" t="s">
        <v>7</v>
      </c>
      <c r="C2" s="7" t="s">
        <v>8</v>
      </c>
      <c r="D2" s="7" t="s">
        <v>9</v>
      </c>
      <c r="E2" s="7" t="s">
        <v>3</v>
      </c>
      <c r="F2" s="7" t="s">
        <v>10</v>
      </c>
      <c r="G2" s="18"/>
      <c r="H2" s="19"/>
    </row>
    <row r="3">
      <c r="A3" s="21" t="s">
        <v>16</v>
      </c>
      <c r="B3" s="23">
        <f t="shared" ref="B3:F3" si="1">sum(B4,B10)</f>
        <v>46515</v>
      </c>
      <c r="C3" s="23">
        <f t="shared" si="1"/>
        <v>31460</v>
      </c>
      <c r="D3" s="23">
        <f t="shared" si="1"/>
        <v>36755</v>
      </c>
      <c r="E3" s="23">
        <f t="shared" si="1"/>
        <v>34021</v>
      </c>
      <c r="F3" s="23">
        <f t="shared" si="1"/>
        <v>33197</v>
      </c>
      <c r="G3" s="26"/>
    </row>
    <row r="4" outlineLevel="1">
      <c r="A4" s="21" t="s">
        <v>20</v>
      </c>
      <c r="B4" s="23">
        <f t="shared" ref="B4:F4" si="2">sum(B5:B9)</f>
        <v>37856</v>
      </c>
      <c r="C4" s="23">
        <f t="shared" si="2"/>
        <v>22560</v>
      </c>
      <c r="D4" s="23">
        <f t="shared" si="2"/>
        <v>32255</v>
      </c>
      <c r="E4" s="23">
        <f t="shared" si="2"/>
        <v>31721</v>
      </c>
      <c r="F4" s="23">
        <f t="shared" si="2"/>
        <v>31057</v>
      </c>
      <c r="G4" s="26"/>
    </row>
    <row r="5" outlineLevel="1">
      <c r="A5" s="28" t="s">
        <v>21</v>
      </c>
      <c r="B5" s="29">
        <v>0.0</v>
      </c>
      <c r="C5" s="22">
        <v>7128.0</v>
      </c>
      <c r="D5" s="22">
        <v>23861.0</v>
      </c>
      <c r="E5" s="29">
        <v>28546.0</v>
      </c>
      <c r="F5" s="29">
        <v>29905.0</v>
      </c>
      <c r="G5" s="26"/>
    </row>
    <row r="6" outlineLevel="1">
      <c r="A6" s="28" t="s">
        <v>22</v>
      </c>
      <c r="B6" s="29">
        <v>950.0</v>
      </c>
      <c r="C6" s="22">
        <v>638.0</v>
      </c>
      <c r="D6" s="22">
        <v>1196.0</v>
      </c>
      <c r="E6" s="29">
        <v>1993.0</v>
      </c>
      <c r="F6" s="29">
        <v>0.0</v>
      </c>
      <c r="G6" s="26"/>
    </row>
    <row r="7" outlineLevel="1">
      <c r="A7" s="28" t="s">
        <v>23</v>
      </c>
      <c r="B7" s="29">
        <v>0.0</v>
      </c>
      <c r="C7" s="22">
        <v>800.0</v>
      </c>
      <c r="D7" s="22">
        <v>0.0</v>
      </c>
      <c r="E7" s="29">
        <v>598.0</v>
      </c>
      <c r="F7" s="29">
        <v>0.0</v>
      </c>
      <c r="G7" s="26"/>
    </row>
    <row r="8">
      <c r="A8" s="28" t="s">
        <v>24</v>
      </c>
      <c r="B8" s="29">
        <v>0.0</v>
      </c>
      <c r="C8" s="22">
        <v>0.0</v>
      </c>
      <c r="D8" s="22">
        <v>0.0</v>
      </c>
      <c r="E8" s="22">
        <v>0.0</v>
      </c>
      <c r="F8" s="31">
        <v>0.0</v>
      </c>
      <c r="G8" s="26"/>
    </row>
    <row r="9" outlineLevel="1">
      <c r="A9" s="28" t="s">
        <v>25</v>
      </c>
      <c r="B9" s="29">
        <v>36906.0</v>
      </c>
      <c r="C9" s="22">
        <v>13994.0</v>
      </c>
      <c r="D9" s="22">
        <v>7198.0</v>
      </c>
      <c r="E9" s="29">
        <v>584.0</v>
      </c>
      <c r="F9" s="29">
        <v>1152.0</v>
      </c>
      <c r="G9" s="32"/>
    </row>
    <row r="10" outlineLevel="1">
      <c r="A10" s="21" t="s">
        <v>26</v>
      </c>
      <c r="B10" s="23">
        <f t="shared" ref="B10:F10" si="3">sum(B11:B12)</f>
        <v>8659</v>
      </c>
      <c r="C10" s="23">
        <f t="shared" si="3"/>
        <v>8900</v>
      </c>
      <c r="D10" s="23">
        <f t="shared" si="3"/>
        <v>4500</v>
      </c>
      <c r="E10" s="23">
        <f t="shared" si="3"/>
        <v>2300</v>
      </c>
      <c r="F10" s="23">
        <f t="shared" si="3"/>
        <v>2140</v>
      </c>
      <c r="G10" s="32"/>
    </row>
    <row r="11" outlineLevel="1">
      <c r="A11" s="28" t="s">
        <v>27</v>
      </c>
      <c r="B11" s="29">
        <v>8659.0</v>
      </c>
      <c r="C11" s="22">
        <v>8900.0</v>
      </c>
      <c r="D11" s="22">
        <v>4500.0</v>
      </c>
      <c r="E11" s="29">
        <v>2300.0</v>
      </c>
      <c r="F11" s="29">
        <v>2140.0</v>
      </c>
      <c r="G11" s="32"/>
    </row>
    <row r="12" outlineLevel="1">
      <c r="A12" s="28" t="s">
        <v>28</v>
      </c>
      <c r="B12" s="29">
        <v>0.0</v>
      </c>
      <c r="C12" s="22">
        <v>0.0</v>
      </c>
      <c r="D12" s="33">
        <v>0.0</v>
      </c>
      <c r="E12" s="29">
        <v>0.0</v>
      </c>
      <c r="F12" s="29">
        <v>0.0</v>
      </c>
      <c r="G12" s="32"/>
    </row>
    <row r="13" outlineLevel="1">
      <c r="A13" s="21" t="s">
        <v>29</v>
      </c>
      <c r="B13" s="23">
        <f t="shared" ref="B13:F13" si="4">sum(B14:B16)</f>
        <v>0</v>
      </c>
      <c r="C13" s="23">
        <f t="shared" si="4"/>
        <v>0</v>
      </c>
      <c r="D13" s="23">
        <f t="shared" si="4"/>
        <v>0</v>
      </c>
      <c r="E13" s="23">
        <f t="shared" si="4"/>
        <v>0</v>
      </c>
      <c r="F13" s="23">
        <f t="shared" si="4"/>
        <v>0</v>
      </c>
      <c r="G13" s="32"/>
    </row>
    <row r="14">
      <c r="A14" s="28" t="s">
        <v>30</v>
      </c>
      <c r="B14" s="29">
        <v>0.0</v>
      </c>
      <c r="C14" s="29">
        <v>0.0</v>
      </c>
      <c r="D14" s="29">
        <v>0.0</v>
      </c>
      <c r="E14" s="29">
        <v>0.0</v>
      </c>
      <c r="F14" s="34">
        <v>0.0</v>
      </c>
      <c r="G14" s="26"/>
    </row>
    <row r="15" outlineLevel="1">
      <c r="A15" s="28" t="s">
        <v>31</v>
      </c>
      <c r="B15" s="29">
        <v>0.0</v>
      </c>
      <c r="C15" s="29">
        <v>0.0</v>
      </c>
      <c r="D15" s="29">
        <v>0.0</v>
      </c>
      <c r="E15" s="29">
        <v>0.0</v>
      </c>
      <c r="F15" s="29">
        <v>0.0</v>
      </c>
      <c r="G15" s="32"/>
    </row>
    <row r="16" outlineLevel="1">
      <c r="A16" s="35" t="s">
        <v>33</v>
      </c>
      <c r="B16" s="36">
        <v>0.0</v>
      </c>
      <c r="C16" s="36">
        <v>0.0</v>
      </c>
      <c r="D16" s="36">
        <v>0.0</v>
      </c>
      <c r="E16" s="36">
        <v>0.0</v>
      </c>
      <c r="F16" s="29">
        <v>0.0</v>
      </c>
      <c r="G16" s="32"/>
    </row>
    <row r="17" outlineLevel="1">
      <c r="A17" s="21" t="s">
        <v>34</v>
      </c>
      <c r="B17" s="37">
        <v>0.0</v>
      </c>
      <c r="C17" s="37">
        <v>0.0</v>
      </c>
      <c r="D17" s="37">
        <v>0.0</v>
      </c>
      <c r="E17" s="37">
        <v>0.0</v>
      </c>
      <c r="F17" s="37">
        <v>0.0</v>
      </c>
      <c r="G17" s="32"/>
    </row>
    <row r="18" outlineLevel="1">
      <c r="A18" s="38" t="s">
        <v>35</v>
      </c>
      <c r="B18" s="23">
        <f t="shared" ref="B18:F18" si="5">sum(B19,B20)</f>
        <v>0</v>
      </c>
      <c r="C18" s="23">
        <f t="shared" si="5"/>
        <v>0</v>
      </c>
      <c r="D18" s="23">
        <f t="shared" si="5"/>
        <v>0</v>
      </c>
      <c r="E18" s="23">
        <f t="shared" si="5"/>
        <v>0</v>
      </c>
      <c r="F18" s="23">
        <f t="shared" si="5"/>
        <v>0</v>
      </c>
      <c r="G18" s="32"/>
      <c r="T18" s="23"/>
    </row>
    <row r="19" outlineLevel="1">
      <c r="A19" s="28" t="s">
        <v>36</v>
      </c>
      <c r="B19" s="29">
        <v>0.0</v>
      </c>
      <c r="C19" s="29">
        <v>0.0</v>
      </c>
      <c r="D19" s="33">
        <v>0.0</v>
      </c>
      <c r="E19" s="29">
        <v>0.0</v>
      </c>
      <c r="F19" s="29">
        <v>0.0</v>
      </c>
      <c r="G19" s="32"/>
    </row>
    <row r="20">
      <c r="A20" s="28" t="s">
        <v>37</v>
      </c>
      <c r="B20" s="29">
        <v>0.0</v>
      </c>
      <c r="C20" s="22">
        <v>0.0</v>
      </c>
      <c r="D20" s="22">
        <v>0.0</v>
      </c>
      <c r="E20" s="29">
        <v>0.0</v>
      </c>
      <c r="F20" s="34">
        <v>0.0</v>
      </c>
      <c r="G20" s="26"/>
    </row>
    <row r="21">
      <c r="A21" s="40" t="s">
        <v>38</v>
      </c>
      <c r="B21" s="23">
        <f t="shared" ref="B21:F21" si="6">sum(B22:B24)</f>
        <v>0</v>
      </c>
      <c r="C21" s="23">
        <f t="shared" si="6"/>
        <v>0</v>
      </c>
      <c r="D21" s="23">
        <f t="shared" si="6"/>
        <v>0</v>
      </c>
      <c r="E21" s="23">
        <f t="shared" si="6"/>
        <v>0</v>
      </c>
      <c r="F21" s="23">
        <f t="shared" si="6"/>
        <v>0</v>
      </c>
      <c r="G21" s="26"/>
    </row>
    <row r="22">
      <c r="A22" s="28" t="s">
        <v>40</v>
      </c>
      <c r="B22" s="29">
        <v>0.0</v>
      </c>
      <c r="C22" s="22">
        <v>0.0</v>
      </c>
      <c r="D22" s="22">
        <v>0.0</v>
      </c>
      <c r="E22" s="29">
        <v>0.0</v>
      </c>
      <c r="F22" s="29">
        <v>0.0</v>
      </c>
      <c r="G22" s="26"/>
    </row>
    <row r="23">
      <c r="A23" s="28" t="s">
        <v>41</v>
      </c>
      <c r="B23" s="30">
        <v>0.0</v>
      </c>
      <c r="C23" s="22">
        <v>0.0</v>
      </c>
      <c r="D23" s="22">
        <v>0.0</v>
      </c>
      <c r="E23" s="29">
        <v>0.0</v>
      </c>
      <c r="F23" s="29">
        <v>0.0</v>
      </c>
      <c r="G23" s="26"/>
    </row>
    <row r="24">
      <c r="A24" s="28" t="s">
        <v>42</v>
      </c>
      <c r="B24" s="29">
        <v>0.0</v>
      </c>
      <c r="C24" s="22">
        <v>0.0</v>
      </c>
      <c r="D24" s="22">
        <v>0.0</v>
      </c>
      <c r="E24" s="29">
        <v>0.0</v>
      </c>
      <c r="F24" s="29">
        <v>0.0</v>
      </c>
      <c r="G24" s="26"/>
    </row>
    <row r="25">
      <c r="A25" s="42" t="s">
        <v>44</v>
      </c>
      <c r="B25" s="34">
        <v>0.0</v>
      </c>
      <c r="C25" s="34">
        <v>0.0</v>
      </c>
      <c r="D25" s="34">
        <v>0.0</v>
      </c>
      <c r="E25" s="43">
        <v>15000.0</v>
      </c>
      <c r="F25" s="43">
        <v>7500.0</v>
      </c>
      <c r="G25" s="26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>
      <c r="A26" s="46" t="s">
        <v>45</v>
      </c>
      <c r="B26" s="48">
        <f t="shared" ref="B26:F26" si="7">B3+B13+B17+B18+B21+B25</f>
        <v>46515</v>
      </c>
      <c r="C26" s="48">
        <f t="shared" si="7"/>
        <v>31460</v>
      </c>
      <c r="D26" s="48">
        <f t="shared" si="7"/>
        <v>36755</v>
      </c>
      <c r="E26" s="48">
        <f t="shared" si="7"/>
        <v>49021</v>
      </c>
      <c r="F26" s="48">
        <f t="shared" si="7"/>
        <v>40697</v>
      </c>
    </row>
    <row r="27">
      <c r="A27" s="51" t="s">
        <v>47</v>
      </c>
      <c r="B27" s="52">
        <f t="shared" ref="B27:F27" si="8">B26-(B26/1.18)</f>
        <v>7095.508475</v>
      </c>
      <c r="C27" s="52">
        <f t="shared" si="8"/>
        <v>4798.983051</v>
      </c>
      <c r="D27" s="52">
        <f t="shared" si="8"/>
        <v>5606.694915</v>
      </c>
      <c r="E27" s="52">
        <f t="shared" si="8"/>
        <v>7477.779661</v>
      </c>
      <c r="F27" s="52">
        <f t="shared" si="8"/>
        <v>6208.016949</v>
      </c>
    </row>
    <row r="28">
      <c r="A28" s="55" t="s">
        <v>49</v>
      </c>
      <c r="B28" s="52">
        <f t="shared" ref="B28:F28" si="9">B26-B27</f>
        <v>39419.49153</v>
      </c>
      <c r="C28" s="52">
        <f t="shared" si="9"/>
        <v>26661.01695</v>
      </c>
      <c r="D28" s="52">
        <f t="shared" si="9"/>
        <v>31148.30508</v>
      </c>
      <c r="E28" s="52">
        <f t="shared" si="9"/>
        <v>41543.22034</v>
      </c>
      <c r="F28" s="52">
        <f t="shared" si="9"/>
        <v>34488.98305</v>
      </c>
    </row>
    <row r="29">
      <c r="C29" s="18"/>
      <c r="D29" s="56"/>
    </row>
    <row r="30">
      <c r="C30" s="18"/>
      <c r="D30" s="56"/>
    </row>
    <row r="31">
      <c r="C31" s="18"/>
      <c r="D31" s="56"/>
    </row>
    <row r="32">
      <c r="C32" s="18"/>
      <c r="D32" s="56"/>
    </row>
    <row r="33">
      <c r="C33" s="18"/>
      <c r="D33" s="56"/>
    </row>
    <row r="34">
      <c r="C34" s="58"/>
    </row>
    <row r="35">
      <c r="C35" s="58"/>
    </row>
    <row r="36">
      <c r="C36" s="58"/>
    </row>
    <row r="37">
      <c r="C37" s="58"/>
    </row>
    <row r="38">
      <c r="C38" s="58"/>
    </row>
    <row r="39">
      <c r="C39" s="58"/>
    </row>
    <row r="40">
      <c r="C40" s="58"/>
    </row>
    <row r="41">
      <c r="C41" s="58"/>
    </row>
    <row r="42">
      <c r="C42" s="58"/>
    </row>
    <row r="43">
      <c r="C43" s="58"/>
    </row>
    <row r="44">
      <c r="C44" s="58"/>
    </row>
    <row r="45">
      <c r="C45" s="58"/>
    </row>
    <row r="46">
      <c r="C46" s="58"/>
    </row>
    <row r="47">
      <c r="C47" s="58"/>
    </row>
    <row r="48">
      <c r="C48" s="58"/>
    </row>
    <row r="49">
      <c r="C49" s="58"/>
    </row>
    <row r="50">
      <c r="C50" s="58"/>
    </row>
    <row r="51">
      <c r="C51" s="58"/>
    </row>
    <row r="52">
      <c r="C52" s="58"/>
    </row>
    <row r="53">
      <c r="C53" s="58"/>
    </row>
    <row r="54">
      <c r="C54" s="58"/>
    </row>
    <row r="55">
      <c r="C55" s="58"/>
    </row>
    <row r="56">
      <c r="C56" s="58"/>
    </row>
    <row r="57">
      <c r="C57" s="58"/>
    </row>
    <row r="58">
      <c r="C58" s="58"/>
    </row>
    <row r="59">
      <c r="C59" s="58"/>
    </row>
    <row r="60">
      <c r="C60" s="58"/>
    </row>
    <row r="61">
      <c r="C61" s="58"/>
    </row>
    <row r="62">
      <c r="C62" s="58"/>
    </row>
    <row r="63">
      <c r="C63" s="58"/>
    </row>
    <row r="64">
      <c r="C64" s="58"/>
    </row>
    <row r="65">
      <c r="C65" s="58"/>
    </row>
    <row r="66">
      <c r="C66" s="58"/>
    </row>
    <row r="67">
      <c r="C67" s="58"/>
    </row>
    <row r="68">
      <c r="C68" s="58"/>
    </row>
    <row r="69">
      <c r="C69" s="58"/>
    </row>
    <row r="70">
      <c r="C70" s="58"/>
    </row>
    <row r="71">
      <c r="C71" s="58"/>
    </row>
    <row r="72">
      <c r="C72" s="58"/>
    </row>
    <row r="73">
      <c r="C73" s="58"/>
    </row>
    <row r="74">
      <c r="C74" s="58"/>
    </row>
    <row r="75">
      <c r="C75" s="58"/>
    </row>
    <row r="76">
      <c r="C76" s="58"/>
    </row>
    <row r="77">
      <c r="C77" s="58"/>
    </row>
    <row r="78">
      <c r="C78" s="58"/>
    </row>
    <row r="79">
      <c r="C79" s="58"/>
    </row>
    <row r="80">
      <c r="C80" s="58"/>
    </row>
    <row r="81">
      <c r="C81" s="58"/>
    </row>
    <row r="82">
      <c r="C82" s="58"/>
    </row>
    <row r="83">
      <c r="C83" s="58"/>
    </row>
    <row r="84">
      <c r="C84" s="58"/>
    </row>
    <row r="85">
      <c r="C85" s="58"/>
    </row>
    <row r="86">
      <c r="C86" s="58"/>
    </row>
    <row r="87">
      <c r="C87" s="58"/>
    </row>
    <row r="88">
      <c r="C88" s="58"/>
    </row>
    <row r="89">
      <c r="C89" s="58"/>
    </row>
    <row r="90">
      <c r="C90" s="58"/>
    </row>
    <row r="91">
      <c r="C91" s="58"/>
    </row>
    <row r="92">
      <c r="C92" s="58"/>
    </row>
    <row r="93">
      <c r="C93" s="58"/>
    </row>
    <row r="94">
      <c r="C94" s="58"/>
    </row>
    <row r="95">
      <c r="C95" s="58"/>
    </row>
    <row r="96">
      <c r="C96" s="58"/>
    </row>
    <row r="97">
      <c r="C97" s="58"/>
    </row>
    <row r="98">
      <c r="C98" s="58"/>
    </row>
    <row r="99">
      <c r="C99" s="58"/>
    </row>
    <row r="100">
      <c r="C100" s="58"/>
    </row>
    <row r="101">
      <c r="C101" s="58"/>
    </row>
    <row r="102">
      <c r="C102" s="58"/>
    </row>
    <row r="103">
      <c r="C103" s="58"/>
    </row>
    <row r="104">
      <c r="C104" s="58"/>
    </row>
    <row r="105">
      <c r="C105" s="58"/>
    </row>
    <row r="106">
      <c r="C106" s="58"/>
    </row>
    <row r="107">
      <c r="C107" s="58"/>
    </row>
    <row r="108">
      <c r="C108" s="58"/>
    </row>
    <row r="109">
      <c r="C109" s="58"/>
    </row>
    <row r="110">
      <c r="C110" s="58"/>
    </row>
    <row r="111">
      <c r="C111" s="58"/>
    </row>
    <row r="112">
      <c r="C112" s="58"/>
    </row>
    <row r="113">
      <c r="C113" s="58"/>
    </row>
    <row r="114">
      <c r="C114" s="58"/>
    </row>
    <row r="115">
      <c r="C115" s="58"/>
    </row>
    <row r="116">
      <c r="C116" s="58"/>
    </row>
    <row r="117">
      <c r="C117" s="58"/>
    </row>
    <row r="118">
      <c r="C118" s="58"/>
    </row>
    <row r="119">
      <c r="C119" s="58"/>
    </row>
    <row r="120">
      <c r="C120" s="58"/>
    </row>
    <row r="121">
      <c r="C121" s="58"/>
    </row>
    <row r="122">
      <c r="C122" s="58"/>
    </row>
    <row r="123">
      <c r="C123" s="58"/>
    </row>
    <row r="124">
      <c r="C124" s="58"/>
    </row>
    <row r="125">
      <c r="C125" s="58"/>
    </row>
    <row r="126">
      <c r="C126" s="58"/>
    </row>
    <row r="127">
      <c r="C127" s="58"/>
    </row>
    <row r="128">
      <c r="C128" s="58"/>
    </row>
    <row r="129">
      <c r="C129" s="58"/>
    </row>
    <row r="130">
      <c r="C130" s="58"/>
    </row>
    <row r="131">
      <c r="C131" s="58"/>
    </row>
    <row r="132">
      <c r="C132" s="58"/>
    </row>
    <row r="133">
      <c r="C133" s="58"/>
    </row>
    <row r="134">
      <c r="C134" s="58"/>
    </row>
    <row r="135">
      <c r="C135" s="58"/>
    </row>
    <row r="136">
      <c r="C136" s="58"/>
    </row>
    <row r="137">
      <c r="C137" s="58"/>
    </row>
    <row r="138">
      <c r="C138" s="58"/>
    </row>
    <row r="139">
      <c r="C139" s="58"/>
    </row>
    <row r="140">
      <c r="C140" s="58"/>
    </row>
    <row r="141">
      <c r="C141" s="58"/>
    </row>
    <row r="142">
      <c r="C142" s="58"/>
    </row>
    <row r="143">
      <c r="C143" s="58"/>
    </row>
    <row r="144">
      <c r="C144" s="58"/>
    </row>
    <row r="145">
      <c r="C145" s="58"/>
    </row>
    <row r="146">
      <c r="C146" s="58"/>
    </row>
    <row r="147">
      <c r="C147" s="58"/>
    </row>
    <row r="148">
      <c r="C148" s="58"/>
    </row>
    <row r="149">
      <c r="C149" s="58"/>
    </row>
    <row r="150">
      <c r="C150" s="58"/>
    </row>
    <row r="151">
      <c r="C151" s="58"/>
    </row>
    <row r="152">
      <c r="C152" s="58"/>
    </row>
    <row r="153">
      <c r="C153" s="58"/>
    </row>
    <row r="154">
      <c r="C154" s="58"/>
    </row>
    <row r="155">
      <c r="C155" s="58"/>
    </row>
    <row r="156">
      <c r="C156" s="58"/>
    </row>
    <row r="157">
      <c r="C157" s="58"/>
    </row>
    <row r="158">
      <c r="C158" s="58"/>
    </row>
    <row r="159">
      <c r="C159" s="58"/>
    </row>
    <row r="160">
      <c r="C160" s="58"/>
    </row>
    <row r="161">
      <c r="C161" s="58"/>
    </row>
    <row r="162">
      <c r="C162" s="58"/>
    </row>
    <row r="163">
      <c r="C163" s="58"/>
    </row>
    <row r="164">
      <c r="C164" s="58"/>
    </row>
    <row r="165">
      <c r="C165" s="58"/>
    </row>
    <row r="166">
      <c r="C166" s="58"/>
    </row>
    <row r="167">
      <c r="C167" s="58"/>
    </row>
    <row r="168">
      <c r="C168" s="58"/>
    </row>
    <row r="169">
      <c r="C169" s="58"/>
    </row>
    <row r="170">
      <c r="C170" s="58"/>
    </row>
    <row r="171">
      <c r="C171" s="58"/>
    </row>
    <row r="172">
      <c r="C172" s="58"/>
    </row>
    <row r="173">
      <c r="C173" s="58"/>
    </row>
    <row r="174">
      <c r="C174" s="58"/>
    </row>
    <row r="175">
      <c r="C175" s="58"/>
    </row>
    <row r="176">
      <c r="C176" s="58"/>
    </row>
    <row r="177">
      <c r="C177" s="58"/>
    </row>
    <row r="178">
      <c r="C178" s="58"/>
    </row>
    <row r="179">
      <c r="C179" s="58"/>
    </row>
    <row r="180">
      <c r="C180" s="58"/>
    </row>
    <row r="181">
      <c r="C181" s="58"/>
    </row>
    <row r="182">
      <c r="C182" s="58"/>
    </row>
    <row r="183">
      <c r="C183" s="58"/>
    </row>
    <row r="184">
      <c r="C184" s="58"/>
    </row>
    <row r="185">
      <c r="C185" s="58"/>
    </row>
    <row r="186">
      <c r="C186" s="58"/>
    </row>
    <row r="187">
      <c r="C187" s="58"/>
    </row>
    <row r="188">
      <c r="C188" s="58"/>
    </row>
    <row r="189">
      <c r="C189" s="58"/>
    </row>
    <row r="190">
      <c r="C190" s="58"/>
    </row>
    <row r="191">
      <c r="C191" s="58"/>
    </row>
    <row r="192">
      <c r="C192" s="58"/>
    </row>
    <row r="193">
      <c r="C193" s="58"/>
    </row>
    <row r="194">
      <c r="C194" s="58"/>
    </row>
    <row r="195">
      <c r="C195" s="58"/>
    </row>
    <row r="196">
      <c r="C196" s="58"/>
    </row>
    <row r="197">
      <c r="C197" s="58"/>
    </row>
    <row r="198">
      <c r="C198" s="58"/>
    </row>
    <row r="199">
      <c r="C199" s="58"/>
    </row>
    <row r="200">
      <c r="C200" s="58"/>
    </row>
    <row r="201">
      <c r="C201" s="58"/>
    </row>
    <row r="202">
      <c r="C202" s="58"/>
    </row>
    <row r="203">
      <c r="C203" s="58"/>
    </row>
    <row r="204">
      <c r="C204" s="58"/>
    </row>
    <row r="205">
      <c r="C205" s="58"/>
    </row>
    <row r="206">
      <c r="C206" s="58"/>
    </row>
    <row r="207">
      <c r="C207" s="58"/>
    </row>
    <row r="208">
      <c r="C208" s="58"/>
    </row>
    <row r="209">
      <c r="C209" s="58"/>
    </row>
    <row r="210">
      <c r="C210" s="58"/>
    </row>
    <row r="211">
      <c r="C211" s="58"/>
    </row>
    <row r="212">
      <c r="C212" s="58"/>
    </row>
    <row r="213">
      <c r="C213" s="58"/>
    </row>
    <row r="214">
      <c r="C214" s="58"/>
    </row>
    <row r="215">
      <c r="C215" s="58"/>
    </row>
    <row r="216">
      <c r="C216" s="58"/>
    </row>
    <row r="217">
      <c r="C217" s="58"/>
    </row>
    <row r="218">
      <c r="C218" s="58"/>
    </row>
    <row r="219">
      <c r="C219" s="58"/>
    </row>
    <row r="220">
      <c r="C220" s="58"/>
    </row>
    <row r="221">
      <c r="C221" s="58"/>
    </row>
    <row r="222">
      <c r="C222" s="58"/>
    </row>
    <row r="223">
      <c r="C223" s="58"/>
    </row>
    <row r="224">
      <c r="C224" s="58"/>
    </row>
    <row r="225">
      <c r="C225" s="58"/>
    </row>
    <row r="226">
      <c r="C226" s="58"/>
    </row>
    <row r="227">
      <c r="C227" s="58"/>
    </row>
    <row r="228">
      <c r="C228" s="58"/>
    </row>
    <row r="229">
      <c r="C229" s="58"/>
    </row>
    <row r="230">
      <c r="C230" s="58"/>
    </row>
    <row r="231">
      <c r="C231" s="58"/>
    </row>
    <row r="232">
      <c r="C232" s="58"/>
    </row>
    <row r="233">
      <c r="C233" s="58"/>
    </row>
    <row r="234">
      <c r="C234" s="58"/>
    </row>
    <row r="235">
      <c r="C235" s="58"/>
    </row>
    <row r="236">
      <c r="C236" s="58"/>
    </row>
    <row r="237">
      <c r="C237" s="58"/>
    </row>
    <row r="238">
      <c r="C238" s="58"/>
    </row>
    <row r="239">
      <c r="C239" s="58"/>
    </row>
    <row r="240">
      <c r="C240" s="58"/>
    </row>
    <row r="241">
      <c r="C241" s="58"/>
    </row>
    <row r="242">
      <c r="C242" s="58"/>
    </row>
    <row r="243">
      <c r="C243" s="58"/>
    </row>
    <row r="244">
      <c r="C244" s="58"/>
    </row>
    <row r="245">
      <c r="C245" s="58"/>
    </row>
    <row r="246">
      <c r="C246" s="58"/>
    </row>
    <row r="247">
      <c r="C247" s="58"/>
    </row>
    <row r="248">
      <c r="C248" s="58"/>
    </row>
    <row r="249">
      <c r="C249" s="58"/>
    </row>
    <row r="250">
      <c r="C250" s="58"/>
    </row>
    <row r="251">
      <c r="C251" s="58"/>
    </row>
    <row r="252">
      <c r="C252" s="58"/>
    </row>
    <row r="253">
      <c r="C253" s="58"/>
    </row>
    <row r="254">
      <c r="C254" s="58"/>
    </row>
    <row r="255">
      <c r="C255" s="58"/>
    </row>
    <row r="256">
      <c r="C256" s="58"/>
    </row>
    <row r="257">
      <c r="C257" s="58"/>
    </row>
    <row r="258">
      <c r="C258" s="58"/>
    </row>
    <row r="259">
      <c r="C259" s="58"/>
    </row>
    <row r="260">
      <c r="C260" s="58"/>
    </row>
    <row r="261">
      <c r="C261" s="58"/>
    </row>
    <row r="262">
      <c r="C262" s="58"/>
    </row>
    <row r="263">
      <c r="C263" s="58"/>
    </row>
    <row r="264">
      <c r="C264" s="58"/>
    </row>
    <row r="265">
      <c r="C265" s="58"/>
    </row>
    <row r="266">
      <c r="C266" s="58"/>
    </row>
    <row r="267">
      <c r="C267" s="58"/>
    </row>
    <row r="268">
      <c r="C268" s="58"/>
    </row>
    <row r="269">
      <c r="C269" s="58"/>
    </row>
    <row r="270">
      <c r="C270" s="58"/>
    </row>
    <row r="271">
      <c r="C271" s="58"/>
    </row>
    <row r="272">
      <c r="C272" s="58"/>
    </row>
    <row r="273">
      <c r="C273" s="58"/>
    </row>
    <row r="274">
      <c r="C274" s="58"/>
    </row>
    <row r="275">
      <c r="C275" s="58"/>
    </row>
    <row r="276">
      <c r="C276" s="58"/>
    </row>
    <row r="277">
      <c r="C277" s="58"/>
    </row>
    <row r="278">
      <c r="C278" s="58"/>
    </row>
    <row r="279">
      <c r="C279" s="58"/>
    </row>
    <row r="280">
      <c r="C280" s="58"/>
    </row>
    <row r="281">
      <c r="C281" s="58"/>
    </row>
    <row r="282">
      <c r="C282" s="58"/>
    </row>
    <row r="283">
      <c r="C283" s="58"/>
    </row>
    <row r="284">
      <c r="C284" s="58"/>
    </row>
    <row r="285">
      <c r="C285" s="58"/>
    </row>
    <row r="286">
      <c r="C286" s="58"/>
    </row>
    <row r="287">
      <c r="C287" s="58"/>
    </row>
    <row r="288">
      <c r="C288" s="58"/>
    </row>
    <row r="289">
      <c r="C289" s="58"/>
    </row>
    <row r="290">
      <c r="C290" s="58"/>
    </row>
    <row r="291">
      <c r="C291" s="58"/>
    </row>
    <row r="292">
      <c r="C292" s="58"/>
    </row>
    <row r="293">
      <c r="C293" s="58"/>
    </row>
    <row r="294">
      <c r="C294" s="58"/>
    </row>
    <row r="295">
      <c r="C295" s="58"/>
    </row>
    <row r="296">
      <c r="C296" s="58"/>
    </row>
    <row r="297">
      <c r="C297" s="58"/>
    </row>
    <row r="298">
      <c r="C298" s="58"/>
    </row>
    <row r="299">
      <c r="C299" s="58"/>
    </row>
    <row r="300">
      <c r="C300" s="58"/>
    </row>
    <row r="301">
      <c r="C301" s="58"/>
    </row>
    <row r="302">
      <c r="C302" s="58"/>
    </row>
    <row r="303">
      <c r="C303" s="58"/>
    </row>
    <row r="304">
      <c r="C304" s="58"/>
    </row>
    <row r="305">
      <c r="C305" s="58"/>
    </row>
    <row r="306">
      <c r="C306" s="58"/>
    </row>
    <row r="307">
      <c r="C307" s="58"/>
    </row>
    <row r="308">
      <c r="C308" s="58"/>
    </row>
    <row r="309">
      <c r="C309" s="58"/>
    </row>
    <row r="310">
      <c r="C310" s="58"/>
    </row>
    <row r="311">
      <c r="C311" s="58"/>
    </row>
    <row r="312">
      <c r="C312" s="58"/>
    </row>
    <row r="313">
      <c r="C313" s="58"/>
    </row>
    <row r="314">
      <c r="C314" s="58"/>
    </row>
    <row r="315">
      <c r="C315" s="58"/>
    </row>
    <row r="316">
      <c r="C316" s="58"/>
    </row>
    <row r="317">
      <c r="C317" s="58"/>
    </row>
    <row r="318">
      <c r="C318" s="58"/>
    </row>
    <row r="319">
      <c r="C319" s="58"/>
    </row>
    <row r="320">
      <c r="C320" s="58"/>
    </row>
    <row r="321">
      <c r="C321" s="58"/>
    </row>
    <row r="322">
      <c r="C322" s="58"/>
    </row>
    <row r="323">
      <c r="C323" s="58"/>
    </row>
    <row r="324">
      <c r="C324" s="58"/>
    </row>
    <row r="325">
      <c r="C325" s="58"/>
    </row>
    <row r="326">
      <c r="C326" s="58"/>
    </row>
    <row r="327">
      <c r="C327" s="58"/>
    </row>
    <row r="328">
      <c r="C328" s="58"/>
    </row>
    <row r="329">
      <c r="C329" s="58"/>
    </row>
    <row r="330">
      <c r="C330" s="58"/>
    </row>
    <row r="331">
      <c r="C331" s="58"/>
    </row>
    <row r="332">
      <c r="C332" s="58"/>
    </row>
    <row r="333">
      <c r="C333" s="58"/>
    </row>
    <row r="334">
      <c r="C334" s="58"/>
    </row>
    <row r="335">
      <c r="C335" s="58"/>
    </row>
    <row r="336">
      <c r="C336" s="58"/>
    </row>
    <row r="337">
      <c r="C337" s="58"/>
    </row>
    <row r="338">
      <c r="C338" s="58"/>
    </row>
    <row r="339">
      <c r="C339" s="58"/>
    </row>
    <row r="340">
      <c r="C340" s="58"/>
    </row>
    <row r="341">
      <c r="C341" s="58"/>
    </row>
    <row r="342">
      <c r="C342" s="58"/>
    </row>
    <row r="343">
      <c r="C343" s="58"/>
    </row>
    <row r="344">
      <c r="C344" s="58"/>
    </row>
    <row r="345">
      <c r="C345" s="58"/>
    </row>
    <row r="346">
      <c r="C346" s="58"/>
    </row>
    <row r="347">
      <c r="C347" s="58"/>
    </row>
    <row r="348">
      <c r="C348" s="58"/>
    </row>
    <row r="349">
      <c r="C349" s="58"/>
    </row>
    <row r="350">
      <c r="C350" s="58"/>
    </row>
    <row r="351">
      <c r="C351" s="58"/>
    </row>
    <row r="352">
      <c r="C352" s="58"/>
    </row>
    <row r="353">
      <c r="C353" s="58"/>
    </row>
    <row r="354">
      <c r="C354" s="58"/>
    </row>
    <row r="355">
      <c r="C355" s="58"/>
    </row>
    <row r="356">
      <c r="C356" s="58"/>
    </row>
    <row r="357">
      <c r="C357" s="58"/>
    </row>
    <row r="358">
      <c r="C358" s="58"/>
    </row>
    <row r="359">
      <c r="C359" s="58"/>
    </row>
    <row r="360">
      <c r="C360" s="58"/>
    </row>
    <row r="361">
      <c r="C361" s="58"/>
    </row>
    <row r="362">
      <c r="C362" s="58"/>
    </row>
    <row r="363">
      <c r="C363" s="58"/>
    </row>
    <row r="364">
      <c r="C364" s="58"/>
    </row>
    <row r="365">
      <c r="C365" s="58"/>
    </row>
    <row r="366">
      <c r="C366" s="58"/>
    </row>
    <row r="367">
      <c r="C367" s="58"/>
    </row>
    <row r="368">
      <c r="C368" s="58"/>
    </row>
    <row r="369">
      <c r="C369" s="58"/>
    </row>
    <row r="370">
      <c r="C370" s="58"/>
    </row>
    <row r="371">
      <c r="C371" s="58"/>
    </row>
    <row r="372">
      <c r="C372" s="58"/>
    </row>
    <row r="373">
      <c r="C373" s="58"/>
    </row>
    <row r="374">
      <c r="C374" s="58"/>
    </row>
    <row r="375">
      <c r="C375" s="58"/>
    </row>
    <row r="376">
      <c r="C376" s="58"/>
    </row>
    <row r="377">
      <c r="C377" s="58"/>
    </row>
    <row r="378">
      <c r="C378" s="58"/>
    </row>
    <row r="379">
      <c r="C379" s="58"/>
    </row>
    <row r="380">
      <c r="C380" s="58"/>
    </row>
    <row r="381">
      <c r="C381" s="58"/>
    </row>
    <row r="382">
      <c r="C382" s="58"/>
    </row>
    <row r="383">
      <c r="C383" s="58"/>
    </row>
    <row r="384">
      <c r="C384" s="58"/>
    </row>
    <row r="385">
      <c r="C385" s="58"/>
    </row>
    <row r="386">
      <c r="C386" s="58"/>
    </row>
    <row r="387">
      <c r="C387" s="58"/>
    </row>
    <row r="388">
      <c r="C388" s="58"/>
    </row>
    <row r="389">
      <c r="C389" s="58"/>
    </row>
    <row r="390">
      <c r="C390" s="58"/>
    </row>
    <row r="391">
      <c r="C391" s="58"/>
    </row>
    <row r="392">
      <c r="C392" s="58"/>
    </row>
    <row r="393">
      <c r="C393" s="58"/>
    </row>
    <row r="394">
      <c r="C394" s="58"/>
    </row>
    <row r="395">
      <c r="C395" s="58"/>
    </row>
    <row r="396">
      <c r="C396" s="58"/>
    </row>
    <row r="397">
      <c r="C397" s="58"/>
    </row>
    <row r="398">
      <c r="C398" s="58"/>
    </row>
    <row r="399">
      <c r="C399" s="58"/>
    </row>
    <row r="400">
      <c r="C400" s="58"/>
    </row>
    <row r="401">
      <c r="C401" s="58"/>
    </row>
    <row r="402">
      <c r="C402" s="58"/>
    </row>
    <row r="403">
      <c r="C403" s="58"/>
    </row>
    <row r="404">
      <c r="C404" s="58"/>
    </row>
    <row r="405">
      <c r="C405" s="58"/>
    </row>
    <row r="406">
      <c r="C406" s="58"/>
    </row>
    <row r="407">
      <c r="C407" s="58"/>
    </row>
    <row r="408">
      <c r="C408" s="58"/>
    </row>
    <row r="409">
      <c r="C409" s="58"/>
    </row>
    <row r="410">
      <c r="C410" s="58"/>
    </row>
    <row r="411">
      <c r="C411" s="58"/>
    </row>
    <row r="412">
      <c r="C412" s="58"/>
    </row>
    <row r="413">
      <c r="C413" s="58"/>
    </row>
    <row r="414">
      <c r="C414" s="58"/>
    </row>
    <row r="415">
      <c r="C415" s="58"/>
    </row>
    <row r="416">
      <c r="C416" s="58"/>
    </row>
    <row r="417">
      <c r="C417" s="58"/>
    </row>
    <row r="418">
      <c r="C418" s="58"/>
    </row>
    <row r="419">
      <c r="C419" s="58"/>
    </row>
    <row r="420">
      <c r="C420" s="58"/>
    </row>
    <row r="421">
      <c r="C421" s="58"/>
    </row>
    <row r="422">
      <c r="C422" s="58"/>
    </row>
    <row r="423">
      <c r="C423" s="58"/>
    </row>
    <row r="424">
      <c r="C424" s="58"/>
    </row>
    <row r="425">
      <c r="C425" s="58"/>
    </row>
    <row r="426">
      <c r="C426" s="58"/>
    </row>
    <row r="427">
      <c r="C427" s="58"/>
    </row>
    <row r="428">
      <c r="C428" s="58"/>
    </row>
    <row r="429">
      <c r="C429" s="58"/>
    </row>
    <row r="430">
      <c r="C430" s="58"/>
    </row>
    <row r="431">
      <c r="C431" s="58"/>
    </row>
    <row r="432">
      <c r="C432" s="58"/>
    </row>
    <row r="433">
      <c r="C433" s="58"/>
    </row>
    <row r="434">
      <c r="C434" s="58"/>
    </row>
    <row r="435">
      <c r="C435" s="58"/>
    </row>
    <row r="436">
      <c r="C436" s="58"/>
    </row>
    <row r="437">
      <c r="C437" s="58"/>
    </row>
    <row r="438">
      <c r="C438" s="58"/>
    </row>
    <row r="439">
      <c r="C439" s="58"/>
    </row>
    <row r="440">
      <c r="C440" s="58"/>
    </row>
    <row r="441">
      <c r="C441" s="58"/>
    </row>
    <row r="442">
      <c r="C442" s="58"/>
    </row>
    <row r="443">
      <c r="C443" s="58"/>
    </row>
    <row r="444">
      <c r="C444" s="58"/>
    </row>
    <row r="445">
      <c r="C445" s="58"/>
    </row>
    <row r="446">
      <c r="C446" s="58"/>
    </row>
    <row r="447">
      <c r="C447" s="58"/>
    </row>
    <row r="448">
      <c r="C448" s="58"/>
    </row>
    <row r="449">
      <c r="C449" s="58"/>
    </row>
    <row r="450">
      <c r="C450" s="58"/>
    </row>
    <row r="451">
      <c r="C451" s="58"/>
    </row>
    <row r="452">
      <c r="C452" s="58"/>
    </row>
    <row r="453">
      <c r="C453" s="58"/>
    </row>
    <row r="454">
      <c r="C454" s="58"/>
    </row>
    <row r="455">
      <c r="C455" s="58"/>
    </row>
    <row r="456">
      <c r="C456" s="58"/>
    </row>
    <row r="457">
      <c r="C457" s="58"/>
    </row>
    <row r="458">
      <c r="C458" s="58"/>
    </row>
    <row r="459">
      <c r="C459" s="58"/>
    </row>
    <row r="460">
      <c r="C460" s="58"/>
    </row>
    <row r="461">
      <c r="C461" s="58"/>
    </row>
    <row r="462">
      <c r="C462" s="58"/>
    </row>
    <row r="463">
      <c r="C463" s="58"/>
    </row>
    <row r="464">
      <c r="C464" s="58"/>
    </row>
    <row r="465">
      <c r="C465" s="58"/>
    </row>
    <row r="466">
      <c r="C466" s="58"/>
    </row>
    <row r="467">
      <c r="C467" s="58"/>
    </row>
    <row r="468">
      <c r="C468" s="58"/>
    </row>
    <row r="469">
      <c r="C469" s="58"/>
    </row>
    <row r="470">
      <c r="C470" s="58"/>
    </row>
    <row r="471">
      <c r="C471" s="58"/>
    </row>
    <row r="472">
      <c r="C472" s="58"/>
    </row>
    <row r="473">
      <c r="C473" s="58"/>
    </row>
    <row r="474">
      <c r="C474" s="58"/>
    </row>
    <row r="475">
      <c r="C475" s="58"/>
    </row>
    <row r="476">
      <c r="C476" s="58"/>
    </row>
    <row r="477">
      <c r="C477" s="58"/>
    </row>
    <row r="478">
      <c r="C478" s="58"/>
    </row>
    <row r="479">
      <c r="C479" s="58"/>
    </row>
    <row r="480">
      <c r="C480" s="58"/>
    </row>
    <row r="481">
      <c r="C481" s="58"/>
    </row>
    <row r="482">
      <c r="C482" s="58"/>
    </row>
    <row r="483">
      <c r="C483" s="58"/>
    </row>
    <row r="484">
      <c r="C484" s="58"/>
    </row>
    <row r="485">
      <c r="C485" s="58"/>
    </row>
    <row r="486">
      <c r="C486" s="58"/>
    </row>
    <row r="487">
      <c r="C487" s="58"/>
    </row>
    <row r="488">
      <c r="C488" s="58"/>
    </row>
    <row r="489">
      <c r="C489" s="58"/>
    </row>
    <row r="490">
      <c r="C490" s="58"/>
    </row>
    <row r="491">
      <c r="C491" s="58"/>
    </row>
    <row r="492">
      <c r="C492" s="58"/>
    </row>
    <row r="493">
      <c r="C493" s="58"/>
    </row>
    <row r="494">
      <c r="C494" s="58"/>
    </row>
    <row r="495">
      <c r="C495" s="58"/>
    </row>
    <row r="496">
      <c r="C496" s="58"/>
    </row>
    <row r="497">
      <c r="C497" s="58"/>
    </row>
    <row r="498">
      <c r="C498" s="58"/>
    </row>
    <row r="499">
      <c r="C499" s="58"/>
    </row>
    <row r="500">
      <c r="C500" s="58"/>
    </row>
    <row r="501">
      <c r="C501" s="58"/>
    </row>
    <row r="502">
      <c r="C502" s="58"/>
    </row>
    <row r="503">
      <c r="C503" s="58"/>
    </row>
    <row r="504">
      <c r="C504" s="58"/>
    </row>
    <row r="505">
      <c r="C505" s="58"/>
    </row>
    <row r="506">
      <c r="C506" s="58"/>
    </row>
    <row r="507">
      <c r="C507" s="58"/>
    </row>
    <row r="508">
      <c r="C508" s="58"/>
    </row>
    <row r="509">
      <c r="C509" s="58"/>
    </row>
    <row r="510">
      <c r="C510" s="58"/>
    </row>
    <row r="511">
      <c r="C511" s="58"/>
    </row>
    <row r="512">
      <c r="C512" s="58"/>
    </row>
    <row r="513">
      <c r="C513" s="58"/>
    </row>
    <row r="514">
      <c r="C514" s="58"/>
    </row>
    <row r="515">
      <c r="C515" s="58"/>
    </row>
    <row r="516">
      <c r="C516" s="58"/>
    </row>
    <row r="517">
      <c r="C517" s="58"/>
    </row>
    <row r="518">
      <c r="C518" s="58"/>
    </row>
    <row r="519">
      <c r="C519" s="58"/>
    </row>
    <row r="520">
      <c r="C520" s="58"/>
    </row>
    <row r="521">
      <c r="C521" s="58"/>
    </row>
    <row r="522">
      <c r="C522" s="58"/>
    </row>
    <row r="523">
      <c r="C523" s="58"/>
    </row>
    <row r="524">
      <c r="C524" s="58"/>
    </row>
    <row r="525">
      <c r="C525" s="58"/>
    </row>
    <row r="526">
      <c r="C526" s="58"/>
    </row>
    <row r="527">
      <c r="C527" s="58"/>
    </row>
    <row r="528">
      <c r="C528" s="58"/>
    </row>
    <row r="529">
      <c r="C529" s="58"/>
    </row>
    <row r="530">
      <c r="C530" s="58"/>
    </row>
    <row r="531">
      <c r="C531" s="58"/>
    </row>
    <row r="532">
      <c r="C532" s="58"/>
    </row>
    <row r="533">
      <c r="C533" s="58"/>
    </row>
    <row r="534">
      <c r="C534" s="58"/>
    </row>
    <row r="535">
      <c r="C535" s="58"/>
    </row>
    <row r="536">
      <c r="C536" s="58"/>
    </row>
    <row r="537">
      <c r="C537" s="58"/>
    </row>
    <row r="538">
      <c r="C538" s="58"/>
    </row>
    <row r="539">
      <c r="C539" s="58"/>
    </row>
    <row r="540">
      <c r="C540" s="58"/>
    </row>
    <row r="541">
      <c r="C541" s="58"/>
    </row>
    <row r="542">
      <c r="C542" s="58"/>
    </row>
    <row r="543">
      <c r="C543" s="58"/>
    </row>
    <row r="544">
      <c r="C544" s="58"/>
    </row>
    <row r="545">
      <c r="C545" s="58"/>
    </row>
    <row r="546">
      <c r="C546" s="58"/>
    </row>
    <row r="547">
      <c r="C547" s="58"/>
    </row>
    <row r="548">
      <c r="C548" s="58"/>
    </row>
    <row r="549">
      <c r="C549" s="58"/>
    </row>
    <row r="550">
      <c r="C550" s="58"/>
    </row>
    <row r="551">
      <c r="C551" s="58"/>
    </row>
    <row r="552">
      <c r="C552" s="58"/>
    </row>
    <row r="553">
      <c r="C553" s="58"/>
    </row>
    <row r="554">
      <c r="C554" s="58"/>
    </row>
    <row r="555">
      <c r="C555" s="58"/>
    </row>
    <row r="556">
      <c r="C556" s="58"/>
    </row>
    <row r="557">
      <c r="C557" s="58"/>
    </row>
    <row r="558">
      <c r="C558" s="58"/>
    </row>
    <row r="559">
      <c r="C559" s="58"/>
    </row>
    <row r="560">
      <c r="C560" s="58"/>
    </row>
    <row r="561">
      <c r="C561" s="58"/>
    </row>
    <row r="562">
      <c r="C562" s="58"/>
    </row>
    <row r="563">
      <c r="C563" s="58"/>
    </row>
    <row r="564">
      <c r="C564" s="58"/>
    </row>
    <row r="565">
      <c r="C565" s="58"/>
    </row>
    <row r="566">
      <c r="C566" s="58"/>
    </row>
    <row r="567">
      <c r="C567" s="58"/>
    </row>
    <row r="568">
      <c r="C568" s="58"/>
    </row>
    <row r="569">
      <c r="C569" s="58"/>
    </row>
    <row r="570">
      <c r="C570" s="58"/>
    </row>
    <row r="571">
      <c r="C571" s="58"/>
    </row>
    <row r="572">
      <c r="C572" s="58"/>
    </row>
    <row r="573">
      <c r="C573" s="58"/>
    </row>
    <row r="574">
      <c r="C574" s="58"/>
    </row>
    <row r="575">
      <c r="C575" s="58"/>
    </row>
    <row r="576">
      <c r="C576" s="58"/>
    </row>
    <row r="577">
      <c r="C577" s="58"/>
    </row>
    <row r="578">
      <c r="C578" s="58"/>
    </row>
    <row r="579">
      <c r="C579" s="58"/>
    </row>
    <row r="580">
      <c r="C580" s="58"/>
    </row>
    <row r="581">
      <c r="C581" s="58"/>
    </row>
    <row r="582">
      <c r="C582" s="58"/>
    </row>
    <row r="583">
      <c r="C583" s="58"/>
    </row>
    <row r="584">
      <c r="C584" s="58"/>
    </row>
    <row r="585">
      <c r="C585" s="58"/>
    </row>
    <row r="586">
      <c r="C586" s="58"/>
    </row>
    <row r="587">
      <c r="C587" s="58"/>
    </row>
    <row r="588">
      <c r="C588" s="58"/>
    </row>
    <row r="589">
      <c r="C589" s="58"/>
    </row>
    <row r="590">
      <c r="C590" s="58"/>
    </row>
    <row r="591">
      <c r="C591" s="58"/>
    </row>
    <row r="592">
      <c r="C592" s="58"/>
    </row>
    <row r="593">
      <c r="C593" s="58"/>
    </row>
    <row r="594">
      <c r="C594" s="58"/>
    </row>
    <row r="595">
      <c r="C595" s="58"/>
    </row>
    <row r="596">
      <c r="C596" s="58"/>
    </row>
    <row r="597">
      <c r="C597" s="58"/>
    </row>
    <row r="598">
      <c r="C598" s="58"/>
    </row>
    <row r="599">
      <c r="C599" s="58"/>
    </row>
    <row r="600">
      <c r="C600" s="58"/>
    </row>
    <row r="601">
      <c r="C601" s="58"/>
    </row>
    <row r="602">
      <c r="C602" s="58"/>
    </row>
    <row r="603">
      <c r="C603" s="58"/>
    </row>
    <row r="604">
      <c r="C604" s="58"/>
    </row>
    <row r="605">
      <c r="C605" s="58"/>
    </row>
    <row r="606">
      <c r="C606" s="58"/>
    </row>
    <row r="607">
      <c r="C607" s="58"/>
    </row>
    <row r="608">
      <c r="C608" s="58"/>
    </row>
    <row r="609">
      <c r="C609" s="58"/>
    </row>
    <row r="610">
      <c r="C610" s="58"/>
    </row>
    <row r="611">
      <c r="C611" s="58"/>
    </row>
    <row r="612">
      <c r="C612" s="58"/>
    </row>
    <row r="613">
      <c r="C613" s="58"/>
    </row>
    <row r="614">
      <c r="C614" s="58"/>
    </row>
    <row r="615">
      <c r="C615" s="58"/>
    </row>
    <row r="616">
      <c r="C616" s="58"/>
    </row>
    <row r="617">
      <c r="C617" s="58"/>
    </row>
    <row r="618">
      <c r="C618" s="58"/>
    </row>
    <row r="619">
      <c r="C619" s="58"/>
    </row>
    <row r="620">
      <c r="C620" s="58"/>
    </row>
    <row r="621">
      <c r="C621" s="58"/>
    </row>
    <row r="622">
      <c r="C622" s="58"/>
    </row>
    <row r="623">
      <c r="C623" s="58"/>
    </row>
    <row r="624">
      <c r="C624" s="58"/>
    </row>
    <row r="625">
      <c r="C625" s="58"/>
    </row>
    <row r="626">
      <c r="C626" s="58"/>
    </row>
    <row r="627">
      <c r="C627" s="58"/>
    </row>
    <row r="628">
      <c r="C628" s="58"/>
    </row>
    <row r="629">
      <c r="C629" s="58"/>
    </row>
    <row r="630">
      <c r="C630" s="58"/>
    </row>
    <row r="631">
      <c r="C631" s="58"/>
    </row>
    <row r="632">
      <c r="C632" s="58"/>
    </row>
    <row r="633">
      <c r="C633" s="58"/>
    </row>
    <row r="634">
      <c r="C634" s="58"/>
    </row>
    <row r="635">
      <c r="C635" s="58"/>
    </row>
    <row r="636">
      <c r="C636" s="58"/>
    </row>
    <row r="637">
      <c r="C637" s="58"/>
    </row>
    <row r="638">
      <c r="C638" s="58"/>
    </row>
    <row r="639">
      <c r="C639" s="58"/>
    </row>
    <row r="640">
      <c r="C640" s="58"/>
    </row>
    <row r="641">
      <c r="C641" s="58"/>
    </row>
    <row r="642">
      <c r="C642" s="58"/>
    </row>
    <row r="643">
      <c r="C643" s="58"/>
    </row>
    <row r="644">
      <c r="C644" s="58"/>
    </row>
    <row r="645">
      <c r="C645" s="58"/>
    </row>
    <row r="646">
      <c r="C646" s="58"/>
    </row>
    <row r="647">
      <c r="C647" s="58"/>
    </row>
    <row r="648">
      <c r="C648" s="58"/>
    </row>
    <row r="649">
      <c r="C649" s="58"/>
    </row>
    <row r="650">
      <c r="C650" s="58"/>
    </row>
    <row r="651">
      <c r="C651" s="58"/>
    </row>
    <row r="652">
      <c r="C652" s="58"/>
    </row>
    <row r="653">
      <c r="C653" s="58"/>
    </row>
    <row r="654">
      <c r="C654" s="58"/>
    </row>
    <row r="655">
      <c r="C655" s="58"/>
    </row>
    <row r="656">
      <c r="C656" s="58"/>
    </row>
    <row r="657">
      <c r="C657" s="58"/>
    </row>
    <row r="658">
      <c r="C658" s="58"/>
    </row>
    <row r="659">
      <c r="C659" s="58"/>
    </row>
    <row r="660">
      <c r="C660" s="58"/>
    </row>
    <row r="661">
      <c r="C661" s="58"/>
    </row>
    <row r="662">
      <c r="C662" s="58"/>
    </row>
    <row r="663">
      <c r="C663" s="58"/>
    </row>
    <row r="664">
      <c r="C664" s="58"/>
    </row>
    <row r="665">
      <c r="C665" s="58"/>
    </row>
    <row r="666">
      <c r="C666" s="58"/>
    </row>
    <row r="667">
      <c r="C667" s="58"/>
    </row>
    <row r="668">
      <c r="C668" s="58"/>
    </row>
    <row r="669">
      <c r="C669" s="58"/>
    </row>
    <row r="670">
      <c r="C670" s="58"/>
    </row>
    <row r="671">
      <c r="C671" s="58"/>
    </row>
    <row r="672">
      <c r="C672" s="58"/>
    </row>
    <row r="673">
      <c r="C673" s="58"/>
    </row>
    <row r="674">
      <c r="C674" s="58"/>
    </row>
    <row r="675">
      <c r="C675" s="58"/>
    </row>
    <row r="676">
      <c r="C676" s="58"/>
    </row>
    <row r="677">
      <c r="C677" s="58"/>
    </row>
    <row r="678">
      <c r="C678" s="58"/>
    </row>
    <row r="679">
      <c r="C679" s="58"/>
    </row>
    <row r="680">
      <c r="C680" s="58"/>
    </row>
    <row r="681">
      <c r="C681" s="58"/>
    </row>
    <row r="682">
      <c r="C682" s="58"/>
    </row>
    <row r="683">
      <c r="C683" s="58"/>
    </row>
    <row r="684">
      <c r="C684" s="58"/>
    </row>
    <row r="685">
      <c r="C685" s="58"/>
    </row>
    <row r="686">
      <c r="C686" s="58"/>
    </row>
    <row r="687">
      <c r="C687" s="58"/>
    </row>
    <row r="688">
      <c r="C688" s="58"/>
    </row>
    <row r="689">
      <c r="C689" s="58"/>
    </row>
    <row r="690">
      <c r="C690" s="58"/>
    </row>
    <row r="691">
      <c r="C691" s="58"/>
    </row>
    <row r="692">
      <c r="C692" s="58"/>
    </row>
    <row r="693">
      <c r="C693" s="58"/>
    </row>
    <row r="694">
      <c r="C694" s="58"/>
    </row>
    <row r="695">
      <c r="C695" s="58"/>
    </row>
    <row r="696">
      <c r="C696" s="58"/>
    </row>
    <row r="697">
      <c r="C697" s="58"/>
    </row>
    <row r="698">
      <c r="C698" s="58"/>
    </row>
    <row r="699">
      <c r="C699" s="58"/>
    </row>
    <row r="700">
      <c r="C700" s="58"/>
    </row>
    <row r="701">
      <c r="C701" s="58"/>
    </row>
    <row r="702">
      <c r="C702" s="58"/>
    </row>
    <row r="703">
      <c r="C703" s="58"/>
    </row>
    <row r="704">
      <c r="C704" s="58"/>
    </row>
    <row r="705">
      <c r="C705" s="58"/>
    </row>
    <row r="706">
      <c r="C706" s="58"/>
    </row>
    <row r="707">
      <c r="C707" s="58"/>
    </row>
    <row r="708">
      <c r="C708" s="58"/>
    </row>
    <row r="709">
      <c r="C709" s="58"/>
    </row>
    <row r="710">
      <c r="C710" s="58"/>
    </row>
    <row r="711">
      <c r="C711" s="58"/>
    </row>
    <row r="712">
      <c r="C712" s="58"/>
    </row>
    <row r="713">
      <c r="C713" s="58"/>
    </row>
    <row r="714">
      <c r="C714" s="58"/>
    </row>
    <row r="715">
      <c r="C715" s="58"/>
    </row>
    <row r="716">
      <c r="C716" s="58"/>
    </row>
    <row r="717">
      <c r="C717" s="58"/>
    </row>
    <row r="718">
      <c r="C718" s="58"/>
    </row>
    <row r="719">
      <c r="C719" s="58"/>
    </row>
    <row r="720">
      <c r="C720" s="58"/>
    </row>
    <row r="721">
      <c r="C721" s="58"/>
    </row>
    <row r="722">
      <c r="C722" s="58"/>
    </row>
    <row r="723">
      <c r="C723" s="58"/>
    </row>
    <row r="724">
      <c r="C724" s="58"/>
    </row>
    <row r="725">
      <c r="C725" s="58"/>
    </row>
    <row r="726">
      <c r="C726" s="58"/>
    </row>
    <row r="727">
      <c r="C727" s="58"/>
    </row>
    <row r="728">
      <c r="C728" s="58"/>
    </row>
    <row r="729">
      <c r="C729" s="58"/>
    </row>
    <row r="730">
      <c r="C730" s="58"/>
    </row>
    <row r="731">
      <c r="C731" s="58"/>
    </row>
    <row r="732">
      <c r="C732" s="58"/>
    </row>
    <row r="733">
      <c r="C733" s="58"/>
    </row>
    <row r="734">
      <c r="C734" s="58"/>
    </row>
    <row r="735">
      <c r="C735" s="58"/>
    </row>
    <row r="736">
      <c r="C736" s="58"/>
    </row>
    <row r="737">
      <c r="C737" s="58"/>
    </row>
    <row r="738">
      <c r="C738" s="58"/>
    </row>
    <row r="739">
      <c r="C739" s="58"/>
    </row>
    <row r="740">
      <c r="C740" s="58"/>
    </row>
    <row r="741">
      <c r="C741" s="58"/>
    </row>
    <row r="742">
      <c r="C742" s="58"/>
    </row>
    <row r="743">
      <c r="C743" s="58"/>
    </row>
    <row r="744">
      <c r="C744" s="58"/>
    </row>
    <row r="745">
      <c r="C745" s="58"/>
    </row>
    <row r="746">
      <c r="C746" s="58"/>
    </row>
    <row r="747">
      <c r="C747" s="58"/>
    </row>
    <row r="748">
      <c r="C748" s="58"/>
    </row>
    <row r="749">
      <c r="C749" s="58"/>
    </row>
    <row r="750">
      <c r="C750" s="58"/>
    </row>
    <row r="751">
      <c r="C751" s="58"/>
    </row>
    <row r="752">
      <c r="C752" s="58"/>
    </row>
    <row r="753">
      <c r="C753" s="58"/>
    </row>
    <row r="754">
      <c r="C754" s="58"/>
    </row>
    <row r="755">
      <c r="C755" s="58"/>
    </row>
    <row r="756">
      <c r="C756" s="58"/>
    </row>
    <row r="757">
      <c r="C757" s="58"/>
    </row>
    <row r="758">
      <c r="C758" s="58"/>
    </row>
    <row r="759">
      <c r="C759" s="58"/>
    </row>
    <row r="760">
      <c r="C760" s="58"/>
    </row>
    <row r="761">
      <c r="C761" s="58"/>
    </row>
    <row r="762">
      <c r="C762" s="58"/>
    </row>
    <row r="763">
      <c r="C763" s="58"/>
    </row>
    <row r="764">
      <c r="C764" s="58"/>
    </row>
    <row r="765">
      <c r="C765" s="58"/>
    </row>
    <row r="766">
      <c r="C766" s="58"/>
    </row>
    <row r="767">
      <c r="C767" s="58"/>
    </row>
    <row r="768">
      <c r="C768" s="58"/>
    </row>
    <row r="769">
      <c r="C769" s="58"/>
    </row>
    <row r="770">
      <c r="C770" s="58"/>
    </row>
    <row r="771">
      <c r="C771" s="58"/>
    </row>
    <row r="772">
      <c r="C772" s="58"/>
    </row>
    <row r="773">
      <c r="C773" s="58"/>
    </row>
    <row r="774">
      <c r="C774" s="58"/>
    </row>
    <row r="775">
      <c r="C775" s="58"/>
    </row>
    <row r="776">
      <c r="C776" s="58"/>
    </row>
    <row r="777">
      <c r="C777" s="58"/>
    </row>
    <row r="778">
      <c r="C778" s="58"/>
    </row>
    <row r="779">
      <c r="C779" s="58"/>
    </row>
    <row r="780">
      <c r="C780" s="58"/>
    </row>
    <row r="781">
      <c r="C781" s="58"/>
    </row>
    <row r="782">
      <c r="C782" s="58"/>
    </row>
    <row r="783">
      <c r="C783" s="58"/>
    </row>
    <row r="784">
      <c r="C784" s="58"/>
    </row>
    <row r="785">
      <c r="C785" s="58"/>
    </row>
    <row r="786">
      <c r="C786" s="58"/>
    </row>
    <row r="787">
      <c r="C787" s="58"/>
    </row>
    <row r="788">
      <c r="C788" s="58"/>
    </row>
    <row r="789">
      <c r="C789" s="58"/>
    </row>
    <row r="790">
      <c r="C790" s="58"/>
    </row>
    <row r="791">
      <c r="C791" s="58"/>
    </row>
    <row r="792">
      <c r="C792" s="58"/>
    </row>
    <row r="793">
      <c r="C793" s="58"/>
    </row>
    <row r="794">
      <c r="C794" s="58"/>
    </row>
    <row r="795">
      <c r="C795" s="58"/>
    </row>
    <row r="796">
      <c r="C796" s="58"/>
    </row>
    <row r="797">
      <c r="C797" s="58"/>
    </row>
    <row r="798">
      <c r="C798" s="58"/>
    </row>
    <row r="799">
      <c r="C799" s="58"/>
    </row>
    <row r="800">
      <c r="C800" s="58"/>
    </row>
    <row r="801">
      <c r="C801" s="58"/>
    </row>
    <row r="802">
      <c r="C802" s="58"/>
    </row>
    <row r="803">
      <c r="C803" s="58"/>
    </row>
    <row r="804">
      <c r="C804" s="58"/>
    </row>
    <row r="805">
      <c r="C805" s="58"/>
    </row>
    <row r="806">
      <c r="C806" s="58"/>
    </row>
    <row r="807">
      <c r="C807" s="58"/>
    </row>
    <row r="808">
      <c r="C808" s="58"/>
    </row>
    <row r="809">
      <c r="C809" s="58"/>
    </row>
    <row r="810">
      <c r="C810" s="58"/>
    </row>
    <row r="811">
      <c r="C811" s="58"/>
    </row>
    <row r="812">
      <c r="C812" s="58"/>
    </row>
    <row r="813">
      <c r="C813" s="58"/>
    </row>
    <row r="814">
      <c r="C814" s="58"/>
    </row>
    <row r="815">
      <c r="C815" s="58"/>
    </row>
    <row r="816">
      <c r="C816" s="58"/>
    </row>
    <row r="817">
      <c r="C817" s="58"/>
    </row>
    <row r="818">
      <c r="C818" s="58"/>
    </row>
    <row r="819">
      <c r="C819" s="58"/>
    </row>
    <row r="820">
      <c r="C820" s="58"/>
    </row>
    <row r="821">
      <c r="C821" s="58"/>
    </row>
    <row r="822">
      <c r="C822" s="58"/>
    </row>
    <row r="823">
      <c r="C823" s="58"/>
    </row>
    <row r="824">
      <c r="C824" s="58"/>
    </row>
    <row r="825">
      <c r="C825" s="58"/>
    </row>
    <row r="826">
      <c r="C826" s="58"/>
    </row>
    <row r="827">
      <c r="C827" s="58"/>
    </row>
    <row r="828">
      <c r="C828" s="58"/>
    </row>
    <row r="829">
      <c r="C829" s="58"/>
    </row>
    <row r="830">
      <c r="C830" s="58"/>
    </row>
    <row r="831">
      <c r="C831" s="58"/>
    </row>
    <row r="832">
      <c r="C832" s="58"/>
    </row>
    <row r="833">
      <c r="C833" s="58"/>
    </row>
    <row r="834">
      <c r="C834" s="58"/>
    </row>
    <row r="835">
      <c r="C835" s="58"/>
    </row>
    <row r="836">
      <c r="C836" s="58"/>
    </row>
    <row r="837">
      <c r="C837" s="58"/>
    </row>
    <row r="838">
      <c r="C838" s="58"/>
    </row>
    <row r="839">
      <c r="C839" s="58"/>
    </row>
    <row r="840">
      <c r="C840" s="58"/>
    </row>
    <row r="841">
      <c r="C841" s="58"/>
    </row>
    <row r="842">
      <c r="C842" s="58"/>
    </row>
    <row r="843">
      <c r="C843" s="58"/>
    </row>
    <row r="844">
      <c r="C844" s="58"/>
    </row>
    <row r="845">
      <c r="C845" s="58"/>
    </row>
    <row r="846">
      <c r="C846" s="58"/>
    </row>
    <row r="847">
      <c r="C847" s="58"/>
    </row>
    <row r="848">
      <c r="C848" s="58"/>
    </row>
    <row r="849">
      <c r="C849" s="58"/>
    </row>
    <row r="850">
      <c r="C850" s="58"/>
    </row>
    <row r="851">
      <c r="C851" s="58"/>
    </row>
    <row r="852">
      <c r="C852" s="58"/>
    </row>
    <row r="853">
      <c r="C853" s="58"/>
    </row>
    <row r="854">
      <c r="C854" s="58"/>
    </row>
    <row r="855">
      <c r="C855" s="58"/>
    </row>
    <row r="856">
      <c r="C856" s="58"/>
    </row>
    <row r="857">
      <c r="C857" s="58"/>
    </row>
    <row r="858">
      <c r="C858" s="58"/>
    </row>
    <row r="859">
      <c r="C859" s="58"/>
    </row>
    <row r="860">
      <c r="C860" s="58"/>
    </row>
    <row r="861">
      <c r="C861" s="58"/>
    </row>
    <row r="862">
      <c r="C862" s="58"/>
    </row>
    <row r="863">
      <c r="C863" s="58"/>
    </row>
    <row r="864">
      <c r="C864" s="58"/>
    </row>
    <row r="865">
      <c r="C865" s="58"/>
    </row>
    <row r="866">
      <c r="C866" s="58"/>
    </row>
    <row r="867">
      <c r="C867" s="58"/>
    </row>
    <row r="868">
      <c r="C868" s="58"/>
    </row>
    <row r="869">
      <c r="C869" s="58"/>
    </row>
    <row r="870">
      <c r="C870" s="58"/>
    </row>
    <row r="871">
      <c r="C871" s="58"/>
    </row>
    <row r="872">
      <c r="C872" s="58"/>
    </row>
    <row r="873">
      <c r="C873" s="58"/>
    </row>
    <row r="874">
      <c r="C874" s="58"/>
    </row>
    <row r="875">
      <c r="C875" s="58"/>
    </row>
    <row r="876">
      <c r="C876" s="58"/>
    </row>
    <row r="877">
      <c r="C877" s="58"/>
    </row>
    <row r="878">
      <c r="C878" s="58"/>
    </row>
    <row r="879">
      <c r="C879" s="58"/>
    </row>
    <row r="880">
      <c r="C880" s="58"/>
    </row>
    <row r="881">
      <c r="C881" s="58"/>
    </row>
    <row r="882">
      <c r="C882" s="58"/>
    </row>
    <row r="883">
      <c r="C883" s="58"/>
    </row>
    <row r="884">
      <c r="C884" s="58"/>
    </row>
    <row r="885">
      <c r="C885" s="58"/>
    </row>
    <row r="886">
      <c r="C886" s="58"/>
    </row>
    <row r="887">
      <c r="C887" s="58"/>
    </row>
    <row r="888">
      <c r="C888" s="58"/>
    </row>
    <row r="889">
      <c r="C889" s="58"/>
    </row>
    <row r="890">
      <c r="C890" s="58"/>
    </row>
    <row r="891">
      <c r="C891" s="58"/>
    </row>
    <row r="892">
      <c r="C892" s="58"/>
    </row>
    <row r="893">
      <c r="C893" s="58"/>
    </row>
    <row r="894">
      <c r="C894" s="58"/>
    </row>
    <row r="895">
      <c r="C895" s="58"/>
    </row>
    <row r="896">
      <c r="C896" s="58"/>
    </row>
    <row r="897">
      <c r="C897" s="58"/>
    </row>
    <row r="898">
      <c r="C898" s="58"/>
    </row>
    <row r="899">
      <c r="C899" s="58"/>
    </row>
    <row r="900">
      <c r="C900" s="58"/>
    </row>
    <row r="901">
      <c r="C901" s="58"/>
    </row>
    <row r="902">
      <c r="C902" s="58"/>
    </row>
    <row r="903">
      <c r="C903" s="58"/>
    </row>
    <row r="904">
      <c r="C904" s="58"/>
    </row>
    <row r="905">
      <c r="C905" s="58"/>
    </row>
    <row r="906">
      <c r="C906" s="58"/>
    </row>
    <row r="907">
      <c r="C907" s="58"/>
    </row>
    <row r="908">
      <c r="C908" s="58"/>
    </row>
    <row r="909">
      <c r="C909" s="58"/>
    </row>
    <row r="910">
      <c r="C910" s="58"/>
    </row>
    <row r="911">
      <c r="C911" s="58"/>
    </row>
    <row r="912">
      <c r="C912" s="58"/>
    </row>
    <row r="913">
      <c r="C913" s="58"/>
    </row>
    <row r="914">
      <c r="C914" s="58"/>
    </row>
    <row r="915">
      <c r="C915" s="58"/>
    </row>
    <row r="916">
      <c r="C916" s="58"/>
    </row>
    <row r="917">
      <c r="C917" s="58"/>
    </row>
    <row r="918">
      <c r="C918" s="58"/>
    </row>
    <row r="919">
      <c r="C919" s="58"/>
    </row>
    <row r="920">
      <c r="C920" s="58"/>
    </row>
    <row r="921">
      <c r="C921" s="58"/>
    </row>
    <row r="922">
      <c r="C922" s="58"/>
    </row>
    <row r="923">
      <c r="C923" s="58"/>
    </row>
    <row r="924">
      <c r="C924" s="58"/>
    </row>
    <row r="925">
      <c r="C925" s="58"/>
    </row>
    <row r="926">
      <c r="C926" s="58"/>
    </row>
    <row r="927">
      <c r="C927" s="58"/>
    </row>
    <row r="928">
      <c r="C928" s="58"/>
    </row>
    <row r="929">
      <c r="C929" s="58"/>
    </row>
    <row r="930">
      <c r="C930" s="58"/>
    </row>
    <row r="931">
      <c r="C931" s="58"/>
    </row>
    <row r="932">
      <c r="C932" s="58"/>
    </row>
    <row r="933">
      <c r="C933" s="58"/>
    </row>
    <row r="934">
      <c r="C934" s="58"/>
    </row>
    <row r="935">
      <c r="C935" s="58"/>
    </row>
    <row r="936">
      <c r="C936" s="58"/>
    </row>
    <row r="937">
      <c r="C937" s="58"/>
    </row>
    <row r="938">
      <c r="C938" s="58"/>
    </row>
    <row r="939">
      <c r="C939" s="58"/>
    </row>
    <row r="940">
      <c r="C940" s="58"/>
    </row>
    <row r="941">
      <c r="C941" s="58"/>
    </row>
    <row r="942">
      <c r="C942" s="58"/>
    </row>
    <row r="943">
      <c r="C943" s="58"/>
    </row>
    <row r="944">
      <c r="C944" s="58"/>
    </row>
    <row r="945">
      <c r="C945" s="58"/>
    </row>
    <row r="946">
      <c r="C946" s="58"/>
    </row>
    <row r="947">
      <c r="C947" s="58"/>
    </row>
    <row r="948">
      <c r="C948" s="58"/>
    </row>
    <row r="949">
      <c r="C949" s="58"/>
    </row>
    <row r="950">
      <c r="C950" s="58"/>
    </row>
    <row r="951">
      <c r="C951" s="58"/>
    </row>
    <row r="952">
      <c r="C952" s="58"/>
    </row>
    <row r="953">
      <c r="C953" s="58"/>
    </row>
    <row r="954">
      <c r="C954" s="58"/>
    </row>
    <row r="955">
      <c r="C955" s="58"/>
    </row>
    <row r="956">
      <c r="C956" s="58"/>
    </row>
    <row r="957">
      <c r="C957" s="58"/>
    </row>
    <row r="958">
      <c r="C958" s="58"/>
    </row>
    <row r="959">
      <c r="C959" s="58"/>
    </row>
    <row r="960">
      <c r="C960" s="58"/>
    </row>
    <row r="961">
      <c r="C961" s="58"/>
    </row>
    <row r="962">
      <c r="C962" s="58"/>
    </row>
    <row r="963">
      <c r="C963" s="58"/>
    </row>
    <row r="964">
      <c r="C964" s="58"/>
    </row>
    <row r="965">
      <c r="C965" s="58"/>
    </row>
    <row r="966">
      <c r="C966" s="58"/>
    </row>
    <row r="967">
      <c r="C967" s="58"/>
    </row>
    <row r="968">
      <c r="C968" s="58"/>
    </row>
    <row r="969">
      <c r="C969" s="58"/>
    </row>
    <row r="970">
      <c r="C970" s="58"/>
    </row>
    <row r="971">
      <c r="C971" s="58"/>
    </row>
    <row r="972">
      <c r="C972" s="58"/>
    </row>
    <row r="973">
      <c r="C973" s="58"/>
    </row>
    <row r="974">
      <c r="C974" s="58"/>
    </row>
    <row r="975">
      <c r="C975" s="58"/>
    </row>
    <row r="976">
      <c r="C976" s="58"/>
    </row>
    <row r="977">
      <c r="C977" s="58"/>
    </row>
    <row r="978">
      <c r="C978" s="58"/>
    </row>
    <row r="979">
      <c r="C979" s="58"/>
    </row>
    <row r="980">
      <c r="C980" s="58"/>
    </row>
    <row r="981">
      <c r="C981" s="58"/>
    </row>
    <row r="982">
      <c r="C982" s="58"/>
    </row>
    <row r="983">
      <c r="C983" s="58"/>
    </row>
    <row r="984">
      <c r="C984" s="58"/>
    </row>
    <row r="985">
      <c r="C985" s="58"/>
    </row>
    <row r="986">
      <c r="C986" s="58"/>
    </row>
    <row r="987">
      <c r="C987" s="58"/>
    </row>
    <row r="988">
      <c r="C988" s="58"/>
    </row>
    <row r="989">
      <c r="C989" s="58"/>
    </row>
    <row r="990">
      <c r="C990" s="58"/>
    </row>
    <row r="991">
      <c r="C991" s="58"/>
    </row>
    <row r="992">
      <c r="C992" s="58"/>
    </row>
    <row r="993">
      <c r="C993" s="58"/>
    </row>
    <row r="994">
      <c r="C994" s="58"/>
    </row>
    <row r="995">
      <c r="C995" s="58"/>
    </row>
    <row r="996">
      <c r="C996" s="58"/>
    </row>
    <row r="997">
      <c r="C997" s="58"/>
    </row>
    <row r="998">
      <c r="C998" s="58"/>
    </row>
    <row r="999">
      <c r="C999" s="58"/>
    </row>
    <row r="1000">
      <c r="C1000" s="58"/>
    </row>
    <row r="1001">
      <c r="C1001" s="58"/>
    </row>
    <row r="1002">
      <c r="C1002" s="58"/>
    </row>
    <row r="1003">
      <c r="C1003" s="58"/>
    </row>
    <row r="1004">
      <c r="C1004" s="58"/>
    </row>
    <row r="1005">
      <c r="C1005" s="58"/>
    </row>
    <row r="1006">
      <c r="C1006" s="58"/>
    </row>
    <row r="1007">
      <c r="C1007" s="58"/>
    </row>
    <row r="1008">
      <c r="C1008" s="58"/>
    </row>
    <row r="1009">
      <c r="C1009" s="58"/>
    </row>
    <row r="1010">
      <c r="C1010" s="58"/>
    </row>
    <row r="1011">
      <c r="C1011" s="58"/>
    </row>
    <row r="1012">
      <c r="C1012" s="58"/>
    </row>
    <row r="1013">
      <c r="C1013" s="58"/>
    </row>
  </sheetData>
  <hyperlinks>
    <hyperlink r:id="rId1" ref="B1"/>
    <hyperlink r:id="rId2" ref="C1"/>
    <hyperlink r:id="rId3" ref="D1"/>
    <hyperlink r:id="rId4" ref="E1"/>
    <hyperlink r:id="rId5" ref="F1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  <col collapsed="1" min="2" max="2" width="12.63"/>
    <col hidden="1" min="3" max="5" width="12.63" outlineLevel="1"/>
    <col collapsed="1" min="6" max="6" width="12.63"/>
    <col hidden="1" min="7" max="9" width="12.63" outlineLevel="1"/>
    <col collapsed="1" min="10" max="10" width="12.63"/>
    <col hidden="1" min="11" max="13" width="12.63" outlineLevel="1"/>
    <col collapsed="1" min="14" max="14" width="12.63"/>
    <col hidden="1" min="15" max="17" width="12.63" outlineLevel="1"/>
    <col collapsed="1" min="18" max="18" width="12.63"/>
    <col hidden="1" min="19" max="21" width="12.63" outlineLevel="1"/>
    <col collapsed="1" min="22" max="22" width="12.63"/>
    <col hidden="1" min="23" max="25" width="12.63" outlineLevel="1"/>
  </cols>
  <sheetData>
    <row r="1">
      <c r="A1" s="1"/>
      <c r="B1" s="4" t="s">
        <v>1</v>
      </c>
      <c r="C1" s="7"/>
      <c r="D1" s="7"/>
      <c r="E1" s="7"/>
      <c r="F1" s="4" t="s">
        <v>1</v>
      </c>
      <c r="G1" s="7"/>
      <c r="H1" s="7"/>
      <c r="I1" s="7"/>
      <c r="J1" s="4" t="s">
        <v>1</v>
      </c>
      <c r="K1" s="7"/>
      <c r="L1" s="7"/>
      <c r="M1" s="7"/>
      <c r="N1" s="4" t="s">
        <v>1</v>
      </c>
      <c r="O1" s="91"/>
      <c r="P1" s="91"/>
      <c r="Q1" s="91"/>
      <c r="R1" s="4" t="s">
        <v>1</v>
      </c>
      <c r="S1" s="7"/>
      <c r="T1" s="7"/>
      <c r="U1" s="7"/>
      <c r="V1" s="16" t="s">
        <v>1</v>
      </c>
      <c r="W1" s="7"/>
      <c r="X1" s="7"/>
      <c r="Y1" s="7"/>
    </row>
    <row r="2">
      <c r="A2" s="1" t="s">
        <v>6</v>
      </c>
      <c r="B2" s="7" t="s">
        <v>7</v>
      </c>
      <c r="C2" s="7" t="s">
        <v>17</v>
      </c>
      <c r="D2" s="7" t="s">
        <v>18</v>
      </c>
      <c r="E2" s="7" t="s">
        <v>51</v>
      </c>
      <c r="F2" s="7" t="s">
        <v>8</v>
      </c>
      <c r="G2" s="7" t="s">
        <v>17</v>
      </c>
      <c r="H2" s="7" t="s">
        <v>18</v>
      </c>
      <c r="I2" s="7" t="s">
        <v>51</v>
      </c>
      <c r="J2" s="7" t="s">
        <v>9</v>
      </c>
      <c r="K2" s="7" t="s">
        <v>17</v>
      </c>
      <c r="L2" s="7" t="s">
        <v>18</v>
      </c>
      <c r="M2" s="7" t="s">
        <v>51</v>
      </c>
      <c r="N2" s="7" t="s">
        <v>3</v>
      </c>
      <c r="O2" s="7" t="s">
        <v>17</v>
      </c>
      <c r="P2" s="7" t="s">
        <v>18</v>
      </c>
      <c r="Q2" s="7" t="s">
        <v>51</v>
      </c>
      <c r="R2" s="7" t="s">
        <v>10</v>
      </c>
      <c r="S2" s="7" t="s">
        <v>17</v>
      </c>
      <c r="T2" s="7" t="s">
        <v>18</v>
      </c>
      <c r="U2" s="7" t="s">
        <v>51</v>
      </c>
      <c r="V2" s="20" t="s">
        <v>11</v>
      </c>
      <c r="W2" s="92" t="s">
        <v>17</v>
      </c>
      <c r="X2" s="93" t="s">
        <v>18</v>
      </c>
      <c r="Y2" s="93" t="s">
        <v>51</v>
      </c>
    </row>
    <row r="3">
      <c r="A3" s="21" t="s">
        <v>16</v>
      </c>
      <c r="B3" s="23">
        <f t="shared" ref="B3:Y3" si="1">sum(B4,B10)</f>
        <v>108511</v>
      </c>
      <c r="C3" s="23">
        <f t="shared" si="1"/>
        <v>53909</v>
      </c>
      <c r="D3" s="23">
        <f t="shared" si="1"/>
        <v>51089</v>
      </c>
      <c r="E3" s="23">
        <f t="shared" si="1"/>
        <v>0</v>
      </c>
      <c r="F3" s="23">
        <f t="shared" si="1"/>
        <v>134927</v>
      </c>
      <c r="G3" s="23">
        <f t="shared" si="1"/>
        <v>87588</v>
      </c>
      <c r="H3" s="23">
        <f t="shared" si="1"/>
        <v>50432</v>
      </c>
      <c r="I3" s="23">
        <f t="shared" si="1"/>
        <v>0</v>
      </c>
      <c r="J3" s="23">
        <f t="shared" si="1"/>
        <v>99661</v>
      </c>
      <c r="K3" s="23">
        <f t="shared" si="1"/>
        <v>45308</v>
      </c>
      <c r="L3" s="23">
        <f t="shared" si="1"/>
        <v>56803</v>
      </c>
      <c r="M3" s="23">
        <f t="shared" si="1"/>
        <v>0</v>
      </c>
      <c r="N3" s="23">
        <f t="shared" si="1"/>
        <v>43820</v>
      </c>
      <c r="O3" s="23">
        <f t="shared" si="1"/>
        <v>15815</v>
      </c>
      <c r="P3" s="23">
        <f t="shared" si="1"/>
        <v>28005</v>
      </c>
      <c r="Q3" s="23">
        <f t="shared" si="1"/>
        <v>0</v>
      </c>
      <c r="R3" s="23">
        <f t="shared" si="1"/>
        <v>23427</v>
      </c>
      <c r="S3" s="23">
        <f t="shared" si="1"/>
        <v>7477</v>
      </c>
      <c r="T3" s="23">
        <f t="shared" si="1"/>
        <v>15850</v>
      </c>
      <c r="U3" s="23">
        <f t="shared" si="1"/>
        <v>0</v>
      </c>
      <c r="V3" s="23">
        <f t="shared" si="1"/>
        <v>39849</v>
      </c>
      <c r="W3" s="23">
        <f t="shared" si="1"/>
        <v>12270</v>
      </c>
      <c r="X3" s="23">
        <f t="shared" si="1"/>
        <v>27579</v>
      </c>
      <c r="Y3" s="23">
        <f t="shared" si="1"/>
        <v>0</v>
      </c>
    </row>
    <row r="4" outlineLevel="1">
      <c r="A4" s="21" t="s">
        <v>20</v>
      </c>
      <c r="B4" s="23">
        <f t="shared" ref="B4:Y4" si="2">sum(B5:B9)</f>
        <v>63243</v>
      </c>
      <c r="C4" s="23">
        <f t="shared" si="2"/>
        <v>25859</v>
      </c>
      <c r="D4" s="23">
        <f t="shared" si="2"/>
        <v>33871</v>
      </c>
      <c r="E4" s="23">
        <f t="shared" si="2"/>
        <v>0</v>
      </c>
      <c r="F4" s="23">
        <f t="shared" si="2"/>
        <v>96037</v>
      </c>
      <c r="G4" s="23">
        <f t="shared" si="2"/>
        <v>59638</v>
      </c>
      <c r="H4" s="23">
        <f t="shared" si="2"/>
        <v>39492</v>
      </c>
      <c r="I4" s="23">
        <f t="shared" si="2"/>
        <v>0</v>
      </c>
      <c r="J4" s="23">
        <f t="shared" si="2"/>
        <v>79011</v>
      </c>
      <c r="K4" s="23">
        <f t="shared" si="2"/>
        <v>33508</v>
      </c>
      <c r="L4" s="23">
        <f t="shared" si="2"/>
        <v>45503</v>
      </c>
      <c r="M4" s="23">
        <f t="shared" si="2"/>
        <v>0</v>
      </c>
      <c r="N4" s="23">
        <f t="shared" si="2"/>
        <v>34930</v>
      </c>
      <c r="O4" s="23">
        <f t="shared" si="2"/>
        <v>12715</v>
      </c>
      <c r="P4" s="23">
        <f t="shared" si="2"/>
        <v>22215</v>
      </c>
      <c r="Q4" s="23">
        <f t="shared" si="2"/>
        <v>0</v>
      </c>
      <c r="R4" s="23">
        <f t="shared" si="2"/>
        <v>21427</v>
      </c>
      <c r="S4" s="23">
        <f t="shared" si="2"/>
        <v>6177</v>
      </c>
      <c r="T4" s="23">
        <f t="shared" si="2"/>
        <v>15150</v>
      </c>
      <c r="U4" s="23">
        <f t="shared" si="2"/>
        <v>0</v>
      </c>
      <c r="V4" s="23">
        <f t="shared" si="2"/>
        <v>37149</v>
      </c>
      <c r="W4" s="23">
        <f t="shared" si="2"/>
        <v>10970</v>
      </c>
      <c r="X4" s="23">
        <f t="shared" si="2"/>
        <v>26179</v>
      </c>
      <c r="Y4" s="23">
        <f t="shared" si="2"/>
        <v>0</v>
      </c>
    </row>
    <row r="5" outlineLevel="1">
      <c r="A5" s="28" t="s">
        <v>21</v>
      </c>
      <c r="B5" s="29">
        <v>0.0</v>
      </c>
      <c r="C5" s="22">
        <v>0.0</v>
      </c>
      <c r="D5" s="22">
        <v>0.0</v>
      </c>
      <c r="E5" s="22">
        <v>0.0</v>
      </c>
      <c r="F5" s="22">
        <v>9579.0</v>
      </c>
      <c r="G5" s="22">
        <v>5584.0</v>
      </c>
      <c r="H5" s="29">
        <v>3995.0</v>
      </c>
      <c r="I5" s="29">
        <v>0.0</v>
      </c>
      <c r="J5" s="29">
        <v>10819.0</v>
      </c>
      <c r="K5" s="22">
        <v>10819.0</v>
      </c>
      <c r="L5" s="22">
        <v>0.0</v>
      </c>
      <c r="M5" s="22">
        <v>0.0</v>
      </c>
      <c r="N5" s="22">
        <v>2946.0</v>
      </c>
      <c r="O5" s="29">
        <v>0.0</v>
      </c>
      <c r="P5" s="30">
        <f t="shared" ref="P5:P9" si="3">N5-O5</f>
        <v>2946</v>
      </c>
      <c r="Q5" s="30">
        <v>0.0</v>
      </c>
      <c r="R5" s="27">
        <v>1943.0</v>
      </c>
      <c r="S5" s="27">
        <v>1943.0</v>
      </c>
      <c r="T5" s="22">
        <v>0.0</v>
      </c>
      <c r="U5" s="22">
        <v>0.0</v>
      </c>
      <c r="V5" s="30">
        <v>2990.0</v>
      </c>
      <c r="W5" s="30">
        <v>2990.0</v>
      </c>
      <c r="X5" s="95">
        <v>0.0</v>
      </c>
      <c r="Y5" s="95">
        <v>0.0</v>
      </c>
    </row>
    <row r="6" outlineLevel="1">
      <c r="A6" s="28" t="s">
        <v>22</v>
      </c>
      <c r="B6" s="29">
        <v>7457.0</v>
      </c>
      <c r="C6" s="22">
        <v>6686.0</v>
      </c>
      <c r="D6" s="22">
        <v>771.0</v>
      </c>
      <c r="E6" s="22">
        <v>0.0</v>
      </c>
      <c r="F6" s="22">
        <v>9213.0</v>
      </c>
      <c r="G6" s="22">
        <v>9213.0</v>
      </c>
      <c r="H6" s="29">
        <v>0.0</v>
      </c>
      <c r="I6" s="29">
        <v>0.0</v>
      </c>
      <c r="J6" s="29">
        <v>2240.0</v>
      </c>
      <c r="K6" s="22">
        <v>2240.0</v>
      </c>
      <c r="L6" s="22">
        <v>0.0</v>
      </c>
      <c r="M6" s="22">
        <v>0.0</v>
      </c>
      <c r="N6" s="22">
        <v>4400.0</v>
      </c>
      <c r="O6" s="22">
        <v>4400.0</v>
      </c>
      <c r="P6" s="30">
        <f t="shared" si="3"/>
        <v>0</v>
      </c>
      <c r="Q6" s="30">
        <v>0.0</v>
      </c>
      <c r="R6" s="27">
        <v>700.0</v>
      </c>
      <c r="S6" s="27">
        <v>700.0</v>
      </c>
      <c r="T6" s="22">
        <v>0.0</v>
      </c>
      <c r="U6" s="22">
        <v>0.0</v>
      </c>
      <c r="V6" s="30">
        <v>700.0</v>
      </c>
      <c r="W6" s="30">
        <v>700.0</v>
      </c>
      <c r="X6" s="85"/>
      <c r="Y6" s="95">
        <v>0.0</v>
      </c>
    </row>
    <row r="7" outlineLevel="1">
      <c r="A7" s="28" t="s">
        <v>23</v>
      </c>
      <c r="B7" s="29">
        <v>43173.0</v>
      </c>
      <c r="C7" s="22">
        <v>8960.0</v>
      </c>
      <c r="D7" s="22">
        <v>30700.0</v>
      </c>
      <c r="E7" s="22">
        <v>0.0</v>
      </c>
      <c r="F7" s="22">
        <v>60245.0</v>
      </c>
      <c r="G7" s="22">
        <v>30241.0</v>
      </c>
      <c r="H7" s="29">
        <v>33097.0</v>
      </c>
      <c r="I7" s="29">
        <v>0.0</v>
      </c>
      <c r="J7" s="29">
        <v>57025.0</v>
      </c>
      <c r="K7" s="22">
        <v>13120.0</v>
      </c>
      <c r="L7" s="22">
        <v>43905.0</v>
      </c>
      <c r="M7" s="22">
        <v>0.0</v>
      </c>
      <c r="N7" s="22">
        <v>17555.0</v>
      </c>
      <c r="O7" s="29">
        <v>3080.0</v>
      </c>
      <c r="P7" s="30">
        <f t="shared" si="3"/>
        <v>14475</v>
      </c>
      <c r="Q7" s="30">
        <v>0.0</v>
      </c>
      <c r="R7" s="27">
        <v>16830.0</v>
      </c>
      <c r="S7" s="22">
        <v>1580.0</v>
      </c>
      <c r="T7" s="22">
        <v>15150.0</v>
      </c>
      <c r="U7" s="22">
        <v>0.0</v>
      </c>
      <c r="V7" s="30">
        <v>28705.0</v>
      </c>
      <c r="W7" s="30">
        <v>7280.0</v>
      </c>
      <c r="X7" s="95">
        <v>21425.0</v>
      </c>
      <c r="Y7" s="95">
        <v>0.0</v>
      </c>
    </row>
    <row r="8">
      <c r="A8" s="28" t="s">
        <v>24</v>
      </c>
      <c r="B8" s="29">
        <v>12613.0</v>
      </c>
      <c r="C8" s="22">
        <v>10213.0</v>
      </c>
      <c r="D8" s="22">
        <v>2400.0</v>
      </c>
      <c r="E8" s="22">
        <v>0.0</v>
      </c>
      <c r="F8" s="22">
        <v>17000.0</v>
      </c>
      <c r="G8" s="22">
        <v>14600.0</v>
      </c>
      <c r="H8" s="22">
        <v>2400.0</v>
      </c>
      <c r="I8" s="22">
        <v>0.0</v>
      </c>
      <c r="J8" s="22">
        <v>8927.0</v>
      </c>
      <c r="K8" s="22">
        <v>7329.0</v>
      </c>
      <c r="L8" s="22">
        <v>1598.0</v>
      </c>
      <c r="M8" s="31">
        <v>0.0</v>
      </c>
      <c r="N8" s="22">
        <v>10029.0</v>
      </c>
      <c r="O8" s="29">
        <v>5235.0</v>
      </c>
      <c r="P8" s="30">
        <f t="shared" si="3"/>
        <v>4794</v>
      </c>
      <c r="Q8" s="30">
        <v>0.0</v>
      </c>
      <c r="R8" s="22">
        <v>1954.0</v>
      </c>
      <c r="S8" s="22">
        <v>1954.0</v>
      </c>
      <c r="T8" s="22">
        <v>0.0</v>
      </c>
      <c r="U8" s="31">
        <v>0.0</v>
      </c>
      <c r="V8" s="30">
        <v>4754.0</v>
      </c>
      <c r="W8" s="30">
        <v>0.0</v>
      </c>
      <c r="X8" s="95">
        <v>4754.0</v>
      </c>
      <c r="Y8" s="95">
        <v>0.0</v>
      </c>
    </row>
    <row r="9" outlineLevel="1">
      <c r="A9" s="28" t="s">
        <v>25</v>
      </c>
      <c r="B9" s="29">
        <v>0.0</v>
      </c>
      <c r="C9" s="22">
        <v>0.0</v>
      </c>
      <c r="D9" s="22">
        <v>0.0</v>
      </c>
      <c r="E9" s="22">
        <v>0.0</v>
      </c>
      <c r="F9" s="22">
        <v>0.0</v>
      </c>
      <c r="G9" s="22">
        <v>0.0</v>
      </c>
      <c r="H9" s="29">
        <v>0.0</v>
      </c>
      <c r="I9" s="29">
        <v>0.0</v>
      </c>
      <c r="J9" s="29">
        <v>0.0</v>
      </c>
      <c r="K9" s="22">
        <v>0.0</v>
      </c>
      <c r="L9" s="22">
        <v>0.0</v>
      </c>
      <c r="M9" s="22">
        <v>0.0</v>
      </c>
      <c r="N9" s="22">
        <v>0.0</v>
      </c>
      <c r="O9" s="30">
        <v>0.0</v>
      </c>
      <c r="P9" s="30">
        <f t="shared" si="3"/>
        <v>0</v>
      </c>
      <c r="Q9" s="30">
        <v>0.0</v>
      </c>
      <c r="R9" s="27">
        <v>0.0</v>
      </c>
      <c r="S9" s="22">
        <v>0.0</v>
      </c>
      <c r="T9" s="22">
        <v>0.0</v>
      </c>
      <c r="U9" s="22">
        <v>0.0</v>
      </c>
      <c r="V9" s="30">
        <v>0.0</v>
      </c>
      <c r="W9" s="30">
        <v>0.0</v>
      </c>
      <c r="X9" s="95">
        <v>0.0</v>
      </c>
      <c r="Y9" s="95">
        <v>0.0</v>
      </c>
    </row>
    <row r="10" outlineLevel="1">
      <c r="A10" s="21" t="s">
        <v>26</v>
      </c>
      <c r="B10" s="23">
        <f t="shared" ref="B10:Y10" si="4">sum(B11:B12)</f>
        <v>45268</v>
      </c>
      <c r="C10" s="23">
        <f t="shared" si="4"/>
        <v>28050</v>
      </c>
      <c r="D10" s="23">
        <f t="shared" si="4"/>
        <v>17218</v>
      </c>
      <c r="E10" s="23">
        <f t="shared" si="4"/>
        <v>0</v>
      </c>
      <c r="F10" s="23">
        <f t="shared" si="4"/>
        <v>38890</v>
      </c>
      <c r="G10" s="23">
        <f t="shared" si="4"/>
        <v>27950</v>
      </c>
      <c r="H10" s="23">
        <f t="shared" si="4"/>
        <v>10940</v>
      </c>
      <c r="I10" s="23">
        <f t="shared" si="4"/>
        <v>0</v>
      </c>
      <c r="J10" s="23">
        <f t="shared" si="4"/>
        <v>20650</v>
      </c>
      <c r="K10" s="23">
        <f t="shared" si="4"/>
        <v>11800</v>
      </c>
      <c r="L10" s="23">
        <f t="shared" si="4"/>
        <v>11300</v>
      </c>
      <c r="M10" s="23">
        <f t="shared" si="4"/>
        <v>0</v>
      </c>
      <c r="N10" s="23">
        <f t="shared" si="4"/>
        <v>8890</v>
      </c>
      <c r="O10" s="23">
        <f t="shared" si="4"/>
        <v>3100</v>
      </c>
      <c r="P10" s="23">
        <f t="shared" si="4"/>
        <v>5790</v>
      </c>
      <c r="Q10" s="23">
        <f t="shared" si="4"/>
        <v>0</v>
      </c>
      <c r="R10" s="23">
        <f t="shared" si="4"/>
        <v>2000</v>
      </c>
      <c r="S10" s="23">
        <f t="shared" si="4"/>
        <v>1300</v>
      </c>
      <c r="T10" s="23">
        <f t="shared" si="4"/>
        <v>700</v>
      </c>
      <c r="U10" s="23">
        <f t="shared" si="4"/>
        <v>0</v>
      </c>
      <c r="V10" s="23">
        <f t="shared" si="4"/>
        <v>2700</v>
      </c>
      <c r="W10" s="23">
        <f t="shared" si="4"/>
        <v>1300</v>
      </c>
      <c r="X10" s="52">
        <f t="shared" si="4"/>
        <v>1400</v>
      </c>
      <c r="Y10" s="23">
        <f t="shared" si="4"/>
        <v>0</v>
      </c>
    </row>
    <row r="11" outlineLevel="1">
      <c r="A11" s="28" t="s">
        <v>27</v>
      </c>
      <c r="B11" s="29">
        <v>45268.0</v>
      </c>
      <c r="C11" s="22">
        <v>28050.0</v>
      </c>
      <c r="D11" s="22">
        <v>17218.0</v>
      </c>
      <c r="E11" s="22">
        <v>0.0</v>
      </c>
      <c r="F11" s="22">
        <v>38890.0</v>
      </c>
      <c r="G11" s="22">
        <v>27950.0</v>
      </c>
      <c r="H11" s="29">
        <v>10940.0</v>
      </c>
      <c r="I11" s="29">
        <v>0.0</v>
      </c>
      <c r="J11" s="29">
        <v>20650.0</v>
      </c>
      <c r="K11" s="22">
        <v>11800.0</v>
      </c>
      <c r="L11" s="22">
        <v>11300.0</v>
      </c>
      <c r="M11" s="22">
        <v>0.0</v>
      </c>
      <c r="N11" s="22">
        <v>8890.0</v>
      </c>
      <c r="O11" s="29">
        <v>3100.0</v>
      </c>
      <c r="P11" s="30">
        <f>N11-O11</f>
        <v>5790</v>
      </c>
      <c r="Q11" s="30">
        <v>0.0</v>
      </c>
      <c r="R11" s="27">
        <v>2000.0</v>
      </c>
      <c r="S11" s="22">
        <v>1300.0</v>
      </c>
      <c r="T11" s="22">
        <v>700.0</v>
      </c>
      <c r="U11" s="22">
        <v>0.0</v>
      </c>
      <c r="V11" s="30">
        <v>2700.0</v>
      </c>
      <c r="W11" s="30">
        <v>1300.0</v>
      </c>
      <c r="X11" s="95">
        <v>1400.0</v>
      </c>
      <c r="Y11" s="95">
        <v>0.0</v>
      </c>
    </row>
    <row r="12" outlineLevel="1">
      <c r="A12" s="28" t="s">
        <v>28</v>
      </c>
      <c r="B12" s="29">
        <v>0.0</v>
      </c>
      <c r="C12" s="22">
        <v>0.0</v>
      </c>
      <c r="D12" s="22">
        <v>0.0</v>
      </c>
      <c r="E12" s="22">
        <v>0.0</v>
      </c>
      <c r="F12" s="22">
        <v>0.0</v>
      </c>
      <c r="G12" s="33">
        <v>0.0</v>
      </c>
      <c r="H12" s="29">
        <v>0.0</v>
      </c>
      <c r="I12" s="29">
        <v>0.0</v>
      </c>
      <c r="J12" s="29">
        <v>0.0</v>
      </c>
      <c r="K12" s="22">
        <v>0.0</v>
      </c>
      <c r="L12" s="22">
        <v>0.0</v>
      </c>
      <c r="M12" s="22">
        <v>0.0</v>
      </c>
      <c r="N12" s="22">
        <v>0.0</v>
      </c>
      <c r="O12" s="30">
        <v>0.0</v>
      </c>
      <c r="P12" s="30">
        <v>0.0</v>
      </c>
      <c r="Q12" s="30">
        <v>0.0</v>
      </c>
      <c r="R12" s="27">
        <v>0.0</v>
      </c>
      <c r="S12" s="22">
        <v>0.0</v>
      </c>
      <c r="T12" s="22">
        <v>0.0</v>
      </c>
      <c r="U12" s="22">
        <v>0.0</v>
      </c>
      <c r="V12" s="30">
        <v>0.0</v>
      </c>
      <c r="W12" s="30">
        <v>0.0</v>
      </c>
      <c r="X12" s="95">
        <v>0.0</v>
      </c>
      <c r="Y12" s="95">
        <v>0.0</v>
      </c>
    </row>
    <row r="13" outlineLevel="1">
      <c r="A13" s="21" t="s">
        <v>29</v>
      </c>
      <c r="B13" s="23">
        <f>sum(B14:B16)</f>
        <v>0</v>
      </c>
      <c r="C13" s="23">
        <f t="shared" ref="C13:E13" si="5">sum(C14:C15)</f>
        <v>0</v>
      </c>
      <c r="D13" s="23">
        <f t="shared" si="5"/>
        <v>0</v>
      </c>
      <c r="E13" s="23">
        <f t="shared" si="5"/>
        <v>0</v>
      </c>
      <c r="F13" s="23">
        <f>sum(F14:F16)</f>
        <v>0</v>
      </c>
      <c r="G13" s="23">
        <f t="shared" ref="G13:I13" si="6">sum(G14:G15)</f>
        <v>0</v>
      </c>
      <c r="H13" s="23">
        <f t="shared" si="6"/>
        <v>0</v>
      </c>
      <c r="I13" s="23">
        <f t="shared" si="6"/>
        <v>0</v>
      </c>
      <c r="J13" s="23">
        <f t="shared" ref="J13:Q13" si="7">sum(J14:J16)</f>
        <v>0</v>
      </c>
      <c r="K13" s="23">
        <f t="shared" si="7"/>
        <v>0</v>
      </c>
      <c r="L13" s="23">
        <f t="shared" si="7"/>
        <v>0</v>
      </c>
      <c r="M13" s="23">
        <f t="shared" si="7"/>
        <v>0</v>
      </c>
      <c r="N13" s="23">
        <f t="shared" si="7"/>
        <v>0</v>
      </c>
      <c r="O13" s="23">
        <f t="shared" si="7"/>
        <v>0</v>
      </c>
      <c r="P13" s="23">
        <f t="shared" si="7"/>
        <v>0</v>
      </c>
      <c r="Q13" s="23">
        <f t="shared" si="7"/>
        <v>0</v>
      </c>
      <c r="R13" s="23">
        <f t="shared" ref="R13:U13" si="8">sum(R14:R15)</f>
        <v>0</v>
      </c>
      <c r="S13" s="23">
        <f t="shared" si="8"/>
        <v>0</v>
      </c>
      <c r="T13" s="23">
        <f t="shared" si="8"/>
        <v>0</v>
      </c>
      <c r="U13" s="23">
        <f t="shared" si="8"/>
        <v>0</v>
      </c>
      <c r="V13" s="23">
        <f t="shared" ref="V13:Y13" si="9">sum(V14:V16)</f>
        <v>0</v>
      </c>
      <c r="W13" s="23">
        <f t="shared" si="9"/>
        <v>0</v>
      </c>
      <c r="X13" s="23">
        <f t="shared" si="9"/>
        <v>0</v>
      </c>
      <c r="Y13" s="23">
        <f t="shared" si="9"/>
        <v>0</v>
      </c>
    </row>
    <row r="14">
      <c r="A14" s="28" t="s">
        <v>30</v>
      </c>
      <c r="B14" s="29">
        <v>0.0</v>
      </c>
      <c r="C14" s="29">
        <v>0.0</v>
      </c>
      <c r="D14" s="29">
        <v>0.0</v>
      </c>
      <c r="E14" s="29">
        <v>0.0</v>
      </c>
      <c r="F14" s="29">
        <v>0.0</v>
      </c>
      <c r="G14" s="29">
        <v>0.0</v>
      </c>
      <c r="H14" s="29">
        <v>0.0</v>
      </c>
      <c r="I14" s="29">
        <v>0.0</v>
      </c>
      <c r="J14" s="29">
        <v>0.0</v>
      </c>
      <c r="K14" s="29">
        <v>0.0</v>
      </c>
      <c r="L14" s="29">
        <v>0.0</v>
      </c>
      <c r="M14" s="29">
        <v>0.0</v>
      </c>
      <c r="N14" s="29">
        <v>0.0</v>
      </c>
      <c r="O14" s="30">
        <v>0.0</v>
      </c>
      <c r="P14" s="30">
        <v>0.0</v>
      </c>
      <c r="Q14" s="30">
        <v>0.0</v>
      </c>
      <c r="R14" s="29">
        <v>0.0</v>
      </c>
      <c r="S14" s="29">
        <v>0.0</v>
      </c>
      <c r="T14" s="29">
        <v>0.0</v>
      </c>
      <c r="U14" s="29">
        <v>0.0</v>
      </c>
      <c r="V14" s="30">
        <v>0.0</v>
      </c>
      <c r="W14" s="30">
        <v>0.0</v>
      </c>
      <c r="X14" s="95">
        <v>0.0</v>
      </c>
      <c r="Y14" s="95">
        <v>0.0</v>
      </c>
    </row>
    <row r="15" outlineLevel="1">
      <c r="A15" s="28" t="s">
        <v>31</v>
      </c>
      <c r="B15" s="29">
        <v>0.0</v>
      </c>
      <c r="C15" s="29">
        <v>0.0</v>
      </c>
      <c r="D15" s="29">
        <v>0.0</v>
      </c>
      <c r="E15" s="29">
        <v>0.0</v>
      </c>
      <c r="F15" s="29">
        <v>0.0</v>
      </c>
      <c r="G15" s="29">
        <v>0.0</v>
      </c>
      <c r="H15" s="29">
        <v>0.0</v>
      </c>
      <c r="I15" s="29">
        <v>0.0</v>
      </c>
      <c r="J15" s="29">
        <v>0.0</v>
      </c>
      <c r="K15" s="22">
        <v>0.0</v>
      </c>
      <c r="L15" s="22">
        <v>0.0</v>
      </c>
      <c r="M15" s="22">
        <v>0.0</v>
      </c>
      <c r="N15" s="22">
        <v>0.0</v>
      </c>
      <c r="O15" s="30">
        <v>0.0</v>
      </c>
      <c r="P15" s="30">
        <v>0.0</v>
      </c>
      <c r="Q15" s="30">
        <v>0.0</v>
      </c>
      <c r="R15" s="27">
        <v>0.0</v>
      </c>
      <c r="S15" s="22">
        <v>0.0</v>
      </c>
      <c r="T15" s="22">
        <v>0.0</v>
      </c>
      <c r="U15" s="22">
        <v>0.0</v>
      </c>
      <c r="V15" s="30">
        <v>0.0</v>
      </c>
      <c r="W15" s="30">
        <v>0.0</v>
      </c>
      <c r="X15" s="95">
        <v>0.0</v>
      </c>
      <c r="Y15" s="95">
        <v>0.0</v>
      </c>
    </row>
    <row r="16" outlineLevel="1">
      <c r="A16" s="35" t="s">
        <v>33</v>
      </c>
      <c r="B16" s="36">
        <v>0.0</v>
      </c>
      <c r="C16" s="36"/>
      <c r="D16" s="36"/>
      <c r="E16" s="36"/>
      <c r="F16" s="22">
        <v>0.0</v>
      </c>
      <c r="G16" s="22"/>
      <c r="H16" s="29"/>
      <c r="I16" s="29"/>
      <c r="J16" s="29">
        <v>0.0</v>
      </c>
      <c r="K16" s="29">
        <v>0.0</v>
      </c>
      <c r="L16" s="29">
        <v>0.0</v>
      </c>
      <c r="M16" s="22">
        <v>0.0</v>
      </c>
      <c r="N16" s="29">
        <v>0.0</v>
      </c>
      <c r="O16" s="29">
        <v>0.0</v>
      </c>
      <c r="P16" s="29">
        <v>0.0</v>
      </c>
      <c r="Q16" s="29">
        <v>0.0</v>
      </c>
      <c r="R16" s="27">
        <v>0.0</v>
      </c>
      <c r="S16" s="22">
        <v>0.0</v>
      </c>
      <c r="T16" s="22">
        <v>0.0</v>
      </c>
      <c r="U16" s="22">
        <v>0.0</v>
      </c>
      <c r="V16" s="30">
        <v>0.0</v>
      </c>
      <c r="W16" s="30">
        <v>0.0</v>
      </c>
      <c r="X16" s="30">
        <v>0.0</v>
      </c>
      <c r="Y16" s="30">
        <v>0.0</v>
      </c>
    </row>
    <row r="17" outlineLevel="1">
      <c r="A17" s="21" t="s">
        <v>34</v>
      </c>
      <c r="B17" s="37">
        <v>0.0</v>
      </c>
      <c r="C17" s="37">
        <v>0.0</v>
      </c>
      <c r="D17" s="37">
        <v>0.0</v>
      </c>
      <c r="E17" s="37">
        <v>0.0</v>
      </c>
      <c r="F17" s="31">
        <v>0.0</v>
      </c>
      <c r="G17" s="31">
        <v>0.0</v>
      </c>
      <c r="H17" s="34">
        <v>0.0</v>
      </c>
      <c r="I17" s="34">
        <v>0.0</v>
      </c>
      <c r="J17" s="23">
        <f t="shared" ref="J17:L17" si="10">J15/1.18</f>
        <v>0</v>
      </c>
      <c r="K17" s="23">
        <f t="shared" si="10"/>
        <v>0</v>
      </c>
      <c r="L17" s="23">
        <f t="shared" si="10"/>
        <v>0</v>
      </c>
      <c r="M17" s="31">
        <v>0.0</v>
      </c>
      <c r="N17" s="23">
        <f t="shared" ref="N17:P17" si="11">N15/1.18</f>
        <v>0</v>
      </c>
      <c r="O17" s="23">
        <f t="shared" si="11"/>
        <v>0</v>
      </c>
      <c r="P17" s="23">
        <f t="shared" si="11"/>
        <v>0</v>
      </c>
      <c r="Q17" s="23">
        <v>0.0</v>
      </c>
      <c r="R17" s="23">
        <v>0.0</v>
      </c>
      <c r="S17" s="23">
        <v>0.0</v>
      </c>
      <c r="T17" s="23">
        <v>0.0</v>
      </c>
      <c r="U17" s="23">
        <v>0.0</v>
      </c>
      <c r="V17" s="23">
        <v>0.0</v>
      </c>
      <c r="W17" s="23">
        <v>0.0</v>
      </c>
      <c r="X17" s="52">
        <v>0.0</v>
      </c>
      <c r="Y17" s="52">
        <v>0.0</v>
      </c>
    </row>
    <row r="18" outlineLevel="1">
      <c r="A18" s="38" t="s">
        <v>35</v>
      </c>
      <c r="B18" s="23">
        <f t="shared" ref="B18:V18" si="12">sum(B19,B20)</f>
        <v>0</v>
      </c>
      <c r="C18" s="23">
        <f t="shared" si="12"/>
        <v>0</v>
      </c>
      <c r="D18" s="23">
        <f t="shared" si="12"/>
        <v>0</v>
      </c>
      <c r="E18" s="23">
        <f t="shared" si="12"/>
        <v>0</v>
      </c>
      <c r="F18" s="23">
        <f t="shared" si="12"/>
        <v>0</v>
      </c>
      <c r="G18" s="23">
        <f t="shared" si="12"/>
        <v>0</v>
      </c>
      <c r="H18" s="23">
        <f t="shared" si="12"/>
        <v>0</v>
      </c>
      <c r="I18" s="23">
        <f t="shared" si="12"/>
        <v>0</v>
      </c>
      <c r="J18" s="23">
        <f t="shared" si="12"/>
        <v>0</v>
      </c>
      <c r="K18" s="23">
        <f t="shared" si="12"/>
        <v>0</v>
      </c>
      <c r="L18" s="23">
        <f t="shared" si="12"/>
        <v>0</v>
      </c>
      <c r="M18" s="23">
        <f t="shared" si="12"/>
        <v>0</v>
      </c>
      <c r="N18" s="23">
        <f t="shared" si="12"/>
        <v>0</v>
      </c>
      <c r="O18" s="23">
        <f t="shared" si="12"/>
        <v>0</v>
      </c>
      <c r="P18" s="23">
        <f t="shared" si="12"/>
        <v>0</v>
      </c>
      <c r="Q18" s="23">
        <f t="shared" si="12"/>
        <v>0</v>
      </c>
      <c r="R18" s="23">
        <f t="shared" si="12"/>
        <v>0</v>
      </c>
      <c r="S18" s="23">
        <f t="shared" si="12"/>
        <v>0</v>
      </c>
      <c r="T18" s="23">
        <f t="shared" si="12"/>
        <v>0</v>
      </c>
      <c r="U18" s="23">
        <f t="shared" si="12"/>
        <v>0</v>
      </c>
      <c r="V18" s="23">
        <f t="shared" si="12"/>
        <v>2720</v>
      </c>
      <c r="W18" s="23">
        <f t="shared" ref="W18:X18" si="13">sum(W19)</f>
        <v>0</v>
      </c>
      <c r="X18" s="52">
        <f t="shared" si="13"/>
        <v>2720</v>
      </c>
      <c r="Y18" s="52">
        <v>0.0</v>
      </c>
    </row>
    <row r="19" outlineLevel="1">
      <c r="A19" s="28" t="s">
        <v>36</v>
      </c>
      <c r="B19" s="29">
        <v>0.0</v>
      </c>
      <c r="C19" s="29">
        <v>0.0</v>
      </c>
      <c r="D19" s="29">
        <v>0.0</v>
      </c>
      <c r="E19" s="29">
        <v>0.0</v>
      </c>
      <c r="F19" s="29">
        <v>0.0</v>
      </c>
      <c r="G19" s="33">
        <v>0.0</v>
      </c>
      <c r="H19" s="29">
        <v>0.0</v>
      </c>
      <c r="I19" s="29">
        <v>0.0</v>
      </c>
      <c r="J19" s="29">
        <v>0.0</v>
      </c>
      <c r="K19" s="29">
        <v>0.0</v>
      </c>
      <c r="L19" s="29">
        <v>0.0</v>
      </c>
      <c r="M19" s="29">
        <v>0.0</v>
      </c>
      <c r="N19" s="22">
        <v>0.0</v>
      </c>
      <c r="O19" s="30">
        <v>0.0</v>
      </c>
      <c r="P19" s="30">
        <v>0.0</v>
      </c>
      <c r="Q19" s="30">
        <v>0.0</v>
      </c>
      <c r="R19" s="27">
        <v>0.0</v>
      </c>
      <c r="S19" s="22">
        <v>0.0</v>
      </c>
      <c r="T19" s="22">
        <v>0.0</v>
      </c>
      <c r="U19" s="22">
        <v>0.0</v>
      </c>
      <c r="V19" s="30">
        <v>2720.0</v>
      </c>
      <c r="W19" s="30">
        <v>0.0</v>
      </c>
      <c r="X19" s="95">
        <v>2720.0</v>
      </c>
      <c r="Y19" s="95">
        <v>0.0</v>
      </c>
    </row>
    <row r="20">
      <c r="A20" s="28" t="s">
        <v>37</v>
      </c>
      <c r="B20" s="29">
        <v>0.0</v>
      </c>
      <c r="C20" s="22">
        <v>0.0</v>
      </c>
      <c r="D20" s="22">
        <v>0.0</v>
      </c>
      <c r="E20" s="22">
        <v>0.0</v>
      </c>
      <c r="F20" s="22">
        <v>0.0</v>
      </c>
      <c r="G20" s="22">
        <v>0.0</v>
      </c>
      <c r="H20" s="22">
        <v>0.0</v>
      </c>
      <c r="I20" s="22">
        <v>0.0</v>
      </c>
      <c r="J20" s="22">
        <v>0.0</v>
      </c>
      <c r="K20" s="22">
        <v>0.0</v>
      </c>
      <c r="L20" s="22">
        <v>0.0</v>
      </c>
      <c r="M20" s="22">
        <v>0.0</v>
      </c>
      <c r="N20" s="22">
        <v>0.0</v>
      </c>
      <c r="O20" s="30">
        <v>0.0</v>
      </c>
      <c r="P20" s="30">
        <v>0.0</v>
      </c>
      <c r="Q20" s="30">
        <v>0.0</v>
      </c>
      <c r="R20" s="27">
        <v>0.0</v>
      </c>
      <c r="S20" s="22">
        <v>0.0</v>
      </c>
      <c r="T20" s="22">
        <v>0.0</v>
      </c>
      <c r="U20" s="22">
        <v>0.0</v>
      </c>
      <c r="V20" s="23">
        <v>0.0</v>
      </c>
      <c r="W20" s="30">
        <f>SUM(W21:W24)</f>
        <v>0</v>
      </c>
      <c r="X20" s="95">
        <v>0.0</v>
      </c>
      <c r="Y20" s="95">
        <v>0.0</v>
      </c>
    </row>
    <row r="21">
      <c r="A21" s="40" t="s">
        <v>38</v>
      </c>
      <c r="B21" s="23">
        <f t="shared" ref="B21:X21" si="14">sum(B22:B24)</f>
        <v>0</v>
      </c>
      <c r="C21" s="23">
        <f t="shared" si="14"/>
        <v>0</v>
      </c>
      <c r="D21" s="23">
        <f t="shared" si="14"/>
        <v>0</v>
      </c>
      <c r="E21" s="23">
        <f t="shared" si="14"/>
        <v>0</v>
      </c>
      <c r="F21" s="23">
        <f t="shared" si="14"/>
        <v>0</v>
      </c>
      <c r="G21" s="23">
        <f t="shared" si="14"/>
        <v>0</v>
      </c>
      <c r="H21" s="23">
        <f t="shared" si="14"/>
        <v>0</v>
      </c>
      <c r="I21" s="23">
        <f t="shared" si="14"/>
        <v>0</v>
      </c>
      <c r="J21" s="23">
        <f t="shared" si="14"/>
        <v>0</v>
      </c>
      <c r="K21" s="23">
        <f t="shared" si="14"/>
        <v>0</v>
      </c>
      <c r="L21" s="23">
        <f t="shared" si="14"/>
        <v>0</v>
      </c>
      <c r="M21" s="23">
        <f t="shared" si="14"/>
        <v>0</v>
      </c>
      <c r="N21" s="23">
        <f t="shared" si="14"/>
        <v>0</v>
      </c>
      <c r="O21" s="23">
        <f t="shared" si="14"/>
        <v>0</v>
      </c>
      <c r="P21" s="23">
        <f t="shared" si="14"/>
        <v>0</v>
      </c>
      <c r="Q21" s="23">
        <f t="shared" si="14"/>
        <v>0</v>
      </c>
      <c r="R21" s="23">
        <f t="shared" si="14"/>
        <v>0</v>
      </c>
      <c r="S21" s="23">
        <f t="shared" si="14"/>
        <v>0</v>
      </c>
      <c r="T21" s="23">
        <f t="shared" si="14"/>
        <v>0</v>
      </c>
      <c r="U21" s="23">
        <f t="shared" si="14"/>
        <v>0</v>
      </c>
      <c r="V21" s="23">
        <f t="shared" si="14"/>
        <v>0</v>
      </c>
      <c r="W21" s="23">
        <f t="shared" si="14"/>
        <v>0</v>
      </c>
      <c r="X21" s="52">
        <f t="shared" si="14"/>
        <v>0</v>
      </c>
      <c r="Y21" s="52">
        <v>0.0</v>
      </c>
    </row>
    <row r="22">
      <c r="A22" s="28" t="s">
        <v>40</v>
      </c>
      <c r="B22" s="29">
        <v>0.0</v>
      </c>
      <c r="C22" s="22">
        <v>0.0</v>
      </c>
      <c r="D22" s="22">
        <v>0.0</v>
      </c>
      <c r="E22" s="22">
        <v>0.0</v>
      </c>
      <c r="F22" s="22">
        <v>0.0</v>
      </c>
      <c r="G22" s="22">
        <v>0.0</v>
      </c>
      <c r="H22" s="29">
        <v>0.0</v>
      </c>
      <c r="I22" s="29">
        <v>0.0</v>
      </c>
      <c r="J22" s="29">
        <v>0.0</v>
      </c>
      <c r="K22" s="29">
        <v>0.0</v>
      </c>
      <c r="L22" s="29">
        <v>0.0</v>
      </c>
      <c r="M22" s="29">
        <v>0.0</v>
      </c>
      <c r="N22" s="22">
        <v>0.0</v>
      </c>
      <c r="O22" s="30">
        <v>0.0</v>
      </c>
      <c r="P22" s="30">
        <v>0.0</v>
      </c>
      <c r="Q22" s="30">
        <v>0.0</v>
      </c>
      <c r="R22" s="27">
        <v>0.0</v>
      </c>
      <c r="S22" s="22">
        <v>0.0</v>
      </c>
      <c r="T22" s="22">
        <v>0.0</v>
      </c>
      <c r="U22" s="22">
        <v>0.0</v>
      </c>
      <c r="V22" s="30">
        <v>0.0</v>
      </c>
      <c r="W22" s="30">
        <v>0.0</v>
      </c>
      <c r="X22" s="95">
        <v>0.0</v>
      </c>
      <c r="Y22" s="95">
        <v>0.0</v>
      </c>
    </row>
    <row r="23">
      <c r="A23" s="28" t="s">
        <v>41</v>
      </c>
      <c r="B23" s="30">
        <v>0.0</v>
      </c>
      <c r="C23" s="22">
        <v>0.0</v>
      </c>
      <c r="D23" s="22">
        <v>0.0</v>
      </c>
      <c r="E23" s="22">
        <v>0.0</v>
      </c>
      <c r="F23" s="22">
        <v>0.0</v>
      </c>
      <c r="G23" s="22">
        <v>0.0</v>
      </c>
      <c r="H23" s="29">
        <v>0.0</v>
      </c>
      <c r="I23" s="29">
        <v>0.0</v>
      </c>
      <c r="J23" s="29">
        <v>0.0</v>
      </c>
      <c r="K23" s="29">
        <v>0.0</v>
      </c>
      <c r="L23" s="29">
        <v>0.0</v>
      </c>
      <c r="M23" s="29">
        <v>0.0</v>
      </c>
      <c r="N23" s="22">
        <v>0.0</v>
      </c>
      <c r="O23" s="30">
        <v>0.0</v>
      </c>
      <c r="P23" s="30">
        <v>0.0</v>
      </c>
      <c r="Q23" s="30">
        <v>0.0</v>
      </c>
      <c r="R23" s="27">
        <v>0.0</v>
      </c>
      <c r="S23" s="22">
        <v>0.0</v>
      </c>
      <c r="T23" s="22">
        <v>0.0</v>
      </c>
      <c r="U23" s="22">
        <v>0.0</v>
      </c>
      <c r="V23" s="30">
        <v>0.0</v>
      </c>
      <c r="W23" s="30">
        <v>0.0</v>
      </c>
      <c r="X23" s="95">
        <v>0.0</v>
      </c>
      <c r="Y23" s="95">
        <v>0.0</v>
      </c>
    </row>
    <row r="24">
      <c r="A24" s="28" t="s">
        <v>42</v>
      </c>
      <c r="B24" s="29">
        <v>0.0</v>
      </c>
      <c r="C24" s="22">
        <v>0.0</v>
      </c>
      <c r="D24" s="22">
        <v>0.0</v>
      </c>
      <c r="E24" s="22">
        <v>0.0</v>
      </c>
      <c r="F24" s="22">
        <v>0.0</v>
      </c>
      <c r="G24" s="22">
        <v>0.0</v>
      </c>
      <c r="H24" s="29">
        <v>0.0</v>
      </c>
      <c r="I24" s="29">
        <v>0.0</v>
      </c>
      <c r="J24" s="29">
        <v>0.0</v>
      </c>
      <c r="K24" s="29">
        <v>0.0</v>
      </c>
      <c r="L24" s="29">
        <v>0.0</v>
      </c>
      <c r="M24" s="29">
        <v>0.0</v>
      </c>
      <c r="N24" s="22">
        <v>0.0</v>
      </c>
      <c r="O24" s="30">
        <v>0.0</v>
      </c>
      <c r="P24" s="30">
        <v>0.0</v>
      </c>
      <c r="Q24" s="30">
        <v>0.0</v>
      </c>
      <c r="R24" s="27">
        <v>0.0</v>
      </c>
      <c r="S24" s="22">
        <v>0.0</v>
      </c>
      <c r="T24" s="22">
        <v>0.0</v>
      </c>
      <c r="U24" s="22">
        <v>0.0</v>
      </c>
      <c r="V24" s="30">
        <v>0.0</v>
      </c>
      <c r="W24" s="30">
        <v>0.0</v>
      </c>
      <c r="X24" s="95">
        <v>0.0</v>
      </c>
      <c r="Y24" s="95">
        <v>0.0</v>
      </c>
    </row>
    <row r="25">
      <c r="A25" s="42" t="s">
        <v>44</v>
      </c>
      <c r="B25" s="34">
        <v>118000.0</v>
      </c>
      <c r="C25" s="43">
        <v>0.0</v>
      </c>
      <c r="D25" s="43">
        <v>0.0</v>
      </c>
      <c r="E25" s="34">
        <v>118000.0</v>
      </c>
      <c r="F25" s="34">
        <v>118000.0</v>
      </c>
      <c r="G25" s="43">
        <v>0.0</v>
      </c>
      <c r="H25" s="43">
        <v>0.0</v>
      </c>
      <c r="I25" s="34">
        <v>118000.0</v>
      </c>
      <c r="J25" s="34">
        <v>118000.0</v>
      </c>
      <c r="K25" s="43">
        <v>0.0</v>
      </c>
      <c r="L25" s="43">
        <v>0.0</v>
      </c>
      <c r="M25" s="34">
        <v>118000.0</v>
      </c>
      <c r="N25" s="34">
        <v>118000.0</v>
      </c>
      <c r="O25" s="44">
        <v>0.0</v>
      </c>
      <c r="P25" s="44">
        <v>0.0</v>
      </c>
      <c r="Q25" s="23">
        <v>118000.0</v>
      </c>
      <c r="R25" s="23">
        <v>118000.0</v>
      </c>
      <c r="S25" s="43">
        <v>0.0</v>
      </c>
      <c r="T25" s="43">
        <v>0.0</v>
      </c>
      <c r="U25" s="23">
        <v>118000.0</v>
      </c>
      <c r="V25" s="23">
        <v>118000.0</v>
      </c>
      <c r="W25" s="23">
        <v>0.0</v>
      </c>
      <c r="X25" s="52">
        <v>0.0</v>
      </c>
      <c r="Y25" s="52">
        <v>118000.0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</row>
    <row r="26">
      <c r="A26" s="46" t="s">
        <v>45</v>
      </c>
      <c r="B26" s="48">
        <f t="shared" ref="B26:G26" si="15">B3+B13+B17+B18+B21+B25</f>
        <v>226511</v>
      </c>
      <c r="C26" s="48">
        <f t="shared" si="15"/>
        <v>53909</v>
      </c>
      <c r="D26" s="48">
        <f t="shared" si="15"/>
        <v>51089</v>
      </c>
      <c r="E26" s="48">
        <f t="shared" si="15"/>
        <v>118000</v>
      </c>
      <c r="F26" s="48">
        <f t="shared" si="15"/>
        <v>252927</v>
      </c>
      <c r="G26" s="48">
        <f t="shared" si="15"/>
        <v>87588</v>
      </c>
      <c r="H26" s="96"/>
      <c r="I26" s="96"/>
      <c r="J26" s="48">
        <f>J3+J13+J17+J18+J21+J25</f>
        <v>217661</v>
      </c>
      <c r="K26" s="97">
        <f t="shared" ref="K26:Q26" si="16">K4+K10+K13+K17+K18+K21+K25</f>
        <v>45308</v>
      </c>
      <c r="L26" s="97">
        <f t="shared" si="16"/>
        <v>56803</v>
      </c>
      <c r="M26" s="97">
        <f t="shared" si="16"/>
        <v>118000</v>
      </c>
      <c r="N26" s="97">
        <f t="shared" si="16"/>
        <v>161820</v>
      </c>
      <c r="O26" s="97">
        <f t="shared" si="16"/>
        <v>15815</v>
      </c>
      <c r="P26" s="97">
        <f t="shared" si="16"/>
        <v>28005</v>
      </c>
      <c r="Q26" s="97">
        <f t="shared" si="16"/>
        <v>118000</v>
      </c>
      <c r="R26" s="48">
        <f>sum(R3+R13+R17+R18+R21+R25)</f>
        <v>141427</v>
      </c>
      <c r="S26" s="48">
        <f t="shared" ref="S26:T26" si="17">S3+S13+S17+S18+S21+S25</f>
        <v>7477</v>
      </c>
      <c r="T26" s="48">
        <f t="shared" si="17"/>
        <v>15850</v>
      </c>
      <c r="U26" s="48">
        <f>sum(U3+U13+U17+U18+U21+U25)</f>
        <v>118000</v>
      </c>
      <c r="V26" s="48">
        <f t="shared" ref="V26:Y26" si="18">V3+V13+V17+V18+V21+V25</f>
        <v>160569</v>
      </c>
      <c r="W26" s="48">
        <f t="shared" si="18"/>
        <v>12270</v>
      </c>
      <c r="X26" s="48">
        <f t="shared" si="18"/>
        <v>30299</v>
      </c>
      <c r="Y26" s="48">
        <f t="shared" si="18"/>
        <v>118000</v>
      </c>
    </row>
    <row r="27">
      <c r="A27" s="51" t="s">
        <v>47</v>
      </c>
      <c r="B27" s="52">
        <f t="shared" ref="B27:G27" si="19">B26-(B26/1.18)</f>
        <v>34552.52542</v>
      </c>
      <c r="C27" s="52">
        <f t="shared" si="19"/>
        <v>8223.40678</v>
      </c>
      <c r="D27" s="52">
        <f t="shared" si="19"/>
        <v>7793.237288</v>
      </c>
      <c r="E27" s="52">
        <f t="shared" si="19"/>
        <v>18000</v>
      </c>
      <c r="F27" s="52">
        <f t="shared" si="19"/>
        <v>38582.08475</v>
      </c>
      <c r="G27" s="52">
        <f t="shared" si="19"/>
        <v>13360.88136</v>
      </c>
      <c r="H27" s="103"/>
      <c r="I27" s="103"/>
      <c r="J27" s="52">
        <f>J26-(J26/1.18)</f>
        <v>33202.52542</v>
      </c>
      <c r="K27" s="54"/>
      <c r="L27" s="54"/>
      <c r="M27" s="54"/>
      <c r="N27" s="52">
        <f>N26-(N26/1.18)</f>
        <v>24684.40678</v>
      </c>
      <c r="O27" s="105"/>
      <c r="P27" s="105"/>
      <c r="Q27" s="105"/>
      <c r="R27" s="52">
        <f>R26-(R26/1.18)</f>
        <v>21573.61017</v>
      </c>
      <c r="S27" s="54"/>
      <c r="T27" s="54"/>
      <c r="U27" s="54"/>
      <c r="V27" s="52">
        <f>V26-(V26/1.18)</f>
        <v>24493.57627</v>
      </c>
    </row>
    <row r="28">
      <c r="A28" s="55" t="s">
        <v>49</v>
      </c>
      <c r="B28" s="52">
        <f t="shared" ref="B28:G28" si="20">B26-B27</f>
        <v>191958.4746</v>
      </c>
      <c r="C28" s="52">
        <f t="shared" si="20"/>
        <v>45685.59322</v>
      </c>
      <c r="D28" s="52">
        <f t="shared" si="20"/>
        <v>43295.76271</v>
      </c>
      <c r="E28" s="52">
        <f t="shared" si="20"/>
        <v>100000</v>
      </c>
      <c r="F28" s="52">
        <f t="shared" si="20"/>
        <v>214344.9153</v>
      </c>
      <c r="G28" s="52">
        <f t="shared" si="20"/>
        <v>74227.11864</v>
      </c>
      <c r="H28" s="103"/>
      <c r="I28" s="103"/>
      <c r="J28" s="52">
        <f>J26-J27</f>
        <v>184458.4746</v>
      </c>
      <c r="K28" s="54"/>
      <c r="L28" s="54"/>
      <c r="M28" s="54"/>
      <c r="N28" s="52">
        <f>N26-N27</f>
        <v>137135.5932</v>
      </c>
      <c r="O28" s="103"/>
      <c r="P28" s="103"/>
      <c r="Q28" s="103"/>
      <c r="R28" s="52">
        <f>R26-R27</f>
        <v>119853.3898</v>
      </c>
      <c r="S28" s="54"/>
      <c r="T28" s="54"/>
      <c r="U28" s="54"/>
      <c r="V28" s="52">
        <f>V26-V27</f>
        <v>136075.4237</v>
      </c>
    </row>
    <row r="29">
      <c r="C29" s="18"/>
      <c r="D29" s="18"/>
      <c r="E29" s="18"/>
      <c r="F29" s="18"/>
      <c r="G29" s="56"/>
      <c r="O29" s="110"/>
      <c r="P29" s="110"/>
      <c r="Q29" s="110"/>
    </row>
    <row r="30">
      <c r="C30" s="18"/>
      <c r="D30" s="18"/>
      <c r="E30" s="18"/>
      <c r="F30" s="18"/>
      <c r="G30" s="56"/>
      <c r="O30" s="110"/>
      <c r="P30" s="110"/>
      <c r="Q30" s="110"/>
    </row>
    <row r="31">
      <c r="C31" s="18"/>
      <c r="D31" s="18"/>
      <c r="E31" s="18"/>
      <c r="F31" s="18"/>
      <c r="G31" s="56"/>
      <c r="O31" s="110"/>
      <c r="P31" s="110"/>
      <c r="Q31" s="110"/>
    </row>
    <row r="32">
      <c r="C32" s="18"/>
      <c r="D32" s="18"/>
      <c r="E32" s="18"/>
      <c r="F32" s="18"/>
      <c r="G32" s="56"/>
      <c r="O32" s="110"/>
      <c r="P32" s="110"/>
      <c r="Q32" s="110"/>
    </row>
    <row r="33">
      <c r="C33" s="18"/>
      <c r="D33" s="18"/>
      <c r="E33" s="18"/>
      <c r="F33" s="18"/>
      <c r="G33" s="56"/>
      <c r="O33" s="110"/>
      <c r="P33" s="110"/>
      <c r="Q33" s="110"/>
    </row>
    <row r="34">
      <c r="C34" s="58"/>
      <c r="D34" s="58"/>
      <c r="E34" s="58"/>
      <c r="F34" s="58"/>
      <c r="O34" s="110"/>
      <c r="P34" s="110"/>
      <c r="Q34" s="110"/>
    </row>
    <row r="35">
      <c r="C35" s="58"/>
      <c r="D35" s="58"/>
      <c r="E35" s="58"/>
      <c r="F35" s="58"/>
      <c r="O35" s="110"/>
      <c r="P35" s="110"/>
      <c r="Q35" s="110"/>
    </row>
    <row r="36">
      <c r="C36" s="58"/>
      <c r="D36" s="58"/>
      <c r="E36" s="58"/>
      <c r="F36" s="58"/>
      <c r="O36" s="110"/>
      <c r="P36" s="110"/>
      <c r="Q36" s="110"/>
    </row>
    <row r="37">
      <c r="C37" s="58"/>
      <c r="D37" s="58"/>
      <c r="E37" s="58"/>
      <c r="F37" s="58"/>
      <c r="O37" s="110"/>
      <c r="P37" s="110"/>
      <c r="Q37" s="110"/>
    </row>
    <row r="38">
      <c r="C38" s="58"/>
      <c r="D38" s="58"/>
      <c r="E38" s="58"/>
      <c r="F38" s="58"/>
      <c r="O38" s="110"/>
      <c r="P38" s="110"/>
      <c r="Q38" s="110"/>
    </row>
    <row r="39">
      <c r="C39" s="58"/>
      <c r="D39" s="58"/>
      <c r="E39" s="58"/>
      <c r="F39" s="58"/>
      <c r="O39" s="110"/>
      <c r="P39" s="110"/>
      <c r="Q39" s="110"/>
    </row>
    <row r="40">
      <c r="C40" s="58"/>
      <c r="D40" s="58"/>
      <c r="E40" s="58"/>
      <c r="F40" s="58"/>
      <c r="O40" s="110"/>
      <c r="P40" s="110"/>
      <c r="Q40" s="110"/>
    </row>
    <row r="41">
      <c r="C41" s="58"/>
      <c r="D41" s="58"/>
      <c r="E41" s="58"/>
      <c r="F41" s="58"/>
      <c r="O41" s="110"/>
      <c r="P41" s="110"/>
      <c r="Q41" s="110"/>
    </row>
    <row r="42">
      <c r="C42" s="58"/>
      <c r="D42" s="58"/>
      <c r="E42" s="58"/>
      <c r="F42" s="58"/>
      <c r="O42" s="110"/>
      <c r="P42" s="110"/>
      <c r="Q42" s="110"/>
    </row>
    <row r="43">
      <c r="C43" s="58"/>
      <c r="D43" s="58"/>
      <c r="E43" s="58"/>
      <c r="F43" s="58"/>
      <c r="O43" s="110"/>
      <c r="P43" s="110"/>
      <c r="Q43" s="110"/>
    </row>
    <row r="44">
      <c r="C44" s="58"/>
      <c r="D44" s="58"/>
      <c r="E44" s="58"/>
      <c r="F44" s="58"/>
      <c r="O44" s="110"/>
      <c r="P44" s="110"/>
      <c r="Q44" s="110"/>
    </row>
    <row r="45">
      <c r="C45" s="58"/>
      <c r="D45" s="58"/>
      <c r="E45" s="58"/>
      <c r="F45" s="58"/>
      <c r="O45" s="110"/>
      <c r="P45" s="110"/>
      <c r="Q45" s="110"/>
    </row>
    <row r="46">
      <c r="C46" s="58"/>
      <c r="D46" s="58"/>
      <c r="E46" s="58"/>
      <c r="F46" s="58"/>
      <c r="O46" s="110"/>
      <c r="P46" s="110"/>
      <c r="Q46" s="110"/>
    </row>
    <row r="47">
      <c r="C47" s="58"/>
      <c r="D47" s="58"/>
      <c r="E47" s="58"/>
      <c r="F47" s="58"/>
      <c r="O47" s="110"/>
      <c r="P47" s="110"/>
      <c r="Q47" s="110"/>
    </row>
    <row r="48">
      <c r="C48" s="58"/>
      <c r="D48" s="58"/>
      <c r="E48" s="58"/>
      <c r="F48" s="58"/>
      <c r="O48" s="110"/>
      <c r="P48" s="110"/>
      <c r="Q48" s="110"/>
    </row>
    <row r="49">
      <c r="C49" s="58"/>
      <c r="D49" s="58"/>
      <c r="E49" s="58"/>
      <c r="F49" s="58"/>
      <c r="O49" s="110"/>
      <c r="P49" s="110"/>
      <c r="Q49" s="110"/>
    </row>
    <row r="50">
      <c r="C50" s="58"/>
      <c r="D50" s="58"/>
      <c r="E50" s="58"/>
      <c r="F50" s="58"/>
      <c r="O50" s="110"/>
      <c r="P50" s="110"/>
      <c r="Q50" s="110"/>
    </row>
    <row r="51">
      <c r="C51" s="58"/>
      <c r="D51" s="58"/>
      <c r="E51" s="58"/>
      <c r="F51" s="58"/>
      <c r="O51" s="110"/>
      <c r="P51" s="110"/>
      <c r="Q51" s="110"/>
    </row>
    <row r="52">
      <c r="C52" s="58"/>
      <c r="D52" s="58"/>
      <c r="E52" s="58"/>
      <c r="F52" s="58"/>
      <c r="O52" s="110"/>
      <c r="P52" s="110"/>
      <c r="Q52" s="110"/>
    </row>
    <row r="53">
      <c r="C53" s="58"/>
      <c r="D53" s="58"/>
      <c r="E53" s="58"/>
      <c r="F53" s="58"/>
      <c r="O53" s="110"/>
      <c r="P53" s="110"/>
      <c r="Q53" s="110"/>
    </row>
    <row r="54">
      <c r="C54" s="58"/>
      <c r="D54" s="58"/>
      <c r="E54" s="58"/>
      <c r="F54" s="58"/>
      <c r="O54" s="110"/>
      <c r="P54" s="110"/>
      <c r="Q54" s="110"/>
    </row>
    <row r="55">
      <c r="C55" s="58"/>
      <c r="D55" s="58"/>
      <c r="E55" s="58"/>
      <c r="F55" s="58"/>
      <c r="O55" s="110"/>
      <c r="P55" s="110"/>
      <c r="Q55" s="110"/>
    </row>
    <row r="56">
      <c r="C56" s="58"/>
      <c r="D56" s="58"/>
      <c r="E56" s="58"/>
      <c r="F56" s="58"/>
      <c r="O56" s="110"/>
      <c r="P56" s="110"/>
      <c r="Q56" s="110"/>
    </row>
    <row r="57">
      <c r="C57" s="58"/>
      <c r="D57" s="58"/>
      <c r="E57" s="58"/>
      <c r="F57" s="58"/>
      <c r="O57" s="110"/>
      <c r="P57" s="110"/>
      <c r="Q57" s="110"/>
    </row>
    <row r="58">
      <c r="C58" s="58"/>
      <c r="D58" s="58"/>
      <c r="E58" s="58"/>
      <c r="F58" s="58"/>
      <c r="O58" s="110"/>
      <c r="P58" s="110"/>
      <c r="Q58" s="110"/>
    </row>
    <row r="59">
      <c r="C59" s="58"/>
      <c r="D59" s="58"/>
      <c r="E59" s="58"/>
      <c r="F59" s="58"/>
      <c r="O59" s="110"/>
      <c r="P59" s="110"/>
      <c r="Q59" s="110"/>
    </row>
    <row r="60">
      <c r="C60" s="58"/>
      <c r="D60" s="58"/>
      <c r="E60" s="58"/>
      <c r="F60" s="58"/>
      <c r="O60" s="110"/>
      <c r="P60" s="110"/>
      <c r="Q60" s="110"/>
    </row>
    <row r="61">
      <c r="C61" s="58"/>
      <c r="D61" s="58"/>
      <c r="E61" s="58"/>
      <c r="F61" s="58"/>
      <c r="O61" s="110"/>
      <c r="P61" s="110"/>
      <c r="Q61" s="110"/>
    </row>
    <row r="62">
      <c r="C62" s="58"/>
      <c r="D62" s="58"/>
      <c r="E62" s="58"/>
      <c r="F62" s="58"/>
      <c r="O62" s="110"/>
      <c r="P62" s="110"/>
      <c r="Q62" s="110"/>
    </row>
    <row r="63">
      <c r="C63" s="58"/>
      <c r="D63" s="58"/>
      <c r="E63" s="58"/>
      <c r="F63" s="58"/>
      <c r="O63" s="110"/>
      <c r="P63" s="110"/>
      <c r="Q63" s="110"/>
    </row>
    <row r="64">
      <c r="C64" s="58"/>
      <c r="D64" s="58"/>
      <c r="E64" s="58"/>
      <c r="F64" s="58"/>
      <c r="O64" s="110"/>
      <c r="P64" s="110"/>
      <c r="Q64" s="110"/>
    </row>
    <row r="65">
      <c r="C65" s="58"/>
      <c r="D65" s="58"/>
      <c r="E65" s="58"/>
      <c r="F65" s="58"/>
      <c r="O65" s="110"/>
      <c r="P65" s="110"/>
      <c r="Q65" s="110"/>
    </row>
    <row r="66">
      <c r="C66" s="58"/>
      <c r="D66" s="58"/>
      <c r="E66" s="58"/>
      <c r="F66" s="58"/>
      <c r="O66" s="110"/>
      <c r="P66" s="110"/>
      <c r="Q66" s="110"/>
    </row>
    <row r="67">
      <c r="C67" s="58"/>
      <c r="D67" s="58"/>
      <c r="E67" s="58"/>
      <c r="F67" s="58"/>
      <c r="O67" s="110"/>
      <c r="P67" s="110"/>
      <c r="Q67" s="110"/>
    </row>
    <row r="68">
      <c r="C68" s="58"/>
      <c r="D68" s="58"/>
      <c r="E68" s="58"/>
      <c r="F68" s="58"/>
      <c r="O68" s="110"/>
      <c r="P68" s="110"/>
      <c r="Q68" s="110"/>
    </row>
    <row r="69">
      <c r="C69" s="58"/>
      <c r="D69" s="58"/>
      <c r="E69" s="58"/>
      <c r="F69" s="58"/>
      <c r="O69" s="110"/>
      <c r="P69" s="110"/>
      <c r="Q69" s="110"/>
    </row>
    <row r="70">
      <c r="C70" s="58"/>
      <c r="D70" s="58"/>
      <c r="E70" s="58"/>
      <c r="F70" s="58"/>
      <c r="O70" s="110"/>
      <c r="P70" s="110"/>
      <c r="Q70" s="110"/>
    </row>
    <row r="71">
      <c r="C71" s="58"/>
      <c r="D71" s="58"/>
      <c r="E71" s="58"/>
      <c r="F71" s="58"/>
      <c r="O71" s="110"/>
      <c r="P71" s="110"/>
      <c r="Q71" s="110"/>
    </row>
    <row r="72">
      <c r="C72" s="58"/>
      <c r="D72" s="58"/>
      <c r="E72" s="58"/>
      <c r="F72" s="58"/>
      <c r="O72" s="110"/>
      <c r="P72" s="110"/>
      <c r="Q72" s="110"/>
    </row>
    <row r="73">
      <c r="C73" s="58"/>
      <c r="D73" s="58"/>
      <c r="E73" s="58"/>
      <c r="F73" s="58"/>
      <c r="O73" s="110"/>
      <c r="P73" s="110"/>
      <c r="Q73" s="110"/>
    </row>
    <row r="74">
      <c r="C74" s="58"/>
      <c r="D74" s="58"/>
      <c r="E74" s="58"/>
      <c r="F74" s="58"/>
      <c r="O74" s="110"/>
      <c r="P74" s="110"/>
      <c r="Q74" s="110"/>
    </row>
    <row r="75">
      <c r="C75" s="58"/>
      <c r="D75" s="58"/>
      <c r="E75" s="58"/>
      <c r="F75" s="58"/>
      <c r="O75" s="110"/>
      <c r="P75" s="110"/>
      <c r="Q75" s="110"/>
    </row>
    <row r="76">
      <c r="C76" s="58"/>
      <c r="D76" s="58"/>
      <c r="E76" s="58"/>
      <c r="F76" s="58"/>
      <c r="O76" s="110"/>
      <c r="P76" s="110"/>
      <c r="Q76" s="110"/>
    </row>
    <row r="77">
      <c r="C77" s="58"/>
      <c r="D77" s="58"/>
      <c r="E77" s="58"/>
      <c r="F77" s="58"/>
      <c r="O77" s="110"/>
      <c r="P77" s="110"/>
      <c r="Q77" s="110"/>
    </row>
    <row r="78">
      <c r="C78" s="58"/>
      <c r="D78" s="58"/>
      <c r="E78" s="58"/>
      <c r="F78" s="58"/>
      <c r="O78" s="110"/>
      <c r="P78" s="110"/>
      <c r="Q78" s="110"/>
    </row>
    <row r="79">
      <c r="C79" s="58"/>
      <c r="D79" s="58"/>
      <c r="E79" s="58"/>
      <c r="F79" s="58"/>
      <c r="O79" s="110"/>
      <c r="P79" s="110"/>
      <c r="Q79" s="110"/>
    </row>
    <row r="80">
      <c r="C80" s="58"/>
      <c r="D80" s="58"/>
      <c r="E80" s="58"/>
      <c r="F80" s="58"/>
      <c r="O80" s="110"/>
      <c r="P80" s="110"/>
      <c r="Q80" s="110"/>
    </row>
    <row r="81">
      <c r="C81" s="58"/>
      <c r="D81" s="58"/>
      <c r="E81" s="58"/>
      <c r="F81" s="58"/>
      <c r="O81" s="110"/>
      <c r="P81" s="110"/>
      <c r="Q81" s="110"/>
    </row>
    <row r="82">
      <c r="C82" s="58"/>
      <c r="D82" s="58"/>
      <c r="E82" s="58"/>
      <c r="F82" s="58"/>
      <c r="O82" s="110"/>
      <c r="P82" s="110"/>
      <c r="Q82" s="110"/>
    </row>
    <row r="83">
      <c r="C83" s="58"/>
      <c r="D83" s="58"/>
      <c r="E83" s="58"/>
      <c r="F83" s="58"/>
      <c r="O83" s="110"/>
      <c r="P83" s="110"/>
      <c r="Q83" s="110"/>
    </row>
    <row r="84">
      <c r="C84" s="58"/>
      <c r="D84" s="58"/>
      <c r="E84" s="58"/>
      <c r="F84" s="58"/>
      <c r="O84" s="110"/>
      <c r="P84" s="110"/>
      <c r="Q84" s="110"/>
    </row>
    <row r="85">
      <c r="C85" s="58"/>
      <c r="D85" s="58"/>
      <c r="E85" s="58"/>
      <c r="F85" s="58"/>
      <c r="O85" s="110"/>
      <c r="P85" s="110"/>
      <c r="Q85" s="110"/>
    </row>
    <row r="86">
      <c r="C86" s="58"/>
      <c r="D86" s="58"/>
      <c r="E86" s="58"/>
      <c r="F86" s="58"/>
      <c r="O86" s="110"/>
      <c r="P86" s="110"/>
      <c r="Q86" s="110"/>
    </row>
    <row r="87">
      <c r="C87" s="58"/>
      <c r="D87" s="58"/>
      <c r="E87" s="58"/>
      <c r="F87" s="58"/>
      <c r="O87" s="110"/>
      <c r="P87" s="110"/>
      <c r="Q87" s="110"/>
    </row>
    <row r="88">
      <c r="C88" s="58"/>
      <c r="D88" s="58"/>
      <c r="E88" s="58"/>
      <c r="F88" s="58"/>
      <c r="O88" s="110"/>
      <c r="P88" s="110"/>
      <c r="Q88" s="110"/>
    </row>
    <row r="89">
      <c r="C89" s="58"/>
      <c r="D89" s="58"/>
      <c r="E89" s="58"/>
      <c r="F89" s="58"/>
      <c r="O89" s="110"/>
      <c r="P89" s="110"/>
      <c r="Q89" s="110"/>
    </row>
    <row r="90">
      <c r="C90" s="58"/>
      <c r="D90" s="58"/>
      <c r="E90" s="58"/>
      <c r="F90" s="58"/>
      <c r="O90" s="110"/>
      <c r="P90" s="110"/>
      <c r="Q90" s="110"/>
    </row>
    <row r="91">
      <c r="C91" s="58"/>
      <c r="D91" s="58"/>
      <c r="E91" s="58"/>
      <c r="F91" s="58"/>
      <c r="O91" s="110"/>
      <c r="P91" s="110"/>
      <c r="Q91" s="110"/>
    </row>
    <row r="92">
      <c r="C92" s="58"/>
      <c r="D92" s="58"/>
      <c r="E92" s="58"/>
      <c r="F92" s="58"/>
      <c r="O92" s="110"/>
      <c r="P92" s="110"/>
      <c r="Q92" s="110"/>
    </row>
    <row r="93">
      <c r="C93" s="58"/>
      <c r="D93" s="58"/>
      <c r="E93" s="58"/>
      <c r="F93" s="58"/>
      <c r="O93" s="110"/>
      <c r="P93" s="110"/>
      <c r="Q93" s="110"/>
    </row>
    <row r="94">
      <c r="C94" s="58"/>
      <c r="D94" s="58"/>
      <c r="E94" s="58"/>
      <c r="F94" s="58"/>
      <c r="O94" s="110"/>
      <c r="P94" s="110"/>
      <c r="Q94" s="110"/>
    </row>
    <row r="95">
      <c r="C95" s="58"/>
      <c r="D95" s="58"/>
      <c r="E95" s="58"/>
      <c r="F95" s="58"/>
      <c r="O95" s="110"/>
      <c r="P95" s="110"/>
      <c r="Q95" s="110"/>
    </row>
    <row r="96">
      <c r="C96" s="58"/>
      <c r="D96" s="58"/>
      <c r="E96" s="58"/>
      <c r="F96" s="58"/>
      <c r="O96" s="110"/>
      <c r="P96" s="110"/>
      <c r="Q96" s="110"/>
    </row>
    <row r="97">
      <c r="C97" s="58"/>
      <c r="D97" s="58"/>
      <c r="E97" s="58"/>
      <c r="F97" s="58"/>
      <c r="O97" s="110"/>
      <c r="P97" s="110"/>
      <c r="Q97" s="110"/>
    </row>
    <row r="98">
      <c r="C98" s="58"/>
      <c r="D98" s="58"/>
      <c r="E98" s="58"/>
      <c r="F98" s="58"/>
      <c r="O98" s="110"/>
      <c r="P98" s="110"/>
      <c r="Q98" s="110"/>
    </row>
    <row r="99">
      <c r="C99" s="58"/>
      <c r="D99" s="58"/>
      <c r="E99" s="58"/>
      <c r="F99" s="58"/>
      <c r="O99" s="110"/>
      <c r="P99" s="110"/>
      <c r="Q99" s="110"/>
    </row>
    <row r="100">
      <c r="C100" s="58"/>
      <c r="D100" s="58"/>
      <c r="E100" s="58"/>
      <c r="F100" s="58"/>
      <c r="O100" s="110"/>
      <c r="P100" s="110"/>
      <c r="Q100" s="110"/>
    </row>
    <row r="101">
      <c r="C101" s="58"/>
      <c r="D101" s="58"/>
      <c r="E101" s="58"/>
      <c r="F101" s="58"/>
      <c r="O101" s="110"/>
      <c r="P101" s="110"/>
      <c r="Q101" s="110"/>
    </row>
    <row r="102">
      <c r="C102" s="58"/>
      <c r="D102" s="58"/>
      <c r="E102" s="58"/>
      <c r="F102" s="58"/>
      <c r="O102" s="110"/>
      <c r="P102" s="110"/>
      <c r="Q102" s="110"/>
    </row>
    <row r="103">
      <c r="C103" s="58"/>
      <c r="D103" s="58"/>
      <c r="E103" s="58"/>
      <c r="F103" s="58"/>
      <c r="O103" s="110"/>
      <c r="P103" s="110"/>
      <c r="Q103" s="110"/>
    </row>
    <row r="104">
      <c r="C104" s="58"/>
      <c r="D104" s="58"/>
      <c r="E104" s="58"/>
      <c r="F104" s="58"/>
      <c r="O104" s="110"/>
      <c r="P104" s="110"/>
      <c r="Q104" s="110"/>
    </row>
    <row r="105">
      <c r="C105" s="58"/>
      <c r="D105" s="58"/>
      <c r="E105" s="58"/>
      <c r="F105" s="58"/>
      <c r="O105" s="110"/>
      <c r="P105" s="110"/>
      <c r="Q105" s="110"/>
    </row>
    <row r="106">
      <c r="C106" s="58"/>
      <c r="D106" s="58"/>
      <c r="E106" s="58"/>
      <c r="F106" s="58"/>
      <c r="O106" s="110"/>
      <c r="P106" s="110"/>
      <c r="Q106" s="110"/>
    </row>
    <row r="107">
      <c r="C107" s="58"/>
      <c r="D107" s="58"/>
      <c r="E107" s="58"/>
      <c r="F107" s="58"/>
      <c r="O107" s="110"/>
      <c r="P107" s="110"/>
      <c r="Q107" s="110"/>
    </row>
    <row r="108">
      <c r="C108" s="58"/>
      <c r="D108" s="58"/>
      <c r="E108" s="58"/>
      <c r="F108" s="58"/>
      <c r="O108" s="110"/>
      <c r="P108" s="110"/>
      <c r="Q108" s="110"/>
    </row>
    <row r="109">
      <c r="C109" s="58"/>
      <c r="D109" s="58"/>
      <c r="E109" s="58"/>
      <c r="F109" s="58"/>
      <c r="O109" s="110"/>
      <c r="P109" s="110"/>
      <c r="Q109" s="110"/>
    </row>
    <row r="110">
      <c r="C110" s="58"/>
      <c r="D110" s="58"/>
      <c r="E110" s="58"/>
      <c r="F110" s="58"/>
      <c r="O110" s="110"/>
      <c r="P110" s="110"/>
      <c r="Q110" s="110"/>
    </row>
    <row r="111">
      <c r="C111" s="58"/>
      <c r="D111" s="58"/>
      <c r="E111" s="58"/>
      <c r="F111" s="58"/>
      <c r="O111" s="110"/>
      <c r="P111" s="110"/>
      <c r="Q111" s="110"/>
    </row>
    <row r="112">
      <c r="C112" s="58"/>
      <c r="D112" s="58"/>
      <c r="E112" s="58"/>
      <c r="F112" s="58"/>
      <c r="O112" s="110"/>
      <c r="P112" s="110"/>
      <c r="Q112" s="110"/>
    </row>
    <row r="113">
      <c r="C113" s="58"/>
      <c r="D113" s="58"/>
      <c r="E113" s="58"/>
      <c r="F113" s="58"/>
      <c r="O113" s="110"/>
      <c r="P113" s="110"/>
      <c r="Q113" s="110"/>
    </row>
    <row r="114">
      <c r="C114" s="58"/>
      <c r="D114" s="58"/>
      <c r="E114" s="58"/>
      <c r="F114" s="58"/>
      <c r="O114" s="110"/>
      <c r="P114" s="110"/>
      <c r="Q114" s="110"/>
    </row>
    <row r="115">
      <c r="C115" s="58"/>
      <c r="D115" s="58"/>
      <c r="E115" s="58"/>
      <c r="F115" s="58"/>
      <c r="O115" s="110"/>
      <c r="P115" s="110"/>
      <c r="Q115" s="110"/>
    </row>
    <row r="116">
      <c r="C116" s="58"/>
      <c r="D116" s="58"/>
      <c r="E116" s="58"/>
      <c r="F116" s="58"/>
      <c r="O116" s="110"/>
      <c r="P116" s="110"/>
      <c r="Q116" s="110"/>
    </row>
    <row r="117">
      <c r="C117" s="58"/>
      <c r="D117" s="58"/>
      <c r="E117" s="58"/>
      <c r="F117" s="58"/>
      <c r="O117" s="110"/>
      <c r="P117" s="110"/>
      <c r="Q117" s="110"/>
    </row>
    <row r="118">
      <c r="C118" s="58"/>
      <c r="D118" s="58"/>
      <c r="E118" s="58"/>
      <c r="F118" s="58"/>
      <c r="O118" s="110"/>
      <c r="P118" s="110"/>
      <c r="Q118" s="110"/>
    </row>
    <row r="119">
      <c r="C119" s="58"/>
      <c r="D119" s="58"/>
      <c r="E119" s="58"/>
      <c r="F119" s="58"/>
      <c r="O119" s="110"/>
      <c r="P119" s="110"/>
      <c r="Q119" s="110"/>
    </row>
    <row r="120">
      <c r="C120" s="58"/>
      <c r="D120" s="58"/>
      <c r="E120" s="58"/>
      <c r="F120" s="58"/>
      <c r="O120" s="110"/>
      <c r="P120" s="110"/>
      <c r="Q120" s="110"/>
    </row>
    <row r="121">
      <c r="C121" s="58"/>
      <c r="D121" s="58"/>
      <c r="E121" s="58"/>
      <c r="F121" s="58"/>
      <c r="O121" s="110"/>
      <c r="P121" s="110"/>
      <c r="Q121" s="110"/>
    </row>
    <row r="122">
      <c r="C122" s="58"/>
      <c r="D122" s="58"/>
      <c r="E122" s="58"/>
      <c r="F122" s="58"/>
      <c r="O122" s="110"/>
      <c r="P122" s="110"/>
      <c r="Q122" s="110"/>
    </row>
    <row r="123">
      <c r="C123" s="58"/>
      <c r="D123" s="58"/>
      <c r="E123" s="58"/>
      <c r="F123" s="58"/>
      <c r="O123" s="110"/>
      <c r="P123" s="110"/>
      <c r="Q123" s="110"/>
    </row>
    <row r="124">
      <c r="C124" s="58"/>
      <c r="D124" s="58"/>
      <c r="E124" s="58"/>
      <c r="F124" s="58"/>
      <c r="O124" s="110"/>
      <c r="P124" s="110"/>
      <c r="Q124" s="110"/>
    </row>
    <row r="125">
      <c r="C125" s="58"/>
      <c r="D125" s="58"/>
      <c r="E125" s="58"/>
      <c r="F125" s="58"/>
      <c r="O125" s="110"/>
      <c r="P125" s="110"/>
      <c r="Q125" s="110"/>
    </row>
    <row r="126">
      <c r="C126" s="58"/>
      <c r="D126" s="58"/>
      <c r="E126" s="58"/>
      <c r="F126" s="58"/>
      <c r="O126" s="110"/>
      <c r="P126" s="110"/>
      <c r="Q126" s="110"/>
    </row>
    <row r="127">
      <c r="C127" s="58"/>
      <c r="D127" s="58"/>
      <c r="E127" s="58"/>
      <c r="F127" s="58"/>
      <c r="O127" s="110"/>
      <c r="P127" s="110"/>
      <c r="Q127" s="110"/>
    </row>
    <row r="128">
      <c r="C128" s="58"/>
      <c r="D128" s="58"/>
      <c r="E128" s="58"/>
      <c r="F128" s="58"/>
      <c r="O128" s="110"/>
      <c r="P128" s="110"/>
      <c r="Q128" s="110"/>
    </row>
    <row r="129">
      <c r="C129" s="58"/>
      <c r="D129" s="58"/>
      <c r="E129" s="58"/>
      <c r="F129" s="58"/>
      <c r="O129" s="110"/>
      <c r="P129" s="110"/>
      <c r="Q129" s="110"/>
    </row>
    <row r="130">
      <c r="C130" s="58"/>
      <c r="D130" s="58"/>
      <c r="E130" s="58"/>
      <c r="F130" s="58"/>
      <c r="O130" s="110"/>
      <c r="P130" s="110"/>
      <c r="Q130" s="110"/>
    </row>
    <row r="131">
      <c r="C131" s="58"/>
      <c r="D131" s="58"/>
      <c r="E131" s="58"/>
      <c r="F131" s="58"/>
      <c r="O131" s="110"/>
      <c r="P131" s="110"/>
      <c r="Q131" s="110"/>
    </row>
    <row r="132">
      <c r="C132" s="58"/>
      <c r="D132" s="58"/>
      <c r="E132" s="58"/>
      <c r="F132" s="58"/>
      <c r="O132" s="110"/>
      <c r="P132" s="110"/>
      <c r="Q132" s="110"/>
    </row>
    <row r="133">
      <c r="C133" s="58"/>
      <c r="D133" s="58"/>
      <c r="E133" s="58"/>
      <c r="F133" s="58"/>
      <c r="O133" s="110"/>
      <c r="P133" s="110"/>
      <c r="Q133" s="110"/>
    </row>
    <row r="134">
      <c r="C134" s="58"/>
      <c r="D134" s="58"/>
      <c r="E134" s="58"/>
      <c r="F134" s="58"/>
      <c r="O134" s="110"/>
      <c r="P134" s="110"/>
      <c r="Q134" s="110"/>
    </row>
    <row r="135">
      <c r="C135" s="58"/>
      <c r="D135" s="58"/>
      <c r="E135" s="58"/>
      <c r="F135" s="58"/>
      <c r="O135" s="110"/>
      <c r="P135" s="110"/>
      <c r="Q135" s="110"/>
    </row>
    <row r="136">
      <c r="C136" s="58"/>
      <c r="D136" s="58"/>
      <c r="E136" s="58"/>
      <c r="F136" s="58"/>
      <c r="O136" s="110"/>
      <c r="P136" s="110"/>
      <c r="Q136" s="110"/>
    </row>
    <row r="137">
      <c r="C137" s="58"/>
      <c r="D137" s="58"/>
      <c r="E137" s="58"/>
      <c r="F137" s="58"/>
      <c r="O137" s="110"/>
      <c r="P137" s="110"/>
      <c r="Q137" s="110"/>
    </row>
    <row r="138">
      <c r="C138" s="58"/>
      <c r="D138" s="58"/>
      <c r="E138" s="58"/>
      <c r="F138" s="58"/>
      <c r="O138" s="110"/>
      <c r="P138" s="110"/>
      <c r="Q138" s="110"/>
    </row>
    <row r="139">
      <c r="C139" s="58"/>
      <c r="D139" s="58"/>
      <c r="E139" s="58"/>
      <c r="F139" s="58"/>
      <c r="O139" s="110"/>
      <c r="P139" s="110"/>
      <c r="Q139" s="110"/>
    </row>
    <row r="140">
      <c r="C140" s="58"/>
      <c r="D140" s="58"/>
      <c r="E140" s="58"/>
      <c r="F140" s="58"/>
      <c r="O140" s="110"/>
      <c r="P140" s="110"/>
      <c r="Q140" s="110"/>
    </row>
    <row r="141">
      <c r="C141" s="58"/>
      <c r="D141" s="58"/>
      <c r="E141" s="58"/>
      <c r="F141" s="58"/>
      <c r="O141" s="110"/>
      <c r="P141" s="110"/>
      <c r="Q141" s="110"/>
    </row>
    <row r="142">
      <c r="C142" s="58"/>
      <c r="D142" s="58"/>
      <c r="E142" s="58"/>
      <c r="F142" s="58"/>
      <c r="O142" s="110"/>
      <c r="P142" s="110"/>
      <c r="Q142" s="110"/>
    </row>
    <row r="143">
      <c r="C143" s="58"/>
      <c r="D143" s="58"/>
      <c r="E143" s="58"/>
      <c r="F143" s="58"/>
      <c r="O143" s="110"/>
      <c r="P143" s="110"/>
      <c r="Q143" s="110"/>
    </row>
    <row r="144">
      <c r="C144" s="58"/>
      <c r="D144" s="58"/>
      <c r="E144" s="58"/>
      <c r="F144" s="58"/>
      <c r="O144" s="110"/>
      <c r="P144" s="110"/>
      <c r="Q144" s="110"/>
    </row>
    <row r="145">
      <c r="C145" s="58"/>
      <c r="D145" s="58"/>
      <c r="E145" s="58"/>
      <c r="F145" s="58"/>
      <c r="O145" s="110"/>
      <c r="P145" s="110"/>
      <c r="Q145" s="110"/>
    </row>
    <row r="146">
      <c r="C146" s="58"/>
      <c r="D146" s="58"/>
      <c r="E146" s="58"/>
      <c r="F146" s="58"/>
      <c r="O146" s="110"/>
      <c r="P146" s="110"/>
      <c r="Q146" s="110"/>
    </row>
    <row r="147">
      <c r="C147" s="58"/>
      <c r="D147" s="58"/>
      <c r="E147" s="58"/>
      <c r="F147" s="58"/>
      <c r="O147" s="110"/>
      <c r="P147" s="110"/>
      <c r="Q147" s="110"/>
    </row>
    <row r="148">
      <c r="C148" s="58"/>
      <c r="D148" s="58"/>
      <c r="E148" s="58"/>
      <c r="F148" s="58"/>
      <c r="O148" s="110"/>
      <c r="P148" s="110"/>
      <c r="Q148" s="110"/>
    </row>
    <row r="149">
      <c r="C149" s="58"/>
      <c r="D149" s="58"/>
      <c r="E149" s="58"/>
      <c r="F149" s="58"/>
      <c r="O149" s="110"/>
      <c r="P149" s="110"/>
      <c r="Q149" s="110"/>
    </row>
    <row r="150">
      <c r="C150" s="58"/>
      <c r="D150" s="58"/>
      <c r="E150" s="58"/>
      <c r="F150" s="58"/>
      <c r="O150" s="110"/>
      <c r="P150" s="110"/>
      <c r="Q150" s="110"/>
    </row>
    <row r="151">
      <c r="C151" s="58"/>
      <c r="D151" s="58"/>
      <c r="E151" s="58"/>
      <c r="F151" s="58"/>
      <c r="O151" s="110"/>
      <c r="P151" s="110"/>
      <c r="Q151" s="110"/>
    </row>
    <row r="152">
      <c r="C152" s="58"/>
      <c r="D152" s="58"/>
      <c r="E152" s="58"/>
      <c r="F152" s="58"/>
      <c r="O152" s="110"/>
      <c r="P152" s="110"/>
      <c r="Q152" s="110"/>
    </row>
    <row r="153">
      <c r="C153" s="58"/>
      <c r="D153" s="58"/>
      <c r="E153" s="58"/>
      <c r="F153" s="58"/>
      <c r="O153" s="110"/>
      <c r="P153" s="110"/>
      <c r="Q153" s="110"/>
    </row>
    <row r="154">
      <c r="C154" s="58"/>
      <c r="D154" s="58"/>
      <c r="E154" s="58"/>
      <c r="F154" s="58"/>
      <c r="O154" s="110"/>
      <c r="P154" s="110"/>
      <c r="Q154" s="110"/>
    </row>
    <row r="155">
      <c r="C155" s="58"/>
      <c r="D155" s="58"/>
      <c r="E155" s="58"/>
      <c r="F155" s="58"/>
      <c r="O155" s="110"/>
      <c r="P155" s="110"/>
      <c r="Q155" s="110"/>
    </row>
    <row r="156">
      <c r="C156" s="58"/>
      <c r="D156" s="58"/>
      <c r="E156" s="58"/>
      <c r="F156" s="58"/>
      <c r="O156" s="110"/>
      <c r="P156" s="110"/>
      <c r="Q156" s="110"/>
    </row>
    <row r="157">
      <c r="C157" s="58"/>
      <c r="D157" s="58"/>
      <c r="E157" s="58"/>
      <c r="F157" s="58"/>
      <c r="O157" s="110"/>
      <c r="P157" s="110"/>
      <c r="Q157" s="110"/>
    </row>
    <row r="158">
      <c r="C158" s="58"/>
      <c r="D158" s="58"/>
      <c r="E158" s="58"/>
      <c r="F158" s="58"/>
      <c r="O158" s="110"/>
      <c r="P158" s="110"/>
      <c r="Q158" s="110"/>
    </row>
    <row r="159">
      <c r="C159" s="58"/>
      <c r="D159" s="58"/>
      <c r="E159" s="58"/>
      <c r="F159" s="58"/>
      <c r="O159" s="110"/>
      <c r="P159" s="110"/>
      <c r="Q159" s="110"/>
    </row>
    <row r="160">
      <c r="C160" s="58"/>
      <c r="D160" s="58"/>
      <c r="E160" s="58"/>
      <c r="F160" s="58"/>
      <c r="O160" s="110"/>
      <c r="P160" s="110"/>
      <c r="Q160" s="110"/>
    </row>
    <row r="161">
      <c r="C161" s="58"/>
      <c r="D161" s="58"/>
      <c r="E161" s="58"/>
      <c r="F161" s="58"/>
      <c r="O161" s="110"/>
      <c r="P161" s="110"/>
      <c r="Q161" s="110"/>
    </row>
    <row r="162">
      <c r="C162" s="58"/>
      <c r="D162" s="58"/>
      <c r="E162" s="58"/>
      <c r="F162" s="58"/>
      <c r="O162" s="110"/>
      <c r="P162" s="110"/>
      <c r="Q162" s="110"/>
    </row>
    <row r="163">
      <c r="C163" s="58"/>
      <c r="D163" s="58"/>
      <c r="E163" s="58"/>
      <c r="F163" s="58"/>
      <c r="O163" s="110"/>
      <c r="P163" s="110"/>
      <c r="Q163" s="110"/>
    </row>
    <row r="164">
      <c r="C164" s="58"/>
      <c r="D164" s="58"/>
      <c r="E164" s="58"/>
      <c r="F164" s="58"/>
      <c r="O164" s="110"/>
      <c r="P164" s="110"/>
      <c r="Q164" s="110"/>
    </row>
    <row r="165">
      <c r="C165" s="58"/>
      <c r="D165" s="58"/>
      <c r="E165" s="58"/>
      <c r="F165" s="58"/>
      <c r="O165" s="110"/>
      <c r="P165" s="110"/>
      <c r="Q165" s="110"/>
    </row>
    <row r="166">
      <c r="C166" s="58"/>
      <c r="D166" s="58"/>
      <c r="E166" s="58"/>
      <c r="F166" s="58"/>
      <c r="O166" s="110"/>
      <c r="P166" s="110"/>
      <c r="Q166" s="110"/>
    </row>
    <row r="167">
      <c r="C167" s="58"/>
      <c r="D167" s="58"/>
      <c r="E167" s="58"/>
      <c r="F167" s="58"/>
      <c r="O167" s="110"/>
      <c r="P167" s="110"/>
      <c r="Q167" s="110"/>
    </row>
    <row r="168">
      <c r="C168" s="58"/>
      <c r="D168" s="58"/>
      <c r="E168" s="58"/>
      <c r="F168" s="58"/>
      <c r="O168" s="110"/>
      <c r="P168" s="110"/>
      <c r="Q168" s="110"/>
    </row>
    <row r="169">
      <c r="C169" s="58"/>
      <c r="D169" s="58"/>
      <c r="E169" s="58"/>
      <c r="F169" s="58"/>
      <c r="O169" s="110"/>
      <c r="P169" s="110"/>
      <c r="Q169" s="110"/>
    </row>
    <row r="170">
      <c r="C170" s="58"/>
      <c r="D170" s="58"/>
      <c r="E170" s="58"/>
      <c r="F170" s="58"/>
      <c r="O170" s="110"/>
      <c r="P170" s="110"/>
      <c r="Q170" s="110"/>
    </row>
    <row r="171">
      <c r="C171" s="58"/>
      <c r="D171" s="58"/>
      <c r="E171" s="58"/>
      <c r="F171" s="58"/>
      <c r="O171" s="110"/>
      <c r="P171" s="110"/>
      <c r="Q171" s="110"/>
    </row>
    <row r="172">
      <c r="C172" s="58"/>
      <c r="D172" s="58"/>
      <c r="E172" s="58"/>
      <c r="F172" s="58"/>
      <c r="O172" s="110"/>
      <c r="P172" s="110"/>
      <c r="Q172" s="110"/>
    </row>
    <row r="173">
      <c r="C173" s="58"/>
      <c r="D173" s="58"/>
      <c r="E173" s="58"/>
      <c r="F173" s="58"/>
      <c r="O173" s="110"/>
      <c r="P173" s="110"/>
      <c r="Q173" s="110"/>
    </row>
    <row r="174">
      <c r="C174" s="58"/>
      <c r="D174" s="58"/>
      <c r="E174" s="58"/>
      <c r="F174" s="58"/>
      <c r="O174" s="110"/>
      <c r="P174" s="110"/>
      <c r="Q174" s="110"/>
    </row>
    <row r="175">
      <c r="C175" s="58"/>
      <c r="D175" s="58"/>
      <c r="E175" s="58"/>
      <c r="F175" s="58"/>
      <c r="O175" s="110"/>
      <c r="P175" s="110"/>
      <c r="Q175" s="110"/>
    </row>
    <row r="176">
      <c r="C176" s="58"/>
      <c r="D176" s="58"/>
      <c r="E176" s="58"/>
      <c r="F176" s="58"/>
      <c r="O176" s="110"/>
      <c r="P176" s="110"/>
      <c r="Q176" s="110"/>
    </row>
    <row r="177">
      <c r="C177" s="58"/>
      <c r="D177" s="58"/>
      <c r="E177" s="58"/>
      <c r="F177" s="58"/>
      <c r="O177" s="110"/>
      <c r="P177" s="110"/>
      <c r="Q177" s="110"/>
    </row>
    <row r="178">
      <c r="C178" s="58"/>
      <c r="D178" s="58"/>
      <c r="E178" s="58"/>
      <c r="F178" s="58"/>
      <c r="O178" s="110"/>
      <c r="P178" s="110"/>
      <c r="Q178" s="110"/>
    </row>
    <row r="179">
      <c r="C179" s="58"/>
      <c r="D179" s="58"/>
      <c r="E179" s="58"/>
      <c r="F179" s="58"/>
      <c r="O179" s="110"/>
      <c r="P179" s="110"/>
      <c r="Q179" s="110"/>
    </row>
    <row r="180">
      <c r="C180" s="58"/>
      <c r="D180" s="58"/>
      <c r="E180" s="58"/>
      <c r="F180" s="58"/>
      <c r="O180" s="110"/>
      <c r="P180" s="110"/>
      <c r="Q180" s="110"/>
    </row>
    <row r="181">
      <c r="C181" s="58"/>
      <c r="D181" s="58"/>
      <c r="E181" s="58"/>
      <c r="F181" s="58"/>
      <c r="O181" s="110"/>
      <c r="P181" s="110"/>
      <c r="Q181" s="110"/>
    </row>
    <row r="182">
      <c r="C182" s="58"/>
      <c r="D182" s="58"/>
      <c r="E182" s="58"/>
      <c r="F182" s="58"/>
      <c r="O182" s="110"/>
      <c r="P182" s="110"/>
      <c r="Q182" s="110"/>
    </row>
    <row r="183">
      <c r="C183" s="58"/>
      <c r="D183" s="58"/>
      <c r="E183" s="58"/>
      <c r="F183" s="58"/>
      <c r="O183" s="110"/>
      <c r="P183" s="110"/>
      <c r="Q183" s="110"/>
    </row>
    <row r="184">
      <c r="C184" s="58"/>
      <c r="D184" s="58"/>
      <c r="E184" s="58"/>
      <c r="F184" s="58"/>
      <c r="O184" s="110"/>
      <c r="P184" s="110"/>
      <c r="Q184" s="110"/>
    </row>
    <row r="185">
      <c r="C185" s="58"/>
      <c r="D185" s="58"/>
      <c r="E185" s="58"/>
      <c r="F185" s="58"/>
      <c r="O185" s="110"/>
      <c r="P185" s="110"/>
      <c r="Q185" s="110"/>
    </row>
    <row r="186">
      <c r="C186" s="58"/>
      <c r="D186" s="58"/>
      <c r="E186" s="58"/>
      <c r="F186" s="58"/>
      <c r="O186" s="110"/>
      <c r="P186" s="110"/>
      <c r="Q186" s="110"/>
    </row>
    <row r="187">
      <c r="C187" s="58"/>
      <c r="D187" s="58"/>
      <c r="E187" s="58"/>
      <c r="F187" s="58"/>
      <c r="O187" s="110"/>
      <c r="P187" s="110"/>
      <c r="Q187" s="110"/>
    </row>
    <row r="188">
      <c r="C188" s="58"/>
      <c r="D188" s="58"/>
      <c r="E188" s="58"/>
      <c r="F188" s="58"/>
      <c r="O188" s="110"/>
      <c r="P188" s="110"/>
      <c r="Q188" s="110"/>
    </row>
    <row r="189">
      <c r="C189" s="58"/>
      <c r="D189" s="58"/>
      <c r="E189" s="58"/>
      <c r="F189" s="58"/>
      <c r="O189" s="110"/>
      <c r="P189" s="110"/>
      <c r="Q189" s="110"/>
    </row>
    <row r="190">
      <c r="C190" s="58"/>
      <c r="D190" s="58"/>
      <c r="E190" s="58"/>
      <c r="F190" s="58"/>
      <c r="O190" s="110"/>
      <c r="P190" s="110"/>
      <c r="Q190" s="110"/>
    </row>
    <row r="191">
      <c r="C191" s="58"/>
      <c r="D191" s="58"/>
      <c r="E191" s="58"/>
      <c r="F191" s="58"/>
      <c r="O191" s="110"/>
      <c r="P191" s="110"/>
      <c r="Q191" s="110"/>
    </row>
    <row r="192">
      <c r="C192" s="58"/>
      <c r="D192" s="58"/>
      <c r="E192" s="58"/>
      <c r="F192" s="58"/>
      <c r="O192" s="110"/>
      <c r="P192" s="110"/>
      <c r="Q192" s="110"/>
    </row>
    <row r="193">
      <c r="C193" s="58"/>
      <c r="D193" s="58"/>
      <c r="E193" s="58"/>
      <c r="F193" s="58"/>
      <c r="O193" s="110"/>
      <c r="P193" s="110"/>
      <c r="Q193" s="110"/>
    </row>
    <row r="194">
      <c r="C194" s="58"/>
      <c r="D194" s="58"/>
      <c r="E194" s="58"/>
      <c r="F194" s="58"/>
      <c r="O194" s="110"/>
      <c r="P194" s="110"/>
      <c r="Q194" s="110"/>
    </row>
    <row r="195">
      <c r="C195" s="58"/>
      <c r="D195" s="58"/>
      <c r="E195" s="58"/>
      <c r="F195" s="58"/>
      <c r="O195" s="110"/>
      <c r="P195" s="110"/>
      <c r="Q195" s="110"/>
    </row>
    <row r="196">
      <c r="C196" s="58"/>
      <c r="D196" s="58"/>
      <c r="E196" s="58"/>
      <c r="F196" s="58"/>
      <c r="O196" s="110"/>
      <c r="P196" s="110"/>
      <c r="Q196" s="110"/>
    </row>
    <row r="197">
      <c r="C197" s="58"/>
      <c r="D197" s="58"/>
      <c r="E197" s="58"/>
      <c r="F197" s="58"/>
      <c r="O197" s="110"/>
      <c r="P197" s="110"/>
      <c r="Q197" s="110"/>
    </row>
    <row r="198">
      <c r="C198" s="58"/>
      <c r="D198" s="58"/>
      <c r="E198" s="58"/>
      <c r="F198" s="58"/>
      <c r="O198" s="110"/>
      <c r="P198" s="110"/>
      <c r="Q198" s="110"/>
    </row>
    <row r="199">
      <c r="C199" s="58"/>
      <c r="D199" s="58"/>
      <c r="E199" s="58"/>
      <c r="F199" s="58"/>
      <c r="O199" s="110"/>
      <c r="P199" s="110"/>
      <c r="Q199" s="110"/>
    </row>
    <row r="200">
      <c r="C200" s="58"/>
      <c r="D200" s="58"/>
      <c r="E200" s="58"/>
      <c r="F200" s="58"/>
      <c r="O200" s="110"/>
      <c r="P200" s="110"/>
      <c r="Q200" s="110"/>
    </row>
    <row r="201">
      <c r="C201" s="58"/>
      <c r="D201" s="58"/>
      <c r="E201" s="58"/>
      <c r="F201" s="58"/>
      <c r="O201" s="110"/>
      <c r="P201" s="110"/>
      <c r="Q201" s="110"/>
    </row>
    <row r="202">
      <c r="C202" s="58"/>
      <c r="D202" s="58"/>
      <c r="E202" s="58"/>
      <c r="F202" s="58"/>
      <c r="O202" s="110"/>
      <c r="P202" s="110"/>
      <c r="Q202" s="110"/>
    </row>
    <row r="203">
      <c r="C203" s="58"/>
      <c r="D203" s="58"/>
      <c r="E203" s="58"/>
      <c r="F203" s="58"/>
      <c r="O203" s="110"/>
      <c r="P203" s="110"/>
      <c r="Q203" s="110"/>
    </row>
    <row r="204">
      <c r="C204" s="58"/>
      <c r="D204" s="58"/>
      <c r="E204" s="58"/>
      <c r="F204" s="58"/>
      <c r="O204" s="110"/>
      <c r="P204" s="110"/>
      <c r="Q204" s="110"/>
    </row>
    <row r="205">
      <c r="C205" s="58"/>
      <c r="D205" s="58"/>
      <c r="E205" s="58"/>
      <c r="F205" s="58"/>
      <c r="O205" s="110"/>
      <c r="P205" s="110"/>
      <c r="Q205" s="110"/>
    </row>
    <row r="206">
      <c r="C206" s="58"/>
      <c r="D206" s="58"/>
      <c r="E206" s="58"/>
      <c r="F206" s="58"/>
      <c r="O206" s="110"/>
      <c r="P206" s="110"/>
      <c r="Q206" s="110"/>
    </row>
    <row r="207">
      <c r="C207" s="58"/>
      <c r="D207" s="58"/>
      <c r="E207" s="58"/>
      <c r="F207" s="58"/>
      <c r="O207" s="110"/>
      <c r="P207" s="110"/>
      <c r="Q207" s="110"/>
    </row>
    <row r="208">
      <c r="C208" s="58"/>
      <c r="D208" s="58"/>
      <c r="E208" s="58"/>
      <c r="F208" s="58"/>
      <c r="O208" s="110"/>
      <c r="P208" s="110"/>
      <c r="Q208" s="110"/>
    </row>
    <row r="209">
      <c r="C209" s="58"/>
      <c r="D209" s="58"/>
      <c r="E209" s="58"/>
      <c r="F209" s="58"/>
      <c r="O209" s="110"/>
      <c r="P209" s="110"/>
      <c r="Q209" s="110"/>
    </row>
    <row r="210">
      <c r="C210" s="58"/>
      <c r="D210" s="58"/>
      <c r="E210" s="58"/>
      <c r="F210" s="58"/>
      <c r="O210" s="110"/>
      <c r="P210" s="110"/>
      <c r="Q210" s="110"/>
    </row>
    <row r="211">
      <c r="C211" s="58"/>
      <c r="D211" s="58"/>
      <c r="E211" s="58"/>
      <c r="F211" s="58"/>
      <c r="O211" s="110"/>
      <c r="P211" s="110"/>
      <c r="Q211" s="110"/>
    </row>
    <row r="212">
      <c r="C212" s="58"/>
      <c r="D212" s="58"/>
      <c r="E212" s="58"/>
      <c r="F212" s="58"/>
      <c r="O212" s="110"/>
      <c r="P212" s="110"/>
      <c r="Q212" s="110"/>
    </row>
    <row r="213">
      <c r="C213" s="58"/>
      <c r="D213" s="58"/>
      <c r="E213" s="58"/>
      <c r="F213" s="58"/>
      <c r="O213" s="110"/>
      <c r="P213" s="110"/>
      <c r="Q213" s="110"/>
    </row>
    <row r="214">
      <c r="C214" s="58"/>
      <c r="D214" s="58"/>
      <c r="E214" s="58"/>
      <c r="F214" s="58"/>
      <c r="O214" s="110"/>
      <c r="P214" s="110"/>
      <c r="Q214" s="110"/>
    </row>
    <row r="215">
      <c r="C215" s="58"/>
      <c r="D215" s="58"/>
      <c r="E215" s="58"/>
      <c r="F215" s="58"/>
      <c r="O215" s="110"/>
      <c r="P215" s="110"/>
      <c r="Q215" s="110"/>
    </row>
    <row r="216">
      <c r="C216" s="58"/>
      <c r="D216" s="58"/>
      <c r="E216" s="58"/>
      <c r="F216" s="58"/>
      <c r="O216" s="110"/>
      <c r="P216" s="110"/>
      <c r="Q216" s="110"/>
    </row>
    <row r="217">
      <c r="C217" s="58"/>
      <c r="D217" s="58"/>
      <c r="E217" s="58"/>
      <c r="F217" s="58"/>
      <c r="O217" s="110"/>
      <c r="P217" s="110"/>
      <c r="Q217" s="110"/>
    </row>
    <row r="218">
      <c r="C218" s="58"/>
      <c r="D218" s="58"/>
      <c r="E218" s="58"/>
      <c r="F218" s="58"/>
      <c r="O218" s="110"/>
      <c r="P218" s="110"/>
      <c r="Q218" s="110"/>
    </row>
    <row r="219">
      <c r="C219" s="58"/>
      <c r="D219" s="58"/>
      <c r="E219" s="58"/>
      <c r="F219" s="58"/>
      <c r="O219" s="110"/>
      <c r="P219" s="110"/>
      <c r="Q219" s="110"/>
    </row>
    <row r="220">
      <c r="C220" s="58"/>
      <c r="D220" s="58"/>
      <c r="E220" s="58"/>
      <c r="F220" s="58"/>
      <c r="O220" s="110"/>
      <c r="P220" s="110"/>
      <c r="Q220" s="110"/>
    </row>
    <row r="221">
      <c r="C221" s="58"/>
      <c r="D221" s="58"/>
      <c r="E221" s="58"/>
      <c r="F221" s="58"/>
      <c r="O221" s="110"/>
      <c r="P221" s="110"/>
      <c r="Q221" s="110"/>
    </row>
    <row r="222">
      <c r="C222" s="58"/>
      <c r="D222" s="58"/>
      <c r="E222" s="58"/>
      <c r="F222" s="58"/>
      <c r="O222" s="110"/>
      <c r="P222" s="110"/>
      <c r="Q222" s="110"/>
    </row>
    <row r="223">
      <c r="C223" s="58"/>
      <c r="D223" s="58"/>
      <c r="E223" s="58"/>
      <c r="F223" s="58"/>
      <c r="O223" s="110"/>
      <c r="P223" s="110"/>
      <c r="Q223" s="110"/>
    </row>
    <row r="224">
      <c r="C224" s="58"/>
      <c r="D224" s="58"/>
      <c r="E224" s="58"/>
      <c r="F224" s="58"/>
      <c r="O224" s="110"/>
      <c r="P224" s="110"/>
      <c r="Q224" s="110"/>
    </row>
    <row r="225">
      <c r="C225" s="58"/>
      <c r="D225" s="58"/>
      <c r="E225" s="58"/>
      <c r="F225" s="58"/>
      <c r="O225" s="110"/>
      <c r="P225" s="110"/>
      <c r="Q225" s="110"/>
    </row>
    <row r="226">
      <c r="C226" s="58"/>
      <c r="D226" s="58"/>
      <c r="E226" s="58"/>
      <c r="F226" s="58"/>
      <c r="O226" s="110"/>
      <c r="P226" s="110"/>
      <c r="Q226" s="110"/>
    </row>
    <row r="227">
      <c r="C227" s="58"/>
      <c r="D227" s="58"/>
      <c r="E227" s="58"/>
      <c r="F227" s="58"/>
      <c r="O227" s="110"/>
      <c r="P227" s="110"/>
      <c r="Q227" s="110"/>
    </row>
    <row r="228">
      <c r="C228" s="58"/>
      <c r="D228" s="58"/>
      <c r="E228" s="58"/>
      <c r="F228" s="58"/>
      <c r="O228" s="110"/>
      <c r="P228" s="110"/>
      <c r="Q228" s="110"/>
    </row>
    <row r="229">
      <c r="C229" s="58"/>
      <c r="D229" s="58"/>
      <c r="E229" s="58"/>
      <c r="F229" s="58"/>
      <c r="O229" s="110"/>
      <c r="P229" s="110"/>
      <c r="Q229" s="110"/>
    </row>
    <row r="230">
      <c r="C230" s="58"/>
      <c r="D230" s="58"/>
      <c r="E230" s="58"/>
      <c r="F230" s="58"/>
      <c r="O230" s="110"/>
      <c r="P230" s="110"/>
      <c r="Q230" s="110"/>
    </row>
    <row r="231">
      <c r="C231" s="58"/>
      <c r="D231" s="58"/>
      <c r="E231" s="58"/>
      <c r="F231" s="58"/>
      <c r="O231" s="110"/>
      <c r="P231" s="110"/>
      <c r="Q231" s="110"/>
    </row>
    <row r="232">
      <c r="C232" s="58"/>
      <c r="D232" s="58"/>
      <c r="E232" s="58"/>
      <c r="F232" s="58"/>
      <c r="O232" s="110"/>
      <c r="P232" s="110"/>
      <c r="Q232" s="110"/>
    </row>
    <row r="233">
      <c r="C233" s="58"/>
      <c r="D233" s="58"/>
      <c r="E233" s="58"/>
      <c r="F233" s="58"/>
      <c r="O233" s="110"/>
      <c r="P233" s="110"/>
      <c r="Q233" s="110"/>
    </row>
    <row r="234">
      <c r="C234" s="58"/>
      <c r="D234" s="58"/>
      <c r="E234" s="58"/>
      <c r="F234" s="58"/>
      <c r="O234" s="110"/>
      <c r="P234" s="110"/>
      <c r="Q234" s="110"/>
    </row>
    <row r="235">
      <c r="C235" s="58"/>
      <c r="D235" s="58"/>
      <c r="E235" s="58"/>
      <c r="F235" s="58"/>
      <c r="O235" s="110"/>
      <c r="P235" s="110"/>
      <c r="Q235" s="110"/>
    </row>
    <row r="236">
      <c r="C236" s="58"/>
      <c r="D236" s="58"/>
      <c r="E236" s="58"/>
      <c r="F236" s="58"/>
      <c r="O236" s="110"/>
      <c r="P236" s="110"/>
      <c r="Q236" s="110"/>
    </row>
    <row r="237">
      <c r="C237" s="58"/>
      <c r="D237" s="58"/>
      <c r="E237" s="58"/>
      <c r="F237" s="58"/>
      <c r="O237" s="110"/>
      <c r="P237" s="110"/>
      <c r="Q237" s="110"/>
    </row>
    <row r="238">
      <c r="C238" s="58"/>
      <c r="D238" s="58"/>
      <c r="E238" s="58"/>
      <c r="F238" s="58"/>
      <c r="O238" s="110"/>
      <c r="P238" s="110"/>
      <c r="Q238" s="110"/>
    </row>
    <row r="239">
      <c r="C239" s="58"/>
      <c r="D239" s="58"/>
      <c r="E239" s="58"/>
      <c r="F239" s="58"/>
      <c r="O239" s="110"/>
      <c r="P239" s="110"/>
      <c r="Q239" s="110"/>
    </row>
    <row r="240">
      <c r="C240" s="58"/>
      <c r="D240" s="58"/>
      <c r="E240" s="58"/>
      <c r="F240" s="58"/>
      <c r="O240" s="110"/>
      <c r="P240" s="110"/>
      <c r="Q240" s="110"/>
    </row>
    <row r="241">
      <c r="C241" s="58"/>
      <c r="D241" s="58"/>
      <c r="E241" s="58"/>
      <c r="F241" s="58"/>
      <c r="O241" s="110"/>
      <c r="P241" s="110"/>
      <c r="Q241" s="110"/>
    </row>
    <row r="242">
      <c r="C242" s="58"/>
      <c r="D242" s="58"/>
      <c r="E242" s="58"/>
      <c r="F242" s="58"/>
      <c r="O242" s="110"/>
      <c r="P242" s="110"/>
      <c r="Q242" s="110"/>
    </row>
    <row r="243">
      <c r="C243" s="58"/>
      <c r="D243" s="58"/>
      <c r="E243" s="58"/>
      <c r="F243" s="58"/>
      <c r="O243" s="110"/>
      <c r="P243" s="110"/>
      <c r="Q243" s="110"/>
    </row>
    <row r="244">
      <c r="C244" s="58"/>
      <c r="D244" s="58"/>
      <c r="E244" s="58"/>
      <c r="F244" s="58"/>
      <c r="O244" s="110"/>
      <c r="P244" s="110"/>
      <c r="Q244" s="110"/>
    </row>
    <row r="245">
      <c r="C245" s="58"/>
      <c r="D245" s="58"/>
      <c r="E245" s="58"/>
      <c r="F245" s="58"/>
      <c r="O245" s="110"/>
      <c r="P245" s="110"/>
      <c r="Q245" s="110"/>
    </row>
    <row r="246">
      <c r="C246" s="58"/>
      <c r="D246" s="58"/>
      <c r="E246" s="58"/>
      <c r="F246" s="58"/>
      <c r="O246" s="110"/>
      <c r="P246" s="110"/>
      <c r="Q246" s="110"/>
    </row>
    <row r="247">
      <c r="C247" s="58"/>
      <c r="D247" s="58"/>
      <c r="E247" s="58"/>
      <c r="F247" s="58"/>
      <c r="O247" s="110"/>
      <c r="P247" s="110"/>
      <c r="Q247" s="110"/>
    </row>
    <row r="248">
      <c r="C248" s="58"/>
      <c r="D248" s="58"/>
      <c r="E248" s="58"/>
      <c r="F248" s="58"/>
      <c r="O248" s="110"/>
      <c r="P248" s="110"/>
      <c r="Q248" s="110"/>
    </row>
    <row r="249">
      <c r="C249" s="58"/>
      <c r="D249" s="58"/>
      <c r="E249" s="58"/>
      <c r="F249" s="58"/>
      <c r="O249" s="110"/>
      <c r="P249" s="110"/>
      <c r="Q249" s="110"/>
    </row>
    <row r="250">
      <c r="C250" s="58"/>
      <c r="D250" s="58"/>
      <c r="E250" s="58"/>
      <c r="F250" s="58"/>
      <c r="O250" s="110"/>
      <c r="P250" s="110"/>
      <c r="Q250" s="110"/>
    </row>
    <row r="251">
      <c r="C251" s="58"/>
      <c r="D251" s="58"/>
      <c r="E251" s="58"/>
      <c r="F251" s="58"/>
      <c r="O251" s="110"/>
      <c r="P251" s="110"/>
      <c r="Q251" s="110"/>
    </row>
    <row r="252">
      <c r="C252" s="58"/>
      <c r="D252" s="58"/>
      <c r="E252" s="58"/>
      <c r="F252" s="58"/>
      <c r="O252" s="110"/>
      <c r="P252" s="110"/>
      <c r="Q252" s="110"/>
    </row>
    <row r="253">
      <c r="C253" s="58"/>
      <c r="D253" s="58"/>
      <c r="E253" s="58"/>
      <c r="F253" s="58"/>
      <c r="O253" s="110"/>
      <c r="P253" s="110"/>
      <c r="Q253" s="110"/>
    </row>
    <row r="254">
      <c r="C254" s="58"/>
      <c r="D254" s="58"/>
      <c r="E254" s="58"/>
      <c r="F254" s="58"/>
      <c r="O254" s="110"/>
      <c r="P254" s="110"/>
      <c r="Q254" s="110"/>
    </row>
    <row r="255">
      <c r="C255" s="58"/>
      <c r="D255" s="58"/>
      <c r="E255" s="58"/>
      <c r="F255" s="58"/>
      <c r="O255" s="110"/>
      <c r="P255" s="110"/>
      <c r="Q255" s="110"/>
    </row>
    <row r="256">
      <c r="C256" s="58"/>
      <c r="D256" s="58"/>
      <c r="E256" s="58"/>
      <c r="F256" s="58"/>
      <c r="O256" s="110"/>
      <c r="P256" s="110"/>
      <c r="Q256" s="110"/>
    </row>
    <row r="257">
      <c r="C257" s="58"/>
      <c r="D257" s="58"/>
      <c r="E257" s="58"/>
      <c r="F257" s="58"/>
      <c r="O257" s="110"/>
      <c r="P257" s="110"/>
      <c r="Q257" s="110"/>
    </row>
    <row r="258">
      <c r="C258" s="58"/>
      <c r="D258" s="58"/>
      <c r="E258" s="58"/>
      <c r="F258" s="58"/>
      <c r="O258" s="110"/>
      <c r="P258" s="110"/>
      <c r="Q258" s="110"/>
    </row>
    <row r="259">
      <c r="C259" s="58"/>
      <c r="D259" s="58"/>
      <c r="E259" s="58"/>
      <c r="F259" s="58"/>
      <c r="O259" s="110"/>
      <c r="P259" s="110"/>
      <c r="Q259" s="110"/>
    </row>
    <row r="260">
      <c r="C260" s="58"/>
      <c r="D260" s="58"/>
      <c r="E260" s="58"/>
      <c r="F260" s="58"/>
      <c r="O260" s="110"/>
      <c r="P260" s="110"/>
      <c r="Q260" s="110"/>
    </row>
    <row r="261">
      <c r="C261" s="58"/>
      <c r="D261" s="58"/>
      <c r="E261" s="58"/>
      <c r="F261" s="58"/>
      <c r="O261" s="110"/>
      <c r="P261" s="110"/>
      <c r="Q261" s="110"/>
    </row>
    <row r="262">
      <c r="C262" s="58"/>
      <c r="D262" s="58"/>
      <c r="E262" s="58"/>
      <c r="F262" s="58"/>
      <c r="O262" s="110"/>
      <c r="P262" s="110"/>
      <c r="Q262" s="110"/>
    </row>
    <row r="263">
      <c r="C263" s="58"/>
      <c r="D263" s="58"/>
      <c r="E263" s="58"/>
      <c r="F263" s="58"/>
      <c r="O263" s="110"/>
      <c r="P263" s="110"/>
      <c r="Q263" s="110"/>
    </row>
    <row r="264">
      <c r="C264" s="58"/>
      <c r="D264" s="58"/>
      <c r="E264" s="58"/>
      <c r="F264" s="58"/>
      <c r="O264" s="110"/>
      <c r="P264" s="110"/>
      <c r="Q264" s="110"/>
    </row>
    <row r="265">
      <c r="C265" s="58"/>
      <c r="D265" s="58"/>
      <c r="E265" s="58"/>
      <c r="F265" s="58"/>
      <c r="O265" s="110"/>
      <c r="P265" s="110"/>
      <c r="Q265" s="110"/>
    </row>
    <row r="266">
      <c r="C266" s="58"/>
      <c r="D266" s="58"/>
      <c r="E266" s="58"/>
      <c r="F266" s="58"/>
      <c r="O266" s="110"/>
      <c r="P266" s="110"/>
      <c r="Q266" s="110"/>
    </row>
    <row r="267">
      <c r="C267" s="58"/>
      <c r="D267" s="58"/>
      <c r="E267" s="58"/>
      <c r="F267" s="58"/>
      <c r="O267" s="110"/>
      <c r="P267" s="110"/>
      <c r="Q267" s="110"/>
    </row>
    <row r="268">
      <c r="C268" s="58"/>
      <c r="D268" s="58"/>
      <c r="E268" s="58"/>
      <c r="F268" s="58"/>
      <c r="O268" s="110"/>
      <c r="P268" s="110"/>
      <c r="Q268" s="110"/>
    </row>
    <row r="269">
      <c r="C269" s="58"/>
      <c r="D269" s="58"/>
      <c r="E269" s="58"/>
      <c r="F269" s="58"/>
      <c r="O269" s="110"/>
      <c r="P269" s="110"/>
      <c r="Q269" s="110"/>
    </row>
    <row r="270">
      <c r="C270" s="58"/>
      <c r="D270" s="58"/>
      <c r="E270" s="58"/>
      <c r="F270" s="58"/>
      <c r="O270" s="110"/>
      <c r="P270" s="110"/>
      <c r="Q270" s="110"/>
    </row>
    <row r="271">
      <c r="C271" s="58"/>
      <c r="D271" s="58"/>
      <c r="E271" s="58"/>
      <c r="F271" s="58"/>
      <c r="O271" s="110"/>
      <c r="P271" s="110"/>
      <c r="Q271" s="110"/>
    </row>
    <row r="272">
      <c r="C272" s="58"/>
      <c r="D272" s="58"/>
      <c r="E272" s="58"/>
      <c r="F272" s="58"/>
      <c r="O272" s="110"/>
      <c r="P272" s="110"/>
      <c r="Q272" s="110"/>
    </row>
    <row r="273">
      <c r="C273" s="58"/>
      <c r="D273" s="58"/>
      <c r="E273" s="58"/>
      <c r="F273" s="58"/>
      <c r="O273" s="110"/>
      <c r="P273" s="110"/>
      <c r="Q273" s="110"/>
    </row>
    <row r="274">
      <c r="C274" s="58"/>
      <c r="D274" s="58"/>
      <c r="E274" s="58"/>
      <c r="F274" s="58"/>
      <c r="O274" s="110"/>
      <c r="P274" s="110"/>
      <c r="Q274" s="110"/>
    </row>
    <row r="275">
      <c r="C275" s="58"/>
      <c r="D275" s="58"/>
      <c r="E275" s="58"/>
      <c r="F275" s="58"/>
      <c r="O275" s="110"/>
      <c r="P275" s="110"/>
      <c r="Q275" s="110"/>
    </row>
    <row r="276">
      <c r="C276" s="58"/>
      <c r="D276" s="58"/>
      <c r="E276" s="58"/>
      <c r="F276" s="58"/>
      <c r="O276" s="110"/>
      <c r="P276" s="110"/>
      <c r="Q276" s="110"/>
    </row>
    <row r="277">
      <c r="C277" s="58"/>
      <c r="D277" s="58"/>
      <c r="E277" s="58"/>
      <c r="F277" s="58"/>
      <c r="O277" s="110"/>
      <c r="P277" s="110"/>
      <c r="Q277" s="110"/>
    </row>
    <row r="278">
      <c r="C278" s="58"/>
      <c r="D278" s="58"/>
      <c r="E278" s="58"/>
      <c r="F278" s="58"/>
      <c r="O278" s="110"/>
      <c r="P278" s="110"/>
      <c r="Q278" s="110"/>
    </row>
    <row r="279">
      <c r="C279" s="58"/>
      <c r="D279" s="58"/>
      <c r="E279" s="58"/>
      <c r="F279" s="58"/>
      <c r="O279" s="110"/>
      <c r="P279" s="110"/>
      <c r="Q279" s="110"/>
    </row>
    <row r="280">
      <c r="C280" s="58"/>
      <c r="D280" s="58"/>
      <c r="E280" s="58"/>
      <c r="F280" s="58"/>
      <c r="O280" s="110"/>
      <c r="P280" s="110"/>
      <c r="Q280" s="110"/>
    </row>
    <row r="281">
      <c r="C281" s="58"/>
      <c r="D281" s="58"/>
      <c r="E281" s="58"/>
      <c r="F281" s="58"/>
      <c r="O281" s="110"/>
      <c r="P281" s="110"/>
      <c r="Q281" s="110"/>
    </row>
    <row r="282">
      <c r="C282" s="58"/>
      <c r="D282" s="58"/>
      <c r="E282" s="58"/>
      <c r="F282" s="58"/>
      <c r="O282" s="110"/>
      <c r="P282" s="110"/>
      <c r="Q282" s="110"/>
    </row>
    <row r="283">
      <c r="C283" s="58"/>
      <c r="D283" s="58"/>
      <c r="E283" s="58"/>
      <c r="F283" s="58"/>
      <c r="O283" s="110"/>
      <c r="P283" s="110"/>
      <c r="Q283" s="110"/>
    </row>
    <row r="284">
      <c r="C284" s="58"/>
      <c r="D284" s="58"/>
      <c r="E284" s="58"/>
      <c r="F284" s="58"/>
      <c r="O284" s="110"/>
      <c r="P284" s="110"/>
      <c r="Q284" s="110"/>
    </row>
    <row r="285">
      <c r="C285" s="58"/>
      <c r="D285" s="58"/>
      <c r="E285" s="58"/>
      <c r="F285" s="58"/>
      <c r="O285" s="110"/>
      <c r="P285" s="110"/>
      <c r="Q285" s="110"/>
    </row>
    <row r="286">
      <c r="C286" s="58"/>
      <c r="D286" s="58"/>
      <c r="E286" s="58"/>
      <c r="F286" s="58"/>
      <c r="O286" s="110"/>
      <c r="P286" s="110"/>
      <c r="Q286" s="110"/>
    </row>
    <row r="287">
      <c r="C287" s="58"/>
      <c r="D287" s="58"/>
      <c r="E287" s="58"/>
      <c r="F287" s="58"/>
      <c r="O287" s="110"/>
      <c r="P287" s="110"/>
      <c r="Q287" s="110"/>
    </row>
    <row r="288">
      <c r="C288" s="58"/>
      <c r="D288" s="58"/>
      <c r="E288" s="58"/>
      <c r="F288" s="58"/>
      <c r="O288" s="110"/>
      <c r="P288" s="110"/>
      <c r="Q288" s="110"/>
    </row>
    <row r="289">
      <c r="C289" s="58"/>
      <c r="D289" s="58"/>
      <c r="E289" s="58"/>
      <c r="F289" s="58"/>
      <c r="O289" s="110"/>
      <c r="P289" s="110"/>
      <c r="Q289" s="110"/>
    </row>
    <row r="290">
      <c r="C290" s="58"/>
      <c r="D290" s="58"/>
      <c r="E290" s="58"/>
      <c r="F290" s="58"/>
      <c r="O290" s="110"/>
      <c r="P290" s="110"/>
      <c r="Q290" s="110"/>
    </row>
    <row r="291">
      <c r="C291" s="58"/>
      <c r="D291" s="58"/>
      <c r="E291" s="58"/>
      <c r="F291" s="58"/>
      <c r="O291" s="110"/>
      <c r="P291" s="110"/>
      <c r="Q291" s="110"/>
    </row>
    <row r="292">
      <c r="C292" s="58"/>
      <c r="D292" s="58"/>
      <c r="E292" s="58"/>
      <c r="F292" s="58"/>
      <c r="O292" s="110"/>
      <c r="P292" s="110"/>
      <c r="Q292" s="110"/>
    </row>
    <row r="293">
      <c r="C293" s="58"/>
      <c r="D293" s="58"/>
      <c r="E293" s="58"/>
      <c r="F293" s="58"/>
      <c r="O293" s="110"/>
      <c r="P293" s="110"/>
      <c r="Q293" s="110"/>
    </row>
    <row r="294">
      <c r="C294" s="58"/>
      <c r="D294" s="58"/>
      <c r="E294" s="58"/>
      <c r="F294" s="58"/>
      <c r="O294" s="110"/>
      <c r="P294" s="110"/>
      <c r="Q294" s="110"/>
    </row>
    <row r="295">
      <c r="C295" s="58"/>
      <c r="D295" s="58"/>
      <c r="E295" s="58"/>
      <c r="F295" s="58"/>
      <c r="O295" s="110"/>
      <c r="P295" s="110"/>
      <c r="Q295" s="110"/>
    </row>
    <row r="296">
      <c r="C296" s="58"/>
      <c r="D296" s="58"/>
      <c r="E296" s="58"/>
      <c r="F296" s="58"/>
      <c r="O296" s="110"/>
      <c r="P296" s="110"/>
      <c r="Q296" s="110"/>
    </row>
    <row r="297">
      <c r="C297" s="58"/>
      <c r="D297" s="58"/>
      <c r="E297" s="58"/>
      <c r="F297" s="58"/>
      <c r="O297" s="110"/>
      <c r="P297" s="110"/>
      <c r="Q297" s="110"/>
    </row>
    <row r="298">
      <c r="C298" s="58"/>
      <c r="D298" s="58"/>
      <c r="E298" s="58"/>
      <c r="F298" s="58"/>
      <c r="O298" s="110"/>
      <c r="P298" s="110"/>
      <c r="Q298" s="110"/>
    </row>
    <row r="299">
      <c r="C299" s="58"/>
      <c r="D299" s="58"/>
      <c r="E299" s="58"/>
      <c r="F299" s="58"/>
      <c r="O299" s="110"/>
      <c r="P299" s="110"/>
      <c r="Q299" s="110"/>
    </row>
    <row r="300">
      <c r="C300" s="58"/>
      <c r="D300" s="58"/>
      <c r="E300" s="58"/>
      <c r="F300" s="58"/>
      <c r="O300" s="110"/>
      <c r="P300" s="110"/>
      <c r="Q300" s="110"/>
    </row>
    <row r="301">
      <c r="C301" s="58"/>
      <c r="D301" s="58"/>
      <c r="E301" s="58"/>
      <c r="F301" s="58"/>
      <c r="O301" s="110"/>
      <c r="P301" s="110"/>
      <c r="Q301" s="110"/>
    </row>
    <row r="302">
      <c r="C302" s="58"/>
      <c r="D302" s="58"/>
      <c r="E302" s="58"/>
      <c r="F302" s="58"/>
      <c r="O302" s="110"/>
      <c r="P302" s="110"/>
      <c r="Q302" s="110"/>
    </row>
    <row r="303">
      <c r="C303" s="58"/>
      <c r="D303" s="58"/>
      <c r="E303" s="58"/>
      <c r="F303" s="58"/>
      <c r="O303" s="110"/>
      <c r="P303" s="110"/>
      <c r="Q303" s="110"/>
    </row>
    <row r="304">
      <c r="C304" s="58"/>
      <c r="D304" s="58"/>
      <c r="E304" s="58"/>
      <c r="F304" s="58"/>
      <c r="O304" s="110"/>
      <c r="P304" s="110"/>
      <c r="Q304" s="110"/>
    </row>
    <row r="305">
      <c r="C305" s="58"/>
      <c r="D305" s="58"/>
      <c r="E305" s="58"/>
      <c r="F305" s="58"/>
      <c r="O305" s="110"/>
      <c r="P305" s="110"/>
      <c r="Q305" s="110"/>
    </row>
    <row r="306">
      <c r="C306" s="58"/>
      <c r="D306" s="58"/>
      <c r="E306" s="58"/>
      <c r="F306" s="58"/>
      <c r="O306" s="110"/>
      <c r="P306" s="110"/>
      <c r="Q306" s="110"/>
    </row>
    <row r="307">
      <c r="C307" s="58"/>
      <c r="D307" s="58"/>
      <c r="E307" s="58"/>
      <c r="F307" s="58"/>
      <c r="O307" s="110"/>
      <c r="P307" s="110"/>
      <c r="Q307" s="110"/>
    </row>
    <row r="308">
      <c r="C308" s="58"/>
      <c r="D308" s="58"/>
      <c r="E308" s="58"/>
      <c r="F308" s="58"/>
      <c r="O308" s="110"/>
      <c r="P308" s="110"/>
      <c r="Q308" s="110"/>
    </row>
    <row r="309">
      <c r="C309" s="58"/>
      <c r="D309" s="58"/>
      <c r="E309" s="58"/>
      <c r="F309" s="58"/>
      <c r="O309" s="110"/>
      <c r="P309" s="110"/>
      <c r="Q309" s="110"/>
    </row>
    <row r="310">
      <c r="C310" s="58"/>
      <c r="D310" s="58"/>
      <c r="E310" s="58"/>
      <c r="F310" s="58"/>
      <c r="O310" s="110"/>
      <c r="P310" s="110"/>
      <c r="Q310" s="110"/>
    </row>
    <row r="311">
      <c r="C311" s="58"/>
      <c r="D311" s="58"/>
      <c r="E311" s="58"/>
      <c r="F311" s="58"/>
      <c r="O311" s="110"/>
      <c r="P311" s="110"/>
      <c r="Q311" s="110"/>
    </row>
    <row r="312">
      <c r="C312" s="58"/>
      <c r="D312" s="58"/>
      <c r="E312" s="58"/>
      <c r="F312" s="58"/>
      <c r="O312" s="110"/>
      <c r="P312" s="110"/>
      <c r="Q312" s="110"/>
    </row>
    <row r="313">
      <c r="C313" s="58"/>
      <c r="D313" s="58"/>
      <c r="E313" s="58"/>
      <c r="F313" s="58"/>
      <c r="O313" s="110"/>
      <c r="P313" s="110"/>
      <c r="Q313" s="110"/>
    </row>
    <row r="314">
      <c r="C314" s="58"/>
      <c r="D314" s="58"/>
      <c r="E314" s="58"/>
      <c r="F314" s="58"/>
      <c r="O314" s="110"/>
      <c r="P314" s="110"/>
      <c r="Q314" s="110"/>
    </row>
    <row r="315">
      <c r="C315" s="58"/>
      <c r="D315" s="58"/>
      <c r="E315" s="58"/>
      <c r="F315" s="58"/>
      <c r="O315" s="110"/>
      <c r="P315" s="110"/>
      <c r="Q315" s="110"/>
    </row>
    <row r="316">
      <c r="C316" s="58"/>
      <c r="D316" s="58"/>
      <c r="E316" s="58"/>
      <c r="F316" s="58"/>
      <c r="O316" s="110"/>
      <c r="P316" s="110"/>
      <c r="Q316" s="110"/>
    </row>
    <row r="317">
      <c r="C317" s="58"/>
      <c r="D317" s="58"/>
      <c r="E317" s="58"/>
      <c r="F317" s="58"/>
      <c r="O317" s="110"/>
      <c r="P317" s="110"/>
      <c r="Q317" s="110"/>
    </row>
    <row r="318">
      <c r="C318" s="58"/>
      <c r="D318" s="58"/>
      <c r="E318" s="58"/>
      <c r="F318" s="58"/>
      <c r="O318" s="110"/>
      <c r="P318" s="110"/>
      <c r="Q318" s="110"/>
    </row>
    <row r="319">
      <c r="C319" s="58"/>
      <c r="D319" s="58"/>
      <c r="E319" s="58"/>
      <c r="F319" s="58"/>
      <c r="O319" s="110"/>
      <c r="P319" s="110"/>
      <c r="Q319" s="110"/>
    </row>
    <row r="320">
      <c r="C320" s="58"/>
      <c r="D320" s="58"/>
      <c r="E320" s="58"/>
      <c r="F320" s="58"/>
      <c r="O320" s="110"/>
      <c r="P320" s="110"/>
      <c r="Q320" s="110"/>
    </row>
    <row r="321">
      <c r="C321" s="58"/>
      <c r="D321" s="58"/>
      <c r="E321" s="58"/>
      <c r="F321" s="58"/>
      <c r="O321" s="110"/>
      <c r="P321" s="110"/>
      <c r="Q321" s="110"/>
    </row>
    <row r="322">
      <c r="C322" s="58"/>
      <c r="D322" s="58"/>
      <c r="E322" s="58"/>
      <c r="F322" s="58"/>
      <c r="O322" s="110"/>
      <c r="P322" s="110"/>
      <c r="Q322" s="110"/>
    </row>
    <row r="323">
      <c r="C323" s="58"/>
      <c r="D323" s="58"/>
      <c r="E323" s="58"/>
      <c r="F323" s="58"/>
      <c r="O323" s="110"/>
      <c r="P323" s="110"/>
      <c r="Q323" s="110"/>
    </row>
    <row r="324">
      <c r="C324" s="58"/>
      <c r="D324" s="58"/>
      <c r="E324" s="58"/>
      <c r="F324" s="58"/>
      <c r="O324" s="110"/>
      <c r="P324" s="110"/>
      <c r="Q324" s="110"/>
    </row>
    <row r="325">
      <c r="C325" s="58"/>
      <c r="D325" s="58"/>
      <c r="E325" s="58"/>
      <c r="F325" s="58"/>
      <c r="O325" s="110"/>
      <c r="P325" s="110"/>
      <c r="Q325" s="110"/>
    </row>
    <row r="326">
      <c r="C326" s="58"/>
      <c r="D326" s="58"/>
      <c r="E326" s="58"/>
      <c r="F326" s="58"/>
      <c r="O326" s="110"/>
      <c r="P326" s="110"/>
      <c r="Q326" s="110"/>
    </row>
    <row r="327">
      <c r="C327" s="58"/>
      <c r="D327" s="58"/>
      <c r="E327" s="58"/>
      <c r="F327" s="58"/>
      <c r="O327" s="110"/>
      <c r="P327" s="110"/>
      <c r="Q327" s="110"/>
    </row>
    <row r="328">
      <c r="C328" s="58"/>
      <c r="D328" s="58"/>
      <c r="E328" s="58"/>
      <c r="F328" s="58"/>
      <c r="O328" s="110"/>
      <c r="P328" s="110"/>
      <c r="Q328" s="110"/>
    </row>
    <row r="329">
      <c r="C329" s="58"/>
      <c r="D329" s="58"/>
      <c r="E329" s="58"/>
      <c r="F329" s="58"/>
      <c r="O329" s="110"/>
      <c r="P329" s="110"/>
      <c r="Q329" s="110"/>
    </row>
    <row r="330">
      <c r="C330" s="58"/>
      <c r="D330" s="58"/>
      <c r="E330" s="58"/>
      <c r="F330" s="58"/>
      <c r="O330" s="110"/>
      <c r="P330" s="110"/>
      <c r="Q330" s="110"/>
    </row>
    <row r="331">
      <c r="C331" s="58"/>
      <c r="D331" s="58"/>
      <c r="E331" s="58"/>
      <c r="F331" s="58"/>
      <c r="O331" s="110"/>
      <c r="P331" s="110"/>
      <c r="Q331" s="110"/>
    </row>
    <row r="332">
      <c r="C332" s="58"/>
      <c r="D332" s="58"/>
      <c r="E332" s="58"/>
      <c r="F332" s="58"/>
      <c r="O332" s="110"/>
      <c r="P332" s="110"/>
      <c r="Q332" s="110"/>
    </row>
    <row r="333">
      <c r="C333" s="58"/>
      <c r="D333" s="58"/>
      <c r="E333" s="58"/>
      <c r="F333" s="58"/>
      <c r="O333" s="110"/>
      <c r="P333" s="110"/>
      <c r="Q333" s="110"/>
    </row>
    <row r="334">
      <c r="C334" s="58"/>
      <c r="D334" s="58"/>
      <c r="E334" s="58"/>
      <c r="F334" s="58"/>
      <c r="O334" s="110"/>
      <c r="P334" s="110"/>
      <c r="Q334" s="110"/>
    </row>
    <row r="335">
      <c r="C335" s="58"/>
      <c r="D335" s="58"/>
      <c r="E335" s="58"/>
      <c r="F335" s="58"/>
      <c r="O335" s="110"/>
      <c r="P335" s="110"/>
      <c r="Q335" s="110"/>
    </row>
    <row r="336">
      <c r="C336" s="58"/>
      <c r="D336" s="58"/>
      <c r="E336" s="58"/>
      <c r="F336" s="58"/>
      <c r="O336" s="110"/>
      <c r="P336" s="110"/>
      <c r="Q336" s="110"/>
    </row>
    <row r="337">
      <c r="C337" s="58"/>
      <c r="D337" s="58"/>
      <c r="E337" s="58"/>
      <c r="F337" s="58"/>
      <c r="O337" s="110"/>
      <c r="P337" s="110"/>
      <c r="Q337" s="110"/>
    </row>
    <row r="338">
      <c r="C338" s="58"/>
      <c r="D338" s="58"/>
      <c r="E338" s="58"/>
      <c r="F338" s="58"/>
      <c r="O338" s="110"/>
      <c r="P338" s="110"/>
      <c r="Q338" s="110"/>
    </row>
    <row r="339">
      <c r="C339" s="58"/>
      <c r="D339" s="58"/>
      <c r="E339" s="58"/>
      <c r="F339" s="58"/>
      <c r="O339" s="110"/>
      <c r="P339" s="110"/>
      <c r="Q339" s="110"/>
    </row>
    <row r="340">
      <c r="C340" s="58"/>
      <c r="D340" s="58"/>
      <c r="E340" s="58"/>
      <c r="F340" s="58"/>
      <c r="O340" s="110"/>
      <c r="P340" s="110"/>
      <c r="Q340" s="110"/>
    </row>
    <row r="341">
      <c r="C341" s="58"/>
      <c r="D341" s="58"/>
      <c r="E341" s="58"/>
      <c r="F341" s="58"/>
      <c r="O341" s="110"/>
      <c r="P341" s="110"/>
      <c r="Q341" s="110"/>
    </row>
    <row r="342">
      <c r="C342" s="58"/>
      <c r="D342" s="58"/>
      <c r="E342" s="58"/>
      <c r="F342" s="58"/>
      <c r="O342" s="110"/>
      <c r="P342" s="110"/>
      <c r="Q342" s="110"/>
    </row>
    <row r="343">
      <c r="C343" s="58"/>
      <c r="D343" s="58"/>
      <c r="E343" s="58"/>
      <c r="F343" s="58"/>
      <c r="O343" s="110"/>
      <c r="P343" s="110"/>
      <c r="Q343" s="110"/>
    </row>
    <row r="344">
      <c r="C344" s="58"/>
      <c r="D344" s="58"/>
      <c r="E344" s="58"/>
      <c r="F344" s="58"/>
      <c r="O344" s="110"/>
      <c r="P344" s="110"/>
      <c r="Q344" s="110"/>
    </row>
    <row r="345">
      <c r="C345" s="58"/>
      <c r="D345" s="58"/>
      <c r="E345" s="58"/>
      <c r="F345" s="58"/>
      <c r="O345" s="110"/>
      <c r="P345" s="110"/>
      <c r="Q345" s="110"/>
    </row>
    <row r="346">
      <c r="C346" s="58"/>
      <c r="D346" s="58"/>
      <c r="E346" s="58"/>
      <c r="F346" s="58"/>
      <c r="O346" s="110"/>
      <c r="P346" s="110"/>
      <c r="Q346" s="110"/>
    </row>
    <row r="347">
      <c r="C347" s="58"/>
      <c r="D347" s="58"/>
      <c r="E347" s="58"/>
      <c r="F347" s="58"/>
      <c r="O347" s="110"/>
      <c r="P347" s="110"/>
      <c r="Q347" s="110"/>
    </row>
    <row r="348">
      <c r="C348" s="58"/>
      <c r="D348" s="58"/>
      <c r="E348" s="58"/>
      <c r="F348" s="58"/>
      <c r="O348" s="110"/>
      <c r="P348" s="110"/>
      <c r="Q348" s="110"/>
    </row>
    <row r="349">
      <c r="C349" s="58"/>
      <c r="D349" s="58"/>
      <c r="E349" s="58"/>
      <c r="F349" s="58"/>
      <c r="O349" s="110"/>
      <c r="P349" s="110"/>
      <c r="Q349" s="110"/>
    </row>
    <row r="350">
      <c r="C350" s="58"/>
      <c r="D350" s="58"/>
      <c r="E350" s="58"/>
      <c r="F350" s="58"/>
      <c r="O350" s="110"/>
      <c r="P350" s="110"/>
      <c r="Q350" s="110"/>
    </row>
    <row r="351">
      <c r="C351" s="58"/>
      <c r="D351" s="58"/>
      <c r="E351" s="58"/>
      <c r="F351" s="58"/>
      <c r="O351" s="110"/>
      <c r="P351" s="110"/>
      <c r="Q351" s="110"/>
    </row>
    <row r="352">
      <c r="C352" s="58"/>
      <c r="D352" s="58"/>
      <c r="E352" s="58"/>
      <c r="F352" s="58"/>
      <c r="O352" s="110"/>
      <c r="P352" s="110"/>
      <c r="Q352" s="110"/>
    </row>
    <row r="353">
      <c r="C353" s="58"/>
      <c r="D353" s="58"/>
      <c r="E353" s="58"/>
      <c r="F353" s="58"/>
      <c r="O353" s="110"/>
      <c r="P353" s="110"/>
      <c r="Q353" s="110"/>
    </row>
    <row r="354">
      <c r="C354" s="58"/>
      <c r="D354" s="58"/>
      <c r="E354" s="58"/>
      <c r="F354" s="58"/>
      <c r="O354" s="110"/>
      <c r="P354" s="110"/>
      <c r="Q354" s="110"/>
    </row>
    <row r="355">
      <c r="C355" s="58"/>
      <c r="D355" s="58"/>
      <c r="E355" s="58"/>
      <c r="F355" s="58"/>
      <c r="O355" s="110"/>
      <c r="P355" s="110"/>
      <c r="Q355" s="110"/>
    </row>
    <row r="356">
      <c r="C356" s="58"/>
      <c r="D356" s="58"/>
      <c r="E356" s="58"/>
      <c r="F356" s="58"/>
      <c r="O356" s="110"/>
      <c r="P356" s="110"/>
      <c r="Q356" s="110"/>
    </row>
    <row r="357">
      <c r="C357" s="58"/>
      <c r="D357" s="58"/>
      <c r="E357" s="58"/>
      <c r="F357" s="58"/>
      <c r="O357" s="110"/>
      <c r="P357" s="110"/>
      <c r="Q357" s="110"/>
    </row>
    <row r="358">
      <c r="C358" s="58"/>
      <c r="D358" s="58"/>
      <c r="E358" s="58"/>
      <c r="F358" s="58"/>
      <c r="O358" s="110"/>
      <c r="P358" s="110"/>
      <c r="Q358" s="110"/>
    </row>
    <row r="359">
      <c r="C359" s="58"/>
      <c r="D359" s="58"/>
      <c r="E359" s="58"/>
      <c r="F359" s="58"/>
      <c r="O359" s="110"/>
      <c r="P359" s="110"/>
      <c r="Q359" s="110"/>
    </row>
    <row r="360">
      <c r="C360" s="58"/>
      <c r="D360" s="58"/>
      <c r="E360" s="58"/>
      <c r="F360" s="58"/>
      <c r="O360" s="110"/>
      <c r="P360" s="110"/>
      <c r="Q360" s="110"/>
    </row>
    <row r="361">
      <c r="C361" s="58"/>
      <c r="D361" s="58"/>
      <c r="E361" s="58"/>
      <c r="F361" s="58"/>
      <c r="O361" s="110"/>
      <c r="P361" s="110"/>
      <c r="Q361" s="110"/>
    </row>
    <row r="362">
      <c r="C362" s="58"/>
      <c r="D362" s="58"/>
      <c r="E362" s="58"/>
      <c r="F362" s="58"/>
      <c r="O362" s="110"/>
      <c r="P362" s="110"/>
      <c r="Q362" s="110"/>
    </row>
    <row r="363">
      <c r="C363" s="58"/>
      <c r="D363" s="58"/>
      <c r="E363" s="58"/>
      <c r="F363" s="58"/>
      <c r="O363" s="110"/>
      <c r="P363" s="110"/>
      <c r="Q363" s="110"/>
    </row>
    <row r="364">
      <c r="C364" s="58"/>
      <c r="D364" s="58"/>
      <c r="E364" s="58"/>
      <c r="F364" s="58"/>
      <c r="O364" s="110"/>
      <c r="P364" s="110"/>
      <c r="Q364" s="110"/>
    </row>
    <row r="365">
      <c r="C365" s="58"/>
      <c r="D365" s="58"/>
      <c r="E365" s="58"/>
      <c r="F365" s="58"/>
      <c r="O365" s="110"/>
      <c r="P365" s="110"/>
      <c r="Q365" s="110"/>
    </row>
    <row r="366">
      <c r="C366" s="58"/>
      <c r="D366" s="58"/>
      <c r="E366" s="58"/>
      <c r="F366" s="58"/>
      <c r="O366" s="110"/>
      <c r="P366" s="110"/>
      <c r="Q366" s="110"/>
    </row>
    <row r="367">
      <c r="C367" s="58"/>
      <c r="D367" s="58"/>
      <c r="E367" s="58"/>
      <c r="F367" s="58"/>
      <c r="O367" s="110"/>
      <c r="P367" s="110"/>
      <c r="Q367" s="110"/>
    </row>
    <row r="368">
      <c r="C368" s="58"/>
      <c r="D368" s="58"/>
      <c r="E368" s="58"/>
      <c r="F368" s="58"/>
      <c r="O368" s="110"/>
      <c r="P368" s="110"/>
      <c r="Q368" s="110"/>
    </row>
    <row r="369">
      <c r="C369" s="58"/>
      <c r="D369" s="58"/>
      <c r="E369" s="58"/>
      <c r="F369" s="58"/>
      <c r="O369" s="110"/>
      <c r="P369" s="110"/>
      <c r="Q369" s="110"/>
    </row>
    <row r="370">
      <c r="C370" s="58"/>
      <c r="D370" s="58"/>
      <c r="E370" s="58"/>
      <c r="F370" s="58"/>
      <c r="O370" s="110"/>
      <c r="P370" s="110"/>
      <c r="Q370" s="110"/>
    </row>
    <row r="371">
      <c r="C371" s="58"/>
      <c r="D371" s="58"/>
      <c r="E371" s="58"/>
      <c r="F371" s="58"/>
      <c r="O371" s="110"/>
      <c r="P371" s="110"/>
      <c r="Q371" s="110"/>
    </row>
    <row r="372">
      <c r="C372" s="58"/>
      <c r="D372" s="58"/>
      <c r="E372" s="58"/>
      <c r="F372" s="58"/>
      <c r="O372" s="110"/>
      <c r="P372" s="110"/>
      <c r="Q372" s="110"/>
    </row>
    <row r="373">
      <c r="C373" s="58"/>
      <c r="D373" s="58"/>
      <c r="E373" s="58"/>
      <c r="F373" s="58"/>
      <c r="O373" s="110"/>
      <c r="P373" s="110"/>
      <c r="Q373" s="110"/>
    </row>
    <row r="374">
      <c r="C374" s="58"/>
      <c r="D374" s="58"/>
      <c r="E374" s="58"/>
      <c r="F374" s="58"/>
      <c r="O374" s="110"/>
      <c r="P374" s="110"/>
      <c r="Q374" s="110"/>
    </row>
    <row r="375">
      <c r="C375" s="58"/>
      <c r="D375" s="58"/>
      <c r="E375" s="58"/>
      <c r="F375" s="58"/>
      <c r="O375" s="110"/>
      <c r="P375" s="110"/>
      <c r="Q375" s="110"/>
    </row>
    <row r="376">
      <c r="C376" s="58"/>
      <c r="D376" s="58"/>
      <c r="E376" s="58"/>
      <c r="F376" s="58"/>
      <c r="O376" s="110"/>
      <c r="P376" s="110"/>
      <c r="Q376" s="110"/>
    </row>
    <row r="377">
      <c r="C377" s="58"/>
      <c r="D377" s="58"/>
      <c r="E377" s="58"/>
      <c r="F377" s="58"/>
      <c r="O377" s="110"/>
      <c r="P377" s="110"/>
      <c r="Q377" s="110"/>
    </row>
    <row r="378">
      <c r="C378" s="58"/>
      <c r="D378" s="58"/>
      <c r="E378" s="58"/>
      <c r="F378" s="58"/>
      <c r="O378" s="110"/>
      <c r="P378" s="110"/>
      <c r="Q378" s="110"/>
    </row>
    <row r="379">
      <c r="C379" s="58"/>
      <c r="D379" s="58"/>
      <c r="E379" s="58"/>
      <c r="F379" s="58"/>
      <c r="O379" s="110"/>
      <c r="P379" s="110"/>
      <c r="Q379" s="110"/>
    </row>
    <row r="380">
      <c r="C380" s="58"/>
      <c r="D380" s="58"/>
      <c r="E380" s="58"/>
      <c r="F380" s="58"/>
      <c r="O380" s="110"/>
      <c r="P380" s="110"/>
      <c r="Q380" s="110"/>
    </row>
    <row r="381">
      <c r="C381" s="58"/>
      <c r="D381" s="58"/>
      <c r="E381" s="58"/>
      <c r="F381" s="58"/>
      <c r="O381" s="110"/>
      <c r="P381" s="110"/>
      <c r="Q381" s="110"/>
    </row>
    <row r="382">
      <c r="C382" s="58"/>
      <c r="D382" s="58"/>
      <c r="E382" s="58"/>
      <c r="F382" s="58"/>
      <c r="O382" s="110"/>
      <c r="P382" s="110"/>
      <c r="Q382" s="110"/>
    </row>
    <row r="383">
      <c r="C383" s="58"/>
      <c r="D383" s="58"/>
      <c r="E383" s="58"/>
      <c r="F383" s="58"/>
      <c r="O383" s="110"/>
      <c r="P383" s="110"/>
      <c r="Q383" s="110"/>
    </row>
    <row r="384">
      <c r="C384" s="58"/>
      <c r="D384" s="58"/>
      <c r="E384" s="58"/>
      <c r="F384" s="58"/>
      <c r="O384" s="110"/>
      <c r="P384" s="110"/>
      <c r="Q384" s="110"/>
    </row>
    <row r="385">
      <c r="C385" s="58"/>
      <c r="D385" s="58"/>
      <c r="E385" s="58"/>
      <c r="F385" s="58"/>
      <c r="O385" s="110"/>
      <c r="P385" s="110"/>
      <c r="Q385" s="110"/>
    </row>
    <row r="386">
      <c r="C386" s="58"/>
      <c r="D386" s="58"/>
      <c r="E386" s="58"/>
      <c r="F386" s="58"/>
      <c r="O386" s="110"/>
      <c r="P386" s="110"/>
      <c r="Q386" s="110"/>
    </row>
    <row r="387">
      <c r="C387" s="58"/>
      <c r="D387" s="58"/>
      <c r="E387" s="58"/>
      <c r="F387" s="58"/>
      <c r="O387" s="110"/>
      <c r="P387" s="110"/>
      <c r="Q387" s="110"/>
    </row>
    <row r="388">
      <c r="C388" s="58"/>
      <c r="D388" s="58"/>
      <c r="E388" s="58"/>
      <c r="F388" s="58"/>
      <c r="O388" s="110"/>
      <c r="P388" s="110"/>
      <c r="Q388" s="110"/>
    </row>
    <row r="389">
      <c r="C389" s="58"/>
      <c r="D389" s="58"/>
      <c r="E389" s="58"/>
      <c r="F389" s="58"/>
      <c r="O389" s="110"/>
      <c r="P389" s="110"/>
      <c r="Q389" s="110"/>
    </row>
    <row r="390">
      <c r="C390" s="58"/>
      <c r="D390" s="58"/>
      <c r="E390" s="58"/>
      <c r="F390" s="58"/>
      <c r="O390" s="110"/>
      <c r="P390" s="110"/>
      <c r="Q390" s="110"/>
    </row>
    <row r="391">
      <c r="C391" s="58"/>
      <c r="D391" s="58"/>
      <c r="E391" s="58"/>
      <c r="F391" s="58"/>
      <c r="O391" s="110"/>
      <c r="P391" s="110"/>
      <c r="Q391" s="110"/>
    </row>
    <row r="392">
      <c r="C392" s="58"/>
      <c r="D392" s="58"/>
      <c r="E392" s="58"/>
      <c r="F392" s="58"/>
      <c r="O392" s="110"/>
      <c r="P392" s="110"/>
      <c r="Q392" s="110"/>
    </row>
    <row r="393">
      <c r="C393" s="58"/>
      <c r="D393" s="58"/>
      <c r="E393" s="58"/>
      <c r="F393" s="58"/>
      <c r="O393" s="110"/>
      <c r="P393" s="110"/>
      <c r="Q393" s="110"/>
    </row>
    <row r="394">
      <c r="C394" s="58"/>
      <c r="D394" s="58"/>
      <c r="E394" s="58"/>
      <c r="F394" s="58"/>
      <c r="O394" s="110"/>
      <c r="P394" s="110"/>
      <c r="Q394" s="110"/>
    </row>
    <row r="395">
      <c r="C395" s="58"/>
      <c r="D395" s="58"/>
      <c r="E395" s="58"/>
      <c r="F395" s="58"/>
      <c r="O395" s="110"/>
      <c r="P395" s="110"/>
      <c r="Q395" s="110"/>
    </row>
    <row r="396">
      <c r="C396" s="58"/>
      <c r="D396" s="58"/>
      <c r="E396" s="58"/>
      <c r="F396" s="58"/>
      <c r="O396" s="110"/>
      <c r="P396" s="110"/>
      <c r="Q396" s="110"/>
    </row>
    <row r="397">
      <c r="C397" s="58"/>
      <c r="D397" s="58"/>
      <c r="E397" s="58"/>
      <c r="F397" s="58"/>
      <c r="O397" s="110"/>
      <c r="P397" s="110"/>
      <c r="Q397" s="110"/>
    </row>
    <row r="398">
      <c r="C398" s="58"/>
      <c r="D398" s="58"/>
      <c r="E398" s="58"/>
      <c r="F398" s="58"/>
      <c r="O398" s="110"/>
      <c r="P398" s="110"/>
      <c r="Q398" s="110"/>
    </row>
    <row r="399">
      <c r="C399" s="58"/>
      <c r="D399" s="58"/>
      <c r="E399" s="58"/>
      <c r="F399" s="58"/>
      <c r="O399" s="110"/>
      <c r="P399" s="110"/>
      <c r="Q399" s="110"/>
    </row>
    <row r="400">
      <c r="C400" s="58"/>
      <c r="D400" s="58"/>
      <c r="E400" s="58"/>
      <c r="F400" s="58"/>
      <c r="O400" s="110"/>
      <c r="P400" s="110"/>
      <c r="Q400" s="110"/>
    </row>
    <row r="401">
      <c r="C401" s="58"/>
      <c r="D401" s="58"/>
      <c r="E401" s="58"/>
      <c r="F401" s="58"/>
      <c r="O401" s="110"/>
      <c r="P401" s="110"/>
      <c r="Q401" s="110"/>
    </row>
    <row r="402">
      <c r="C402" s="58"/>
      <c r="D402" s="58"/>
      <c r="E402" s="58"/>
      <c r="F402" s="58"/>
      <c r="O402" s="110"/>
      <c r="P402" s="110"/>
      <c r="Q402" s="110"/>
    </row>
    <row r="403">
      <c r="C403" s="58"/>
      <c r="D403" s="58"/>
      <c r="E403" s="58"/>
      <c r="F403" s="58"/>
      <c r="O403" s="110"/>
      <c r="P403" s="110"/>
      <c r="Q403" s="110"/>
    </row>
    <row r="404">
      <c r="C404" s="58"/>
      <c r="D404" s="58"/>
      <c r="E404" s="58"/>
      <c r="F404" s="58"/>
      <c r="O404" s="110"/>
      <c r="P404" s="110"/>
      <c r="Q404" s="110"/>
    </row>
    <row r="405">
      <c r="C405" s="58"/>
      <c r="D405" s="58"/>
      <c r="E405" s="58"/>
      <c r="F405" s="58"/>
      <c r="O405" s="110"/>
      <c r="P405" s="110"/>
      <c r="Q405" s="110"/>
    </row>
    <row r="406">
      <c r="C406" s="58"/>
      <c r="D406" s="58"/>
      <c r="E406" s="58"/>
      <c r="F406" s="58"/>
      <c r="O406" s="110"/>
      <c r="P406" s="110"/>
      <c r="Q406" s="110"/>
    </row>
    <row r="407">
      <c r="C407" s="58"/>
      <c r="D407" s="58"/>
      <c r="E407" s="58"/>
      <c r="F407" s="58"/>
      <c r="O407" s="110"/>
      <c r="P407" s="110"/>
      <c r="Q407" s="110"/>
    </row>
    <row r="408">
      <c r="C408" s="58"/>
      <c r="D408" s="58"/>
      <c r="E408" s="58"/>
      <c r="F408" s="58"/>
      <c r="O408" s="110"/>
      <c r="P408" s="110"/>
      <c r="Q408" s="110"/>
    </row>
    <row r="409">
      <c r="C409" s="58"/>
      <c r="D409" s="58"/>
      <c r="E409" s="58"/>
      <c r="F409" s="58"/>
      <c r="O409" s="110"/>
      <c r="P409" s="110"/>
      <c r="Q409" s="110"/>
    </row>
    <row r="410">
      <c r="C410" s="58"/>
      <c r="D410" s="58"/>
      <c r="E410" s="58"/>
      <c r="F410" s="58"/>
      <c r="O410" s="110"/>
      <c r="P410" s="110"/>
      <c r="Q410" s="110"/>
    </row>
    <row r="411">
      <c r="C411" s="58"/>
      <c r="D411" s="58"/>
      <c r="E411" s="58"/>
      <c r="F411" s="58"/>
      <c r="O411" s="110"/>
      <c r="P411" s="110"/>
      <c r="Q411" s="110"/>
    </row>
    <row r="412">
      <c r="C412" s="58"/>
      <c r="D412" s="58"/>
      <c r="E412" s="58"/>
      <c r="F412" s="58"/>
      <c r="O412" s="110"/>
      <c r="P412" s="110"/>
      <c r="Q412" s="110"/>
    </row>
    <row r="413">
      <c r="C413" s="58"/>
      <c r="D413" s="58"/>
      <c r="E413" s="58"/>
      <c r="F413" s="58"/>
      <c r="O413" s="110"/>
      <c r="P413" s="110"/>
      <c r="Q413" s="110"/>
    </row>
    <row r="414">
      <c r="C414" s="58"/>
      <c r="D414" s="58"/>
      <c r="E414" s="58"/>
      <c r="F414" s="58"/>
      <c r="O414" s="110"/>
      <c r="P414" s="110"/>
      <c r="Q414" s="110"/>
    </row>
    <row r="415">
      <c r="C415" s="58"/>
      <c r="D415" s="58"/>
      <c r="E415" s="58"/>
      <c r="F415" s="58"/>
      <c r="O415" s="110"/>
      <c r="P415" s="110"/>
      <c r="Q415" s="110"/>
    </row>
    <row r="416">
      <c r="C416" s="58"/>
      <c r="D416" s="58"/>
      <c r="E416" s="58"/>
      <c r="F416" s="58"/>
      <c r="O416" s="110"/>
      <c r="P416" s="110"/>
      <c r="Q416" s="110"/>
    </row>
    <row r="417">
      <c r="C417" s="58"/>
      <c r="D417" s="58"/>
      <c r="E417" s="58"/>
      <c r="F417" s="58"/>
      <c r="O417" s="110"/>
      <c r="P417" s="110"/>
      <c r="Q417" s="110"/>
    </row>
    <row r="418">
      <c r="C418" s="58"/>
      <c r="D418" s="58"/>
      <c r="E418" s="58"/>
      <c r="F418" s="58"/>
      <c r="O418" s="110"/>
      <c r="P418" s="110"/>
      <c r="Q418" s="110"/>
    </row>
    <row r="419">
      <c r="C419" s="58"/>
      <c r="D419" s="58"/>
      <c r="E419" s="58"/>
      <c r="F419" s="58"/>
      <c r="O419" s="110"/>
      <c r="P419" s="110"/>
      <c r="Q419" s="110"/>
    </row>
    <row r="420">
      <c r="C420" s="58"/>
      <c r="D420" s="58"/>
      <c r="E420" s="58"/>
      <c r="F420" s="58"/>
      <c r="O420" s="110"/>
      <c r="P420" s="110"/>
      <c r="Q420" s="110"/>
    </row>
    <row r="421">
      <c r="C421" s="58"/>
      <c r="D421" s="58"/>
      <c r="E421" s="58"/>
      <c r="F421" s="58"/>
      <c r="O421" s="110"/>
      <c r="P421" s="110"/>
      <c r="Q421" s="110"/>
    </row>
    <row r="422">
      <c r="C422" s="58"/>
      <c r="D422" s="58"/>
      <c r="E422" s="58"/>
      <c r="F422" s="58"/>
      <c r="O422" s="110"/>
      <c r="P422" s="110"/>
      <c r="Q422" s="110"/>
    </row>
    <row r="423">
      <c r="C423" s="58"/>
      <c r="D423" s="58"/>
      <c r="E423" s="58"/>
      <c r="F423" s="58"/>
      <c r="O423" s="110"/>
      <c r="P423" s="110"/>
      <c r="Q423" s="110"/>
    </row>
    <row r="424">
      <c r="C424" s="58"/>
      <c r="D424" s="58"/>
      <c r="E424" s="58"/>
      <c r="F424" s="58"/>
      <c r="O424" s="110"/>
      <c r="P424" s="110"/>
      <c r="Q424" s="110"/>
    </row>
    <row r="425">
      <c r="C425" s="58"/>
      <c r="D425" s="58"/>
      <c r="E425" s="58"/>
      <c r="F425" s="58"/>
      <c r="O425" s="110"/>
      <c r="P425" s="110"/>
      <c r="Q425" s="110"/>
    </row>
    <row r="426">
      <c r="C426" s="58"/>
      <c r="D426" s="58"/>
      <c r="E426" s="58"/>
      <c r="F426" s="58"/>
      <c r="O426" s="110"/>
      <c r="P426" s="110"/>
      <c r="Q426" s="110"/>
    </row>
    <row r="427">
      <c r="C427" s="58"/>
      <c r="D427" s="58"/>
      <c r="E427" s="58"/>
      <c r="F427" s="58"/>
      <c r="O427" s="110"/>
      <c r="P427" s="110"/>
      <c r="Q427" s="110"/>
    </row>
    <row r="428">
      <c r="C428" s="58"/>
      <c r="D428" s="58"/>
      <c r="E428" s="58"/>
      <c r="F428" s="58"/>
      <c r="O428" s="110"/>
      <c r="P428" s="110"/>
      <c r="Q428" s="110"/>
    </row>
    <row r="429">
      <c r="C429" s="58"/>
      <c r="D429" s="58"/>
      <c r="E429" s="58"/>
      <c r="F429" s="58"/>
      <c r="O429" s="110"/>
      <c r="P429" s="110"/>
      <c r="Q429" s="110"/>
    </row>
    <row r="430">
      <c r="C430" s="58"/>
      <c r="D430" s="58"/>
      <c r="E430" s="58"/>
      <c r="F430" s="58"/>
      <c r="O430" s="110"/>
      <c r="P430" s="110"/>
      <c r="Q430" s="110"/>
    </row>
    <row r="431">
      <c r="C431" s="58"/>
      <c r="D431" s="58"/>
      <c r="E431" s="58"/>
      <c r="F431" s="58"/>
      <c r="O431" s="110"/>
      <c r="P431" s="110"/>
      <c r="Q431" s="110"/>
    </row>
    <row r="432">
      <c r="C432" s="58"/>
      <c r="D432" s="58"/>
      <c r="E432" s="58"/>
      <c r="F432" s="58"/>
      <c r="O432" s="110"/>
      <c r="P432" s="110"/>
      <c r="Q432" s="110"/>
    </row>
    <row r="433">
      <c r="C433" s="58"/>
      <c r="D433" s="58"/>
      <c r="E433" s="58"/>
      <c r="F433" s="58"/>
      <c r="O433" s="110"/>
      <c r="P433" s="110"/>
      <c r="Q433" s="110"/>
    </row>
    <row r="434">
      <c r="C434" s="58"/>
      <c r="D434" s="58"/>
      <c r="E434" s="58"/>
      <c r="F434" s="58"/>
      <c r="O434" s="110"/>
      <c r="P434" s="110"/>
      <c r="Q434" s="110"/>
    </row>
    <row r="435">
      <c r="C435" s="58"/>
      <c r="D435" s="58"/>
      <c r="E435" s="58"/>
      <c r="F435" s="58"/>
      <c r="O435" s="110"/>
      <c r="P435" s="110"/>
      <c r="Q435" s="110"/>
    </row>
    <row r="436">
      <c r="C436" s="58"/>
      <c r="D436" s="58"/>
      <c r="E436" s="58"/>
      <c r="F436" s="58"/>
      <c r="O436" s="110"/>
      <c r="P436" s="110"/>
      <c r="Q436" s="110"/>
    </row>
    <row r="437">
      <c r="C437" s="58"/>
      <c r="D437" s="58"/>
      <c r="E437" s="58"/>
      <c r="F437" s="58"/>
      <c r="O437" s="110"/>
      <c r="P437" s="110"/>
      <c r="Q437" s="110"/>
    </row>
    <row r="438">
      <c r="C438" s="58"/>
      <c r="D438" s="58"/>
      <c r="E438" s="58"/>
      <c r="F438" s="58"/>
      <c r="O438" s="110"/>
      <c r="P438" s="110"/>
      <c r="Q438" s="110"/>
    </row>
    <row r="439">
      <c r="C439" s="58"/>
      <c r="D439" s="58"/>
      <c r="E439" s="58"/>
      <c r="F439" s="58"/>
      <c r="O439" s="110"/>
      <c r="P439" s="110"/>
      <c r="Q439" s="110"/>
    </row>
    <row r="440">
      <c r="C440" s="58"/>
      <c r="D440" s="58"/>
      <c r="E440" s="58"/>
      <c r="F440" s="58"/>
      <c r="O440" s="110"/>
      <c r="P440" s="110"/>
      <c r="Q440" s="110"/>
    </row>
    <row r="441">
      <c r="C441" s="58"/>
      <c r="D441" s="58"/>
      <c r="E441" s="58"/>
      <c r="F441" s="58"/>
      <c r="O441" s="110"/>
      <c r="P441" s="110"/>
      <c r="Q441" s="110"/>
    </row>
    <row r="442">
      <c r="C442" s="58"/>
      <c r="D442" s="58"/>
      <c r="E442" s="58"/>
      <c r="F442" s="58"/>
      <c r="O442" s="110"/>
      <c r="P442" s="110"/>
      <c r="Q442" s="110"/>
    </row>
    <row r="443">
      <c r="C443" s="58"/>
      <c r="D443" s="58"/>
      <c r="E443" s="58"/>
      <c r="F443" s="58"/>
      <c r="O443" s="110"/>
      <c r="P443" s="110"/>
      <c r="Q443" s="110"/>
    </row>
    <row r="444">
      <c r="C444" s="58"/>
      <c r="D444" s="58"/>
      <c r="E444" s="58"/>
      <c r="F444" s="58"/>
      <c r="O444" s="110"/>
      <c r="P444" s="110"/>
      <c r="Q444" s="110"/>
    </row>
    <row r="445">
      <c r="C445" s="58"/>
      <c r="D445" s="58"/>
      <c r="E445" s="58"/>
      <c r="F445" s="58"/>
      <c r="O445" s="110"/>
      <c r="P445" s="110"/>
      <c r="Q445" s="110"/>
    </row>
    <row r="446">
      <c r="C446" s="58"/>
      <c r="D446" s="58"/>
      <c r="E446" s="58"/>
      <c r="F446" s="58"/>
      <c r="O446" s="110"/>
      <c r="P446" s="110"/>
      <c r="Q446" s="110"/>
    </row>
    <row r="447">
      <c r="C447" s="58"/>
      <c r="D447" s="58"/>
      <c r="E447" s="58"/>
      <c r="F447" s="58"/>
      <c r="O447" s="110"/>
      <c r="P447" s="110"/>
      <c r="Q447" s="110"/>
    </row>
    <row r="448">
      <c r="C448" s="58"/>
      <c r="D448" s="58"/>
      <c r="E448" s="58"/>
      <c r="F448" s="58"/>
      <c r="O448" s="110"/>
      <c r="P448" s="110"/>
      <c r="Q448" s="110"/>
    </row>
    <row r="449">
      <c r="C449" s="58"/>
      <c r="D449" s="58"/>
      <c r="E449" s="58"/>
      <c r="F449" s="58"/>
      <c r="O449" s="110"/>
      <c r="P449" s="110"/>
      <c r="Q449" s="110"/>
    </row>
    <row r="450">
      <c r="C450" s="58"/>
      <c r="D450" s="58"/>
      <c r="E450" s="58"/>
      <c r="F450" s="58"/>
      <c r="O450" s="110"/>
      <c r="P450" s="110"/>
      <c r="Q450" s="110"/>
    </row>
    <row r="451">
      <c r="C451" s="58"/>
      <c r="D451" s="58"/>
      <c r="E451" s="58"/>
      <c r="F451" s="58"/>
      <c r="O451" s="110"/>
      <c r="P451" s="110"/>
      <c r="Q451" s="110"/>
    </row>
    <row r="452">
      <c r="C452" s="58"/>
      <c r="D452" s="58"/>
      <c r="E452" s="58"/>
      <c r="F452" s="58"/>
      <c r="O452" s="110"/>
      <c r="P452" s="110"/>
      <c r="Q452" s="110"/>
    </row>
    <row r="453">
      <c r="C453" s="58"/>
      <c r="D453" s="58"/>
      <c r="E453" s="58"/>
      <c r="F453" s="58"/>
      <c r="O453" s="110"/>
      <c r="P453" s="110"/>
      <c r="Q453" s="110"/>
    </row>
    <row r="454">
      <c r="C454" s="58"/>
      <c r="D454" s="58"/>
      <c r="E454" s="58"/>
      <c r="F454" s="58"/>
      <c r="O454" s="110"/>
      <c r="P454" s="110"/>
      <c r="Q454" s="110"/>
    </row>
    <row r="455">
      <c r="C455" s="58"/>
      <c r="D455" s="58"/>
      <c r="E455" s="58"/>
      <c r="F455" s="58"/>
      <c r="O455" s="110"/>
      <c r="P455" s="110"/>
      <c r="Q455" s="110"/>
    </row>
    <row r="456">
      <c r="C456" s="58"/>
      <c r="D456" s="58"/>
      <c r="E456" s="58"/>
      <c r="F456" s="58"/>
      <c r="O456" s="110"/>
      <c r="P456" s="110"/>
      <c r="Q456" s="110"/>
    </row>
    <row r="457">
      <c r="C457" s="58"/>
      <c r="D457" s="58"/>
      <c r="E457" s="58"/>
      <c r="F457" s="58"/>
      <c r="O457" s="110"/>
      <c r="P457" s="110"/>
      <c r="Q457" s="110"/>
    </row>
    <row r="458">
      <c r="C458" s="58"/>
      <c r="D458" s="58"/>
      <c r="E458" s="58"/>
      <c r="F458" s="58"/>
      <c r="O458" s="110"/>
      <c r="P458" s="110"/>
      <c r="Q458" s="110"/>
    </row>
    <row r="459">
      <c r="C459" s="58"/>
      <c r="D459" s="58"/>
      <c r="E459" s="58"/>
      <c r="F459" s="58"/>
      <c r="O459" s="110"/>
      <c r="P459" s="110"/>
      <c r="Q459" s="110"/>
    </row>
    <row r="460">
      <c r="C460" s="58"/>
      <c r="D460" s="58"/>
      <c r="E460" s="58"/>
      <c r="F460" s="58"/>
      <c r="O460" s="110"/>
      <c r="P460" s="110"/>
      <c r="Q460" s="110"/>
    </row>
    <row r="461">
      <c r="C461" s="58"/>
      <c r="D461" s="58"/>
      <c r="E461" s="58"/>
      <c r="F461" s="58"/>
      <c r="O461" s="110"/>
      <c r="P461" s="110"/>
      <c r="Q461" s="110"/>
    </row>
    <row r="462">
      <c r="C462" s="58"/>
      <c r="D462" s="58"/>
      <c r="E462" s="58"/>
      <c r="F462" s="58"/>
      <c r="O462" s="110"/>
      <c r="P462" s="110"/>
      <c r="Q462" s="110"/>
    </row>
    <row r="463">
      <c r="C463" s="58"/>
      <c r="D463" s="58"/>
      <c r="E463" s="58"/>
      <c r="F463" s="58"/>
      <c r="O463" s="110"/>
      <c r="P463" s="110"/>
      <c r="Q463" s="110"/>
    </row>
    <row r="464">
      <c r="C464" s="58"/>
      <c r="D464" s="58"/>
      <c r="E464" s="58"/>
      <c r="F464" s="58"/>
      <c r="O464" s="110"/>
      <c r="P464" s="110"/>
      <c r="Q464" s="110"/>
    </row>
    <row r="465">
      <c r="C465" s="58"/>
      <c r="D465" s="58"/>
      <c r="E465" s="58"/>
      <c r="F465" s="58"/>
      <c r="O465" s="110"/>
      <c r="P465" s="110"/>
      <c r="Q465" s="110"/>
    </row>
    <row r="466">
      <c r="C466" s="58"/>
      <c r="D466" s="58"/>
      <c r="E466" s="58"/>
      <c r="F466" s="58"/>
      <c r="O466" s="110"/>
      <c r="P466" s="110"/>
      <c r="Q466" s="110"/>
    </row>
    <row r="467">
      <c r="C467" s="58"/>
      <c r="D467" s="58"/>
      <c r="E467" s="58"/>
      <c r="F467" s="58"/>
      <c r="O467" s="110"/>
      <c r="P467" s="110"/>
      <c r="Q467" s="110"/>
    </row>
    <row r="468">
      <c r="C468" s="58"/>
      <c r="D468" s="58"/>
      <c r="E468" s="58"/>
      <c r="F468" s="58"/>
      <c r="O468" s="110"/>
      <c r="P468" s="110"/>
      <c r="Q468" s="110"/>
    </row>
    <row r="469">
      <c r="C469" s="58"/>
      <c r="D469" s="58"/>
      <c r="E469" s="58"/>
      <c r="F469" s="58"/>
      <c r="O469" s="110"/>
      <c r="P469" s="110"/>
      <c r="Q469" s="110"/>
    </row>
    <row r="470">
      <c r="C470" s="58"/>
      <c r="D470" s="58"/>
      <c r="E470" s="58"/>
      <c r="F470" s="58"/>
      <c r="O470" s="110"/>
      <c r="P470" s="110"/>
      <c r="Q470" s="110"/>
    </row>
    <row r="471">
      <c r="C471" s="58"/>
      <c r="D471" s="58"/>
      <c r="E471" s="58"/>
      <c r="F471" s="58"/>
      <c r="O471" s="110"/>
      <c r="P471" s="110"/>
      <c r="Q471" s="110"/>
    </row>
    <row r="472">
      <c r="C472" s="58"/>
      <c r="D472" s="58"/>
      <c r="E472" s="58"/>
      <c r="F472" s="58"/>
      <c r="O472" s="110"/>
      <c r="P472" s="110"/>
      <c r="Q472" s="110"/>
    </row>
    <row r="473">
      <c r="C473" s="58"/>
      <c r="D473" s="58"/>
      <c r="E473" s="58"/>
      <c r="F473" s="58"/>
      <c r="O473" s="110"/>
      <c r="P473" s="110"/>
      <c r="Q473" s="110"/>
    </row>
    <row r="474">
      <c r="C474" s="58"/>
      <c r="D474" s="58"/>
      <c r="E474" s="58"/>
      <c r="F474" s="58"/>
      <c r="O474" s="110"/>
      <c r="P474" s="110"/>
      <c r="Q474" s="110"/>
    </row>
    <row r="475">
      <c r="C475" s="58"/>
      <c r="D475" s="58"/>
      <c r="E475" s="58"/>
      <c r="F475" s="58"/>
      <c r="O475" s="110"/>
      <c r="P475" s="110"/>
      <c r="Q475" s="110"/>
    </row>
    <row r="476">
      <c r="C476" s="58"/>
      <c r="D476" s="58"/>
      <c r="E476" s="58"/>
      <c r="F476" s="58"/>
      <c r="O476" s="110"/>
      <c r="P476" s="110"/>
      <c r="Q476" s="110"/>
    </row>
    <row r="477">
      <c r="C477" s="58"/>
      <c r="D477" s="58"/>
      <c r="E477" s="58"/>
      <c r="F477" s="58"/>
      <c r="O477" s="110"/>
      <c r="P477" s="110"/>
      <c r="Q477" s="110"/>
    </row>
    <row r="478">
      <c r="C478" s="58"/>
      <c r="D478" s="58"/>
      <c r="E478" s="58"/>
      <c r="F478" s="58"/>
      <c r="O478" s="110"/>
      <c r="P478" s="110"/>
      <c r="Q478" s="110"/>
    </row>
    <row r="479">
      <c r="C479" s="58"/>
      <c r="D479" s="58"/>
      <c r="E479" s="58"/>
      <c r="F479" s="58"/>
      <c r="O479" s="110"/>
      <c r="P479" s="110"/>
      <c r="Q479" s="110"/>
    </row>
    <row r="480">
      <c r="C480" s="58"/>
      <c r="D480" s="58"/>
      <c r="E480" s="58"/>
      <c r="F480" s="58"/>
      <c r="O480" s="110"/>
      <c r="P480" s="110"/>
      <c r="Q480" s="110"/>
    </row>
    <row r="481">
      <c r="C481" s="58"/>
      <c r="D481" s="58"/>
      <c r="E481" s="58"/>
      <c r="F481" s="58"/>
      <c r="O481" s="110"/>
      <c r="P481" s="110"/>
      <c r="Q481" s="110"/>
    </row>
    <row r="482">
      <c r="C482" s="58"/>
      <c r="D482" s="58"/>
      <c r="E482" s="58"/>
      <c r="F482" s="58"/>
      <c r="O482" s="110"/>
      <c r="P482" s="110"/>
      <c r="Q482" s="110"/>
    </row>
    <row r="483">
      <c r="C483" s="58"/>
      <c r="D483" s="58"/>
      <c r="E483" s="58"/>
      <c r="F483" s="58"/>
      <c r="O483" s="110"/>
      <c r="P483" s="110"/>
      <c r="Q483" s="110"/>
    </row>
    <row r="484">
      <c r="C484" s="58"/>
      <c r="D484" s="58"/>
      <c r="E484" s="58"/>
      <c r="F484" s="58"/>
      <c r="O484" s="110"/>
      <c r="P484" s="110"/>
      <c r="Q484" s="110"/>
    </row>
    <row r="485">
      <c r="C485" s="58"/>
      <c r="D485" s="58"/>
      <c r="E485" s="58"/>
      <c r="F485" s="58"/>
      <c r="O485" s="110"/>
      <c r="P485" s="110"/>
      <c r="Q485" s="110"/>
    </row>
    <row r="486">
      <c r="C486" s="58"/>
      <c r="D486" s="58"/>
      <c r="E486" s="58"/>
      <c r="F486" s="58"/>
      <c r="O486" s="110"/>
      <c r="P486" s="110"/>
      <c r="Q486" s="110"/>
    </row>
    <row r="487">
      <c r="C487" s="58"/>
      <c r="D487" s="58"/>
      <c r="E487" s="58"/>
      <c r="F487" s="58"/>
      <c r="O487" s="110"/>
      <c r="P487" s="110"/>
      <c r="Q487" s="110"/>
    </row>
    <row r="488">
      <c r="C488" s="58"/>
      <c r="D488" s="58"/>
      <c r="E488" s="58"/>
      <c r="F488" s="58"/>
      <c r="O488" s="110"/>
      <c r="P488" s="110"/>
      <c r="Q488" s="110"/>
    </row>
    <row r="489">
      <c r="C489" s="58"/>
      <c r="D489" s="58"/>
      <c r="E489" s="58"/>
      <c r="F489" s="58"/>
      <c r="O489" s="110"/>
      <c r="P489" s="110"/>
      <c r="Q489" s="110"/>
    </row>
    <row r="490">
      <c r="C490" s="58"/>
      <c r="D490" s="58"/>
      <c r="E490" s="58"/>
      <c r="F490" s="58"/>
      <c r="O490" s="110"/>
      <c r="P490" s="110"/>
      <c r="Q490" s="110"/>
    </row>
    <row r="491">
      <c r="C491" s="58"/>
      <c r="D491" s="58"/>
      <c r="E491" s="58"/>
      <c r="F491" s="58"/>
      <c r="O491" s="110"/>
      <c r="P491" s="110"/>
      <c r="Q491" s="110"/>
    </row>
    <row r="492">
      <c r="C492" s="58"/>
      <c r="D492" s="58"/>
      <c r="E492" s="58"/>
      <c r="F492" s="58"/>
      <c r="O492" s="110"/>
      <c r="P492" s="110"/>
      <c r="Q492" s="110"/>
    </row>
    <row r="493">
      <c r="C493" s="58"/>
      <c r="D493" s="58"/>
      <c r="E493" s="58"/>
      <c r="F493" s="58"/>
      <c r="O493" s="110"/>
      <c r="P493" s="110"/>
      <c r="Q493" s="110"/>
    </row>
    <row r="494">
      <c r="C494" s="58"/>
      <c r="D494" s="58"/>
      <c r="E494" s="58"/>
      <c r="F494" s="58"/>
      <c r="O494" s="110"/>
      <c r="P494" s="110"/>
      <c r="Q494" s="110"/>
    </row>
    <row r="495">
      <c r="C495" s="58"/>
      <c r="D495" s="58"/>
      <c r="E495" s="58"/>
      <c r="F495" s="58"/>
      <c r="O495" s="110"/>
      <c r="P495" s="110"/>
      <c r="Q495" s="110"/>
    </row>
    <row r="496">
      <c r="C496" s="58"/>
      <c r="D496" s="58"/>
      <c r="E496" s="58"/>
      <c r="F496" s="58"/>
      <c r="O496" s="110"/>
      <c r="P496" s="110"/>
      <c r="Q496" s="110"/>
    </row>
    <row r="497">
      <c r="C497" s="58"/>
      <c r="D497" s="58"/>
      <c r="E497" s="58"/>
      <c r="F497" s="58"/>
      <c r="O497" s="110"/>
      <c r="P497" s="110"/>
      <c r="Q497" s="110"/>
    </row>
    <row r="498">
      <c r="C498" s="58"/>
      <c r="D498" s="58"/>
      <c r="E498" s="58"/>
      <c r="F498" s="58"/>
      <c r="O498" s="110"/>
      <c r="P498" s="110"/>
      <c r="Q498" s="110"/>
    </row>
    <row r="499">
      <c r="C499" s="58"/>
      <c r="D499" s="58"/>
      <c r="E499" s="58"/>
      <c r="F499" s="58"/>
      <c r="O499" s="110"/>
      <c r="P499" s="110"/>
      <c r="Q499" s="110"/>
    </row>
    <row r="500">
      <c r="C500" s="58"/>
      <c r="D500" s="58"/>
      <c r="E500" s="58"/>
      <c r="F500" s="58"/>
      <c r="O500" s="110"/>
      <c r="P500" s="110"/>
      <c r="Q500" s="110"/>
    </row>
    <row r="501">
      <c r="C501" s="58"/>
      <c r="D501" s="58"/>
      <c r="E501" s="58"/>
      <c r="F501" s="58"/>
      <c r="O501" s="110"/>
      <c r="P501" s="110"/>
      <c r="Q501" s="110"/>
    </row>
    <row r="502">
      <c r="C502" s="58"/>
      <c r="D502" s="58"/>
      <c r="E502" s="58"/>
      <c r="F502" s="58"/>
      <c r="O502" s="110"/>
      <c r="P502" s="110"/>
      <c r="Q502" s="110"/>
    </row>
    <row r="503">
      <c r="C503" s="58"/>
      <c r="D503" s="58"/>
      <c r="E503" s="58"/>
      <c r="F503" s="58"/>
      <c r="O503" s="110"/>
      <c r="P503" s="110"/>
      <c r="Q503" s="110"/>
    </row>
    <row r="504">
      <c r="C504" s="58"/>
      <c r="D504" s="58"/>
      <c r="E504" s="58"/>
      <c r="F504" s="58"/>
      <c r="O504" s="110"/>
      <c r="P504" s="110"/>
      <c r="Q504" s="110"/>
    </row>
    <row r="505">
      <c r="C505" s="58"/>
      <c r="D505" s="58"/>
      <c r="E505" s="58"/>
      <c r="F505" s="58"/>
      <c r="O505" s="110"/>
      <c r="P505" s="110"/>
      <c r="Q505" s="110"/>
    </row>
    <row r="506">
      <c r="C506" s="58"/>
      <c r="D506" s="58"/>
      <c r="E506" s="58"/>
      <c r="F506" s="58"/>
      <c r="O506" s="110"/>
      <c r="P506" s="110"/>
      <c r="Q506" s="110"/>
    </row>
    <row r="507">
      <c r="C507" s="58"/>
      <c r="D507" s="58"/>
      <c r="E507" s="58"/>
      <c r="F507" s="58"/>
      <c r="O507" s="110"/>
      <c r="P507" s="110"/>
      <c r="Q507" s="110"/>
    </row>
    <row r="508">
      <c r="C508" s="58"/>
      <c r="D508" s="58"/>
      <c r="E508" s="58"/>
      <c r="F508" s="58"/>
      <c r="O508" s="110"/>
      <c r="P508" s="110"/>
      <c r="Q508" s="110"/>
    </row>
    <row r="509">
      <c r="C509" s="58"/>
      <c r="D509" s="58"/>
      <c r="E509" s="58"/>
      <c r="F509" s="58"/>
      <c r="O509" s="110"/>
      <c r="P509" s="110"/>
      <c r="Q509" s="110"/>
    </row>
    <row r="510">
      <c r="C510" s="58"/>
      <c r="D510" s="58"/>
      <c r="E510" s="58"/>
      <c r="F510" s="58"/>
      <c r="O510" s="110"/>
      <c r="P510" s="110"/>
      <c r="Q510" s="110"/>
    </row>
    <row r="511">
      <c r="C511" s="58"/>
      <c r="D511" s="58"/>
      <c r="E511" s="58"/>
      <c r="F511" s="58"/>
      <c r="O511" s="110"/>
      <c r="P511" s="110"/>
      <c r="Q511" s="110"/>
    </row>
    <row r="512">
      <c r="C512" s="58"/>
      <c r="D512" s="58"/>
      <c r="E512" s="58"/>
      <c r="F512" s="58"/>
      <c r="O512" s="110"/>
      <c r="P512" s="110"/>
      <c r="Q512" s="110"/>
    </row>
    <row r="513">
      <c r="C513" s="58"/>
      <c r="D513" s="58"/>
      <c r="E513" s="58"/>
      <c r="F513" s="58"/>
      <c r="O513" s="110"/>
      <c r="P513" s="110"/>
      <c r="Q513" s="110"/>
    </row>
    <row r="514">
      <c r="C514" s="58"/>
      <c r="D514" s="58"/>
      <c r="E514" s="58"/>
      <c r="F514" s="58"/>
      <c r="O514" s="110"/>
      <c r="P514" s="110"/>
      <c r="Q514" s="110"/>
    </row>
    <row r="515">
      <c r="C515" s="58"/>
      <c r="D515" s="58"/>
      <c r="E515" s="58"/>
      <c r="F515" s="58"/>
      <c r="O515" s="110"/>
      <c r="P515" s="110"/>
      <c r="Q515" s="110"/>
    </row>
    <row r="516">
      <c r="C516" s="58"/>
      <c r="D516" s="58"/>
      <c r="E516" s="58"/>
      <c r="F516" s="58"/>
      <c r="O516" s="110"/>
      <c r="P516" s="110"/>
      <c r="Q516" s="110"/>
    </row>
    <row r="517">
      <c r="C517" s="58"/>
      <c r="D517" s="58"/>
      <c r="E517" s="58"/>
      <c r="F517" s="58"/>
      <c r="O517" s="110"/>
      <c r="P517" s="110"/>
      <c r="Q517" s="110"/>
    </row>
    <row r="518">
      <c r="C518" s="58"/>
      <c r="D518" s="58"/>
      <c r="E518" s="58"/>
      <c r="F518" s="58"/>
      <c r="O518" s="110"/>
      <c r="P518" s="110"/>
      <c r="Q518" s="110"/>
    </row>
    <row r="519">
      <c r="C519" s="58"/>
      <c r="D519" s="58"/>
      <c r="E519" s="58"/>
      <c r="F519" s="58"/>
      <c r="O519" s="110"/>
      <c r="P519" s="110"/>
      <c r="Q519" s="110"/>
    </row>
    <row r="520">
      <c r="C520" s="58"/>
      <c r="D520" s="58"/>
      <c r="E520" s="58"/>
      <c r="F520" s="58"/>
      <c r="O520" s="110"/>
      <c r="P520" s="110"/>
      <c r="Q520" s="110"/>
    </row>
    <row r="521">
      <c r="C521" s="58"/>
      <c r="D521" s="58"/>
      <c r="E521" s="58"/>
      <c r="F521" s="58"/>
      <c r="O521" s="110"/>
      <c r="P521" s="110"/>
      <c r="Q521" s="110"/>
    </row>
    <row r="522">
      <c r="C522" s="58"/>
      <c r="D522" s="58"/>
      <c r="E522" s="58"/>
      <c r="F522" s="58"/>
      <c r="O522" s="110"/>
      <c r="P522" s="110"/>
      <c r="Q522" s="110"/>
    </row>
    <row r="523">
      <c r="C523" s="58"/>
      <c r="D523" s="58"/>
      <c r="E523" s="58"/>
      <c r="F523" s="58"/>
      <c r="O523" s="110"/>
      <c r="P523" s="110"/>
      <c r="Q523" s="110"/>
    </row>
    <row r="524">
      <c r="C524" s="58"/>
      <c r="D524" s="58"/>
      <c r="E524" s="58"/>
      <c r="F524" s="58"/>
      <c r="O524" s="110"/>
      <c r="P524" s="110"/>
      <c r="Q524" s="110"/>
    </row>
    <row r="525">
      <c r="C525" s="58"/>
      <c r="D525" s="58"/>
      <c r="E525" s="58"/>
      <c r="F525" s="58"/>
      <c r="O525" s="110"/>
      <c r="P525" s="110"/>
      <c r="Q525" s="110"/>
    </row>
    <row r="526">
      <c r="C526" s="58"/>
      <c r="D526" s="58"/>
      <c r="E526" s="58"/>
      <c r="F526" s="58"/>
      <c r="O526" s="110"/>
      <c r="P526" s="110"/>
      <c r="Q526" s="110"/>
    </row>
    <row r="527">
      <c r="C527" s="58"/>
      <c r="D527" s="58"/>
      <c r="E527" s="58"/>
      <c r="F527" s="58"/>
      <c r="O527" s="110"/>
      <c r="P527" s="110"/>
      <c r="Q527" s="110"/>
    </row>
    <row r="528">
      <c r="C528" s="58"/>
      <c r="D528" s="58"/>
      <c r="E528" s="58"/>
      <c r="F528" s="58"/>
      <c r="O528" s="110"/>
      <c r="P528" s="110"/>
      <c r="Q528" s="110"/>
    </row>
    <row r="529">
      <c r="C529" s="58"/>
      <c r="D529" s="58"/>
      <c r="E529" s="58"/>
      <c r="F529" s="58"/>
      <c r="O529" s="110"/>
      <c r="P529" s="110"/>
      <c r="Q529" s="110"/>
    </row>
    <row r="530">
      <c r="C530" s="58"/>
      <c r="D530" s="58"/>
      <c r="E530" s="58"/>
      <c r="F530" s="58"/>
      <c r="O530" s="110"/>
      <c r="P530" s="110"/>
      <c r="Q530" s="110"/>
    </row>
    <row r="531">
      <c r="C531" s="58"/>
      <c r="D531" s="58"/>
      <c r="E531" s="58"/>
      <c r="F531" s="58"/>
      <c r="O531" s="110"/>
      <c r="P531" s="110"/>
      <c r="Q531" s="110"/>
    </row>
    <row r="532">
      <c r="C532" s="58"/>
      <c r="D532" s="58"/>
      <c r="E532" s="58"/>
      <c r="F532" s="58"/>
      <c r="O532" s="110"/>
      <c r="P532" s="110"/>
      <c r="Q532" s="110"/>
    </row>
    <row r="533">
      <c r="C533" s="58"/>
      <c r="D533" s="58"/>
      <c r="E533" s="58"/>
      <c r="F533" s="58"/>
      <c r="O533" s="110"/>
      <c r="P533" s="110"/>
      <c r="Q533" s="110"/>
    </row>
    <row r="534">
      <c r="C534" s="58"/>
      <c r="D534" s="58"/>
      <c r="E534" s="58"/>
      <c r="F534" s="58"/>
      <c r="O534" s="110"/>
      <c r="P534" s="110"/>
      <c r="Q534" s="110"/>
    </row>
    <row r="535">
      <c r="C535" s="58"/>
      <c r="D535" s="58"/>
      <c r="E535" s="58"/>
      <c r="F535" s="58"/>
      <c r="O535" s="110"/>
      <c r="P535" s="110"/>
      <c r="Q535" s="110"/>
    </row>
    <row r="536">
      <c r="C536" s="58"/>
      <c r="D536" s="58"/>
      <c r="E536" s="58"/>
      <c r="F536" s="58"/>
      <c r="O536" s="110"/>
      <c r="P536" s="110"/>
      <c r="Q536" s="110"/>
    </row>
    <row r="537">
      <c r="C537" s="58"/>
      <c r="D537" s="58"/>
      <c r="E537" s="58"/>
      <c r="F537" s="58"/>
      <c r="O537" s="110"/>
      <c r="P537" s="110"/>
      <c r="Q537" s="110"/>
    </row>
    <row r="538">
      <c r="C538" s="58"/>
      <c r="D538" s="58"/>
      <c r="E538" s="58"/>
      <c r="F538" s="58"/>
      <c r="O538" s="110"/>
      <c r="P538" s="110"/>
      <c r="Q538" s="110"/>
    </row>
    <row r="539">
      <c r="C539" s="58"/>
      <c r="D539" s="58"/>
      <c r="E539" s="58"/>
      <c r="F539" s="58"/>
      <c r="O539" s="110"/>
      <c r="P539" s="110"/>
      <c r="Q539" s="110"/>
    </row>
    <row r="540">
      <c r="C540" s="58"/>
      <c r="D540" s="58"/>
      <c r="E540" s="58"/>
      <c r="F540" s="58"/>
      <c r="O540" s="110"/>
      <c r="P540" s="110"/>
      <c r="Q540" s="110"/>
    </row>
    <row r="541">
      <c r="C541" s="58"/>
      <c r="D541" s="58"/>
      <c r="E541" s="58"/>
      <c r="F541" s="58"/>
      <c r="O541" s="110"/>
      <c r="P541" s="110"/>
      <c r="Q541" s="110"/>
    </row>
    <row r="542">
      <c r="C542" s="58"/>
      <c r="D542" s="58"/>
      <c r="E542" s="58"/>
      <c r="F542" s="58"/>
      <c r="O542" s="110"/>
      <c r="P542" s="110"/>
      <c r="Q542" s="110"/>
    </row>
    <row r="543">
      <c r="C543" s="58"/>
      <c r="D543" s="58"/>
      <c r="E543" s="58"/>
      <c r="F543" s="58"/>
      <c r="O543" s="110"/>
      <c r="P543" s="110"/>
      <c r="Q543" s="110"/>
    </row>
    <row r="544">
      <c r="C544" s="58"/>
      <c r="D544" s="58"/>
      <c r="E544" s="58"/>
      <c r="F544" s="58"/>
      <c r="O544" s="110"/>
      <c r="P544" s="110"/>
      <c r="Q544" s="110"/>
    </row>
    <row r="545">
      <c r="C545" s="58"/>
      <c r="D545" s="58"/>
      <c r="E545" s="58"/>
      <c r="F545" s="58"/>
      <c r="O545" s="110"/>
      <c r="P545" s="110"/>
      <c r="Q545" s="110"/>
    </row>
    <row r="546">
      <c r="C546" s="58"/>
      <c r="D546" s="58"/>
      <c r="E546" s="58"/>
      <c r="F546" s="58"/>
      <c r="O546" s="110"/>
      <c r="P546" s="110"/>
      <c r="Q546" s="110"/>
    </row>
    <row r="547">
      <c r="C547" s="58"/>
      <c r="D547" s="58"/>
      <c r="E547" s="58"/>
      <c r="F547" s="58"/>
      <c r="O547" s="110"/>
      <c r="P547" s="110"/>
      <c r="Q547" s="110"/>
    </row>
    <row r="548">
      <c r="C548" s="58"/>
      <c r="D548" s="58"/>
      <c r="E548" s="58"/>
      <c r="F548" s="58"/>
      <c r="O548" s="110"/>
      <c r="P548" s="110"/>
      <c r="Q548" s="110"/>
    </row>
    <row r="549">
      <c r="C549" s="58"/>
      <c r="D549" s="58"/>
      <c r="E549" s="58"/>
      <c r="F549" s="58"/>
      <c r="O549" s="110"/>
      <c r="P549" s="110"/>
      <c r="Q549" s="110"/>
    </row>
    <row r="550">
      <c r="C550" s="58"/>
      <c r="D550" s="58"/>
      <c r="E550" s="58"/>
      <c r="F550" s="58"/>
      <c r="O550" s="110"/>
      <c r="P550" s="110"/>
      <c r="Q550" s="110"/>
    </row>
    <row r="551">
      <c r="C551" s="58"/>
      <c r="D551" s="58"/>
      <c r="E551" s="58"/>
      <c r="F551" s="58"/>
      <c r="O551" s="110"/>
      <c r="P551" s="110"/>
      <c r="Q551" s="110"/>
    </row>
    <row r="552">
      <c r="C552" s="58"/>
      <c r="D552" s="58"/>
      <c r="E552" s="58"/>
      <c r="F552" s="58"/>
      <c r="O552" s="110"/>
      <c r="P552" s="110"/>
      <c r="Q552" s="110"/>
    </row>
    <row r="553">
      <c r="C553" s="58"/>
      <c r="D553" s="58"/>
      <c r="E553" s="58"/>
      <c r="F553" s="58"/>
      <c r="O553" s="110"/>
      <c r="P553" s="110"/>
      <c r="Q553" s="110"/>
    </row>
    <row r="554">
      <c r="C554" s="58"/>
      <c r="D554" s="58"/>
      <c r="E554" s="58"/>
      <c r="F554" s="58"/>
      <c r="O554" s="110"/>
      <c r="P554" s="110"/>
      <c r="Q554" s="110"/>
    </row>
    <row r="555">
      <c r="C555" s="58"/>
      <c r="D555" s="58"/>
      <c r="E555" s="58"/>
      <c r="F555" s="58"/>
      <c r="O555" s="110"/>
      <c r="P555" s="110"/>
      <c r="Q555" s="110"/>
    </row>
    <row r="556">
      <c r="C556" s="58"/>
      <c r="D556" s="58"/>
      <c r="E556" s="58"/>
      <c r="F556" s="58"/>
      <c r="O556" s="110"/>
      <c r="P556" s="110"/>
      <c r="Q556" s="110"/>
    </row>
    <row r="557">
      <c r="C557" s="58"/>
      <c r="D557" s="58"/>
      <c r="E557" s="58"/>
      <c r="F557" s="58"/>
      <c r="O557" s="110"/>
      <c r="P557" s="110"/>
      <c r="Q557" s="110"/>
    </row>
    <row r="558">
      <c r="C558" s="58"/>
      <c r="D558" s="58"/>
      <c r="E558" s="58"/>
      <c r="F558" s="58"/>
      <c r="O558" s="110"/>
      <c r="P558" s="110"/>
      <c r="Q558" s="110"/>
    </row>
    <row r="559">
      <c r="C559" s="58"/>
      <c r="D559" s="58"/>
      <c r="E559" s="58"/>
      <c r="F559" s="58"/>
      <c r="O559" s="110"/>
      <c r="P559" s="110"/>
      <c r="Q559" s="110"/>
    </row>
    <row r="560">
      <c r="C560" s="58"/>
      <c r="D560" s="58"/>
      <c r="E560" s="58"/>
      <c r="F560" s="58"/>
      <c r="O560" s="110"/>
      <c r="P560" s="110"/>
      <c r="Q560" s="110"/>
    </row>
    <row r="561">
      <c r="C561" s="58"/>
      <c r="D561" s="58"/>
      <c r="E561" s="58"/>
      <c r="F561" s="58"/>
      <c r="O561" s="110"/>
      <c r="P561" s="110"/>
      <c r="Q561" s="110"/>
    </row>
    <row r="562">
      <c r="C562" s="58"/>
      <c r="D562" s="58"/>
      <c r="E562" s="58"/>
      <c r="F562" s="58"/>
      <c r="O562" s="110"/>
      <c r="P562" s="110"/>
      <c r="Q562" s="110"/>
    </row>
    <row r="563">
      <c r="C563" s="58"/>
      <c r="D563" s="58"/>
      <c r="E563" s="58"/>
      <c r="F563" s="58"/>
      <c r="O563" s="110"/>
      <c r="P563" s="110"/>
      <c r="Q563" s="110"/>
    </row>
    <row r="564">
      <c r="C564" s="58"/>
      <c r="D564" s="58"/>
      <c r="E564" s="58"/>
      <c r="F564" s="58"/>
      <c r="O564" s="110"/>
      <c r="P564" s="110"/>
      <c r="Q564" s="110"/>
    </row>
    <row r="565">
      <c r="C565" s="58"/>
      <c r="D565" s="58"/>
      <c r="E565" s="58"/>
      <c r="F565" s="58"/>
      <c r="O565" s="110"/>
      <c r="P565" s="110"/>
      <c r="Q565" s="110"/>
    </row>
    <row r="566">
      <c r="C566" s="58"/>
      <c r="D566" s="58"/>
      <c r="E566" s="58"/>
      <c r="F566" s="58"/>
      <c r="O566" s="110"/>
      <c r="P566" s="110"/>
      <c r="Q566" s="110"/>
    </row>
    <row r="567">
      <c r="C567" s="58"/>
      <c r="D567" s="58"/>
      <c r="E567" s="58"/>
      <c r="F567" s="58"/>
      <c r="O567" s="110"/>
      <c r="P567" s="110"/>
      <c r="Q567" s="110"/>
    </row>
    <row r="568">
      <c r="C568" s="58"/>
      <c r="D568" s="58"/>
      <c r="E568" s="58"/>
      <c r="F568" s="58"/>
      <c r="O568" s="110"/>
      <c r="P568" s="110"/>
      <c r="Q568" s="110"/>
    </row>
    <row r="569">
      <c r="C569" s="58"/>
      <c r="D569" s="58"/>
      <c r="E569" s="58"/>
      <c r="F569" s="58"/>
      <c r="O569" s="110"/>
      <c r="P569" s="110"/>
      <c r="Q569" s="110"/>
    </row>
    <row r="570">
      <c r="C570" s="58"/>
      <c r="D570" s="58"/>
      <c r="E570" s="58"/>
      <c r="F570" s="58"/>
      <c r="O570" s="110"/>
      <c r="P570" s="110"/>
      <c r="Q570" s="110"/>
    </row>
    <row r="571">
      <c r="C571" s="58"/>
      <c r="D571" s="58"/>
      <c r="E571" s="58"/>
      <c r="F571" s="58"/>
      <c r="O571" s="110"/>
      <c r="P571" s="110"/>
      <c r="Q571" s="110"/>
    </row>
    <row r="572">
      <c r="C572" s="58"/>
      <c r="D572" s="58"/>
      <c r="E572" s="58"/>
      <c r="F572" s="58"/>
      <c r="O572" s="110"/>
      <c r="P572" s="110"/>
      <c r="Q572" s="110"/>
    </row>
    <row r="573">
      <c r="C573" s="58"/>
      <c r="D573" s="58"/>
      <c r="E573" s="58"/>
      <c r="F573" s="58"/>
      <c r="O573" s="110"/>
      <c r="P573" s="110"/>
      <c r="Q573" s="110"/>
    </row>
    <row r="574">
      <c r="C574" s="58"/>
      <c r="D574" s="58"/>
      <c r="E574" s="58"/>
      <c r="F574" s="58"/>
      <c r="O574" s="110"/>
      <c r="P574" s="110"/>
      <c r="Q574" s="110"/>
    </row>
    <row r="575">
      <c r="C575" s="58"/>
      <c r="D575" s="58"/>
      <c r="E575" s="58"/>
      <c r="F575" s="58"/>
      <c r="O575" s="110"/>
      <c r="P575" s="110"/>
      <c r="Q575" s="110"/>
    </row>
    <row r="576">
      <c r="C576" s="58"/>
      <c r="D576" s="58"/>
      <c r="E576" s="58"/>
      <c r="F576" s="58"/>
      <c r="O576" s="110"/>
      <c r="P576" s="110"/>
      <c r="Q576" s="110"/>
    </row>
    <row r="577">
      <c r="C577" s="58"/>
      <c r="D577" s="58"/>
      <c r="E577" s="58"/>
      <c r="F577" s="58"/>
      <c r="O577" s="110"/>
      <c r="P577" s="110"/>
      <c r="Q577" s="110"/>
    </row>
    <row r="578">
      <c r="C578" s="58"/>
      <c r="D578" s="58"/>
      <c r="E578" s="58"/>
      <c r="F578" s="58"/>
      <c r="O578" s="110"/>
      <c r="P578" s="110"/>
      <c r="Q578" s="110"/>
    </row>
    <row r="579">
      <c r="C579" s="58"/>
      <c r="D579" s="58"/>
      <c r="E579" s="58"/>
      <c r="F579" s="58"/>
      <c r="O579" s="110"/>
      <c r="P579" s="110"/>
      <c r="Q579" s="110"/>
    </row>
    <row r="580">
      <c r="C580" s="58"/>
      <c r="D580" s="58"/>
      <c r="E580" s="58"/>
      <c r="F580" s="58"/>
      <c r="O580" s="110"/>
      <c r="P580" s="110"/>
      <c r="Q580" s="110"/>
    </row>
    <row r="581">
      <c r="C581" s="58"/>
      <c r="D581" s="58"/>
      <c r="E581" s="58"/>
      <c r="F581" s="58"/>
      <c r="O581" s="110"/>
      <c r="P581" s="110"/>
      <c r="Q581" s="110"/>
    </row>
    <row r="582">
      <c r="C582" s="58"/>
      <c r="D582" s="58"/>
      <c r="E582" s="58"/>
      <c r="F582" s="58"/>
      <c r="O582" s="110"/>
      <c r="P582" s="110"/>
      <c r="Q582" s="110"/>
    </row>
    <row r="583">
      <c r="C583" s="58"/>
      <c r="D583" s="58"/>
      <c r="E583" s="58"/>
      <c r="F583" s="58"/>
      <c r="O583" s="110"/>
      <c r="P583" s="110"/>
      <c r="Q583" s="110"/>
    </row>
    <row r="584">
      <c r="C584" s="58"/>
      <c r="D584" s="58"/>
      <c r="E584" s="58"/>
      <c r="F584" s="58"/>
      <c r="O584" s="110"/>
      <c r="P584" s="110"/>
      <c r="Q584" s="110"/>
    </row>
    <row r="585">
      <c r="C585" s="58"/>
      <c r="D585" s="58"/>
      <c r="E585" s="58"/>
      <c r="F585" s="58"/>
      <c r="O585" s="110"/>
      <c r="P585" s="110"/>
      <c r="Q585" s="110"/>
    </row>
    <row r="586">
      <c r="C586" s="58"/>
      <c r="D586" s="58"/>
      <c r="E586" s="58"/>
      <c r="F586" s="58"/>
      <c r="O586" s="110"/>
      <c r="P586" s="110"/>
      <c r="Q586" s="110"/>
    </row>
    <row r="587">
      <c r="C587" s="58"/>
      <c r="D587" s="58"/>
      <c r="E587" s="58"/>
      <c r="F587" s="58"/>
      <c r="O587" s="110"/>
      <c r="P587" s="110"/>
      <c r="Q587" s="110"/>
    </row>
    <row r="588">
      <c r="C588" s="58"/>
      <c r="D588" s="58"/>
      <c r="E588" s="58"/>
      <c r="F588" s="58"/>
      <c r="O588" s="110"/>
      <c r="P588" s="110"/>
      <c r="Q588" s="110"/>
    </row>
    <row r="589">
      <c r="C589" s="58"/>
      <c r="D589" s="58"/>
      <c r="E589" s="58"/>
      <c r="F589" s="58"/>
      <c r="O589" s="110"/>
      <c r="P589" s="110"/>
      <c r="Q589" s="110"/>
    </row>
    <row r="590">
      <c r="C590" s="58"/>
      <c r="D590" s="58"/>
      <c r="E590" s="58"/>
      <c r="F590" s="58"/>
      <c r="O590" s="110"/>
      <c r="P590" s="110"/>
      <c r="Q590" s="110"/>
    </row>
    <row r="591">
      <c r="C591" s="58"/>
      <c r="D591" s="58"/>
      <c r="E591" s="58"/>
      <c r="F591" s="58"/>
      <c r="O591" s="110"/>
      <c r="P591" s="110"/>
      <c r="Q591" s="110"/>
    </row>
    <row r="592">
      <c r="C592" s="58"/>
      <c r="D592" s="58"/>
      <c r="E592" s="58"/>
      <c r="F592" s="58"/>
      <c r="O592" s="110"/>
      <c r="P592" s="110"/>
      <c r="Q592" s="110"/>
    </row>
    <row r="593">
      <c r="C593" s="58"/>
      <c r="D593" s="58"/>
      <c r="E593" s="58"/>
      <c r="F593" s="58"/>
      <c r="O593" s="110"/>
      <c r="P593" s="110"/>
      <c r="Q593" s="110"/>
    </row>
    <row r="594">
      <c r="C594" s="58"/>
      <c r="D594" s="58"/>
      <c r="E594" s="58"/>
      <c r="F594" s="58"/>
      <c r="O594" s="110"/>
      <c r="P594" s="110"/>
      <c r="Q594" s="110"/>
    </row>
    <row r="595">
      <c r="C595" s="58"/>
      <c r="D595" s="58"/>
      <c r="E595" s="58"/>
      <c r="F595" s="58"/>
      <c r="O595" s="110"/>
      <c r="P595" s="110"/>
      <c r="Q595" s="110"/>
    </row>
    <row r="596">
      <c r="C596" s="58"/>
      <c r="D596" s="58"/>
      <c r="E596" s="58"/>
      <c r="F596" s="58"/>
      <c r="O596" s="110"/>
      <c r="P596" s="110"/>
      <c r="Q596" s="110"/>
    </row>
    <row r="597">
      <c r="C597" s="58"/>
      <c r="D597" s="58"/>
      <c r="E597" s="58"/>
      <c r="F597" s="58"/>
      <c r="O597" s="110"/>
      <c r="P597" s="110"/>
      <c r="Q597" s="110"/>
    </row>
    <row r="598">
      <c r="C598" s="58"/>
      <c r="D598" s="58"/>
      <c r="E598" s="58"/>
      <c r="F598" s="58"/>
      <c r="O598" s="110"/>
      <c r="P598" s="110"/>
      <c r="Q598" s="110"/>
    </row>
    <row r="599">
      <c r="C599" s="58"/>
      <c r="D599" s="58"/>
      <c r="E599" s="58"/>
      <c r="F599" s="58"/>
      <c r="O599" s="110"/>
      <c r="P599" s="110"/>
      <c r="Q599" s="110"/>
    </row>
    <row r="600">
      <c r="C600" s="58"/>
      <c r="D600" s="58"/>
      <c r="E600" s="58"/>
      <c r="F600" s="58"/>
      <c r="O600" s="110"/>
      <c r="P600" s="110"/>
      <c r="Q600" s="110"/>
    </row>
    <row r="601">
      <c r="C601" s="58"/>
      <c r="D601" s="58"/>
      <c r="E601" s="58"/>
      <c r="F601" s="58"/>
      <c r="O601" s="110"/>
      <c r="P601" s="110"/>
      <c r="Q601" s="110"/>
    </row>
    <row r="602">
      <c r="C602" s="58"/>
      <c r="D602" s="58"/>
      <c r="E602" s="58"/>
      <c r="F602" s="58"/>
      <c r="O602" s="110"/>
      <c r="P602" s="110"/>
      <c r="Q602" s="110"/>
    </row>
    <row r="603">
      <c r="C603" s="58"/>
      <c r="D603" s="58"/>
      <c r="E603" s="58"/>
      <c r="F603" s="58"/>
      <c r="O603" s="110"/>
      <c r="P603" s="110"/>
      <c r="Q603" s="110"/>
    </row>
    <row r="604">
      <c r="C604" s="58"/>
      <c r="D604" s="58"/>
      <c r="E604" s="58"/>
      <c r="F604" s="58"/>
      <c r="O604" s="110"/>
      <c r="P604" s="110"/>
      <c r="Q604" s="110"/>
    </row>
    <row r="605">
      <c r="C605" s="58"/>
      <c r="D605" s="58"/>
      <c r="E605" s="58"/>
      <c r="F605" s="58"/>
      <c r="O605" s="110"/>
      <c r="P605" s="110"/>
      <c r="Q605" s="110"/>
    </row>
    <row r="606">
      <c r="C606" s="58"/>
      <c r="D606" s="58"/>
      <c r="E606" s="58"/>
      <c r="F606" s="58"/>
      <c r="O606" s="110"/>
      <c r="P606" s="110"/>
      <c r="Q606" s="110"/>
    </row>
    <row r="607">
      <c r="C607" s="58"/>
      <c r="D607" s="58"/>
      <c r="E607" s="58"/>
      <c r="F607" s="58"/>
      <c r="O607" s="110"/>
      <c r="P607" s="110"/>
      <c r="Q607" s="110"/>
    </row>
    <row r="608">
      <c r="C608" s="58"/>
      <c r="D608" s="58"/>
      <c r="E608" s="58"/>
      <c r="F608" s="58"/>
      <c r="O608" s="110"/>
      <c r="P608" s="110"/>
      <c r="Q608" s="110"/>
    </row>
    <row r="609">
      <c r="C609" s="58"/>
      <c r="D609" s="58"/>
      <c r="E609" s="58"/>
      <c r="F609" s="58"/>
      <c r="O609" s="110"/>
      <c r="P609" s="110"/>
      <c r="Q609" s="110"/>
    </row>
    <row r="610">
      <c r="C610" s="58"/>
      <c r="D610" s="58"/>
      <c r="E610" s="58"/>
      <c r="F610" s="58"/>
      <c r="O610" s="110"/>
      <c r="P610" s="110"/>
      <c r="Q610" s="110"/>
    </row>
    <row r="611">
      <c r="C611" s="58"/>
      <c r="D611" s="58"/>
      <c r="E611" s="58"/>
      <c r="F611" s="58"/>
      <c r="O611" s="110"/>
      <c r="P611" s="110"/>
      <c r="Q611" s="110"/>
    </row>
    <row r="612">
      <c r="C612" s="58"/>
      <c r="D612" s="58"/>
      <c r="E612" s="58"/>
      <c r="F612" s="58"/>
      <c r="O612" s="110"/>
      <c r="P612" s="110"/>
      <c r="Q612" s="110"/>
    </row>
    <row r="613">
      <c r="C613" s="58"/>
      <c r="D613" s="58"/>
      <c r="E613" s="58"/>
      <c r="F613" s="58"/>
      <c r="O613" s="110"/>
      <c r="P613" s="110"/>
      <c r="Q613" s="110"/>
    </row>
    <row r="614">
      <c r="C614" s="58"/>
      <c r="D614" s="58"/>
      <c r="E614" s="58"/>
      <c r="F614" s="58"/>
      <c r="O614" s="110"/>
      <c r="P614" s="110"/>
      <c r="Q614" s="110"/>
    </row>
    <row r="615">
      <c r="C615" s="58"/>
      <c r="D615" s="58"/>
      <c r="E615" s="58"/>
      <c r="F615" s="58"/>
      <c r="O615" s="110"/>
      <c r="P615" s="110"/>
      <c r="Q615" s="110"/>
    </row>
    <row r="616">
      <c r="C616" s="58"/>
      <c r="D616" s="58"/>
      <c r="E616" s="58"/>
      <c r="F616" s="58"/>
      <c r="O616" s="110"/>
      <c r="P616" s="110"/>
      <c r="Q616" s="110"/>
    </row>
    <row r="617">
      <c r="C617" s="58"/>
      <c r="D617" s="58"/>
      <c r="E617" s="58"/>
      <c r="F617" s="58"/>
      <c r="O617" s="110"/>
      <c r="P617" s="110"/>
      <c r="Q617" s="110"/>
    </row>
    <row r="618">
      <c r="C618" s="58"/>
      <c r="D618" s="58"/>
      <c r="E618" s="58"/>
      <c r="F618" s="58"/>
      <c r="O618" s="110"/>
      <c r="P618" s="110"/>
      <c r="Q618" s="110"/>
    </row>
    <row r="619">
      <c r="C619" s="58"/>
      <c r="D619" s="58"/>
      <c r="E619" s="58"/>
      <c r="F619" s="58"/>
      <c r="O619" s="110"/>
      <c r="P619" s="110"/>
      <c r="Q619" s="110"/>
    </row>
    <row r="620">
      <c r="C620" s="58"/>
      <c r="D620" s="58"/>
      <c r="E620" s="58"/>
      <c r="F620" s="58"/>
      <c r="O620" s="110"/>
      <c r="P620" s="110"/>
      <c r="Q620" s="110"/>
    </row>
    <row r="621">
      <c r="C621" s="58"/>
      <c r="D621" s="58"/>
      <c r="E621" s="58"/>
      <c r="F621" s="58"/>
      <c r="O621" s="110"/>
      <c r="P621" s="110"/>
      <c r="Q621" s="110"/>
    </row>
    <row r="622">
      <c r="C622" s="58"/>
      <c r="D622" s="58"/>
      <c r="E622" s="58"/>
      <c r="F622" s="58"/>
      <c r="O622" s="110"/>
      <c r="P622" s="110"/>
      <c r="Q622" s="110"/>
    </row>
    <row r="623">
      <c r="C623" s="58"/>
      <c r="D623" s="58"/>
      <c r="E623" s="58"/>
      <c r="F623" s="58"/>
      <c r="O623" s="110"/>
      <c r="P623" s="110"/>
      <c r="Q623" s="110"/>
    </row>
    <row r="624">
      <c r="C624" s="58"/>
      <c r="D624" s="58"/>
      <c r="E624" s="58"/>
      <c r="F624" s="58"/>
      <c r="O624" s="110"/>
      <c r="P624" s="110"/>
      <c r="Q624" s="110"/>
    </row>
    <row r="625">
      <c r="C625" s="58"/>
      <c r="D625" s="58"/>
      <c r="E625" s="58"/>
      <c r="F625" s="58"/>
      <c r="O625" s="110"/>
      <c r="P625" s="110"/>
      <c r="Q625" s="110"/>
    </row>
    <row r="626">
      <c r="C626" s="58"/>
      <c r="D626" s="58"/>
      <c r="E626" s="58"/>
      <c r="F626" s="58"/>
      <c r="O626" s="110"/>
      <c r="P626" s="110"/>
      <c r="Q626" s="110"/>
    </row>
    <row r="627">
      <c r="C627" s="58"/>
      <c r="D627" s="58"/>
      <c r="E627" s="58"/>
      <c r="F627" s="58"/>
      <c r="O627" s="110"/>
      <c r="P627" s="110"/>
      <c r="Q627" s="110"/>
    </row>
    <row r="628">
      <c r="C628" s="58"/>
      <c r="D628" s="58"/>
      <c r="E628" s="58"/>
      <c r="F628" s="58"/>
      <c r="O628" s="110"/>
      <c r="P628" s="110"/>
      <c r="Q628" s="110"/>
    </row>
    <row r="629">
      <c r="C629" s="58"/>
      <c r="D629" s="58"/>
      <c r="E629" s="58"/>
      <c r="F629" s="58"/>
      <c r="O629" s="110"/>
      <c r="P629" s="110"/>
      <c r="Q629" s="110"/>
    </row>
    <row r="630">
      <c r="C630" s="58"/>
      <c r="D630" s="58"/>
      <c r="E630" s="58"/>
      <c r="F630" s="58"/>
      <c r="O630" s="110"/>
      <c r="P630" s="110"/>
      <c r="Q630" s="110"/>
    </row>
    <row r="631">
      <c r="C631" s="58"/>
      <c r="D631" s="58"/>
      <c r="E631" s="58"/>
      <c r="F631" s="58"/>
      <c r="O631" s="110"/>
      <c r="P631" s="110"/>
      <c r="Q631" s="110"/>
    </row>
    <row r="632">
      <c r="C632" s="58"/>
      <c r="D632" s="58"/>
      <c r="E632" s="58"/>
      <c r="F632" s="58"/>
      <c r="O632" s="110"/>
      <c r="P632" s="110"/>
      <c r="Q632" s="110"/>
    </row>
    <row r="633">
      <c r="C633" s="58"/>
      <c r="D633" s="58"/>
      <c r="E633" s="58"/>
      <c r="F633" s="58"/>
      <c r="O633" s="110"/>
      <c r="P633" s="110"/>
      <c r="Q633" s="110"/>
    </row>
    <row r="634">
      <c r="C634" s="58"/>
      <c r="D634" s="58"/>
      <c r="E634" s="58"/>
      <c r="F634" s="58"/>
      <c r="O634" s="110"/>
      <c r="P634" s="110"/>
      <c r="Q634" s="110"/>
    </row>
    <row r="635">
      <c r="C635" s="58"/>
      <c r="D635" s="58"/>
      <c r="E635" s="58"/>
      <c r="F635" s="58"/>
      <c r="O635" s="110"/>
      <c r="P635" s="110"/>
      <c r="Q635" s="110"/>
    </row>
    <row r="636">
      <c r="C636" s="58"/>
      <c r="D636" s="58"/>
      <c r="E636" s="58"/>
      <c r="F636" s="58"/>
      <c r="O636" s="110"/>
      <c r="P636" s="110"/>
      <c r="Q636" s="110"/>
    </row>
    <row r="637">
      <c r="C637" s="58"/>
      <c r="D637" s="58"/>
      <c r="E637" s="58"/>
      <c r="F637" s="58"/>
      <c r="O637" s="110"/>
      <c r="P637" s="110"/>
      <c r="Q637" s="110"/>
    </row>
    <row r="638">
      <c r="C638" s="58"/>
      <c r="D638" s="58"/>
      <c r="E638" s="58"/>
      <c r="F638" s="58"/>
      <c r="O638" s="110"/>
      <c r="P638" s="110"/>
      <c r="Q638" s="110"/>
    </row>
    <row r="639">
      <c r="C639" s="58"/>
      <c r="D639" s="58"/>
      <c r="E639" s="58"/>
      <c r="F639" s="58"/>
      <c r="O639" s="110"/>
      <c r="P639" s="110"/>
      <c r="Q639" s="110"/>
    </row>
    <row r="640">
      <c r="C640" s="58"/>
      <c r="D640" s="58"/>
      <c r="E640" s="58"/>
      <c r="F640" s="58"/>
      <c r="O640" s="110"/>
      <c r="P640" s="110"/>
      <c r="Q640" s="110"/>
    </row>
    <row r="641">
      <c r="C641" s="58"/>
      <c r="D641" s="58"/>
      <c r="E641" s="58"/>
      <c r="F641" s="58"/>
      <c r="O641" s="110"/>
      <c r="P641" s="110"/>
      <c r="Q641" s="110"/>
    </row>
    <row r="642">
      <c r="C642" s="58"/>
      <c r="D642" s="58"/>
      <c r="E642" s="58"/>
      <c r="F642" s="58"/>
      <c r="O642" s="110"/>
      <c r="P642" s="110"/>
      <c r="Q642" s="110"/>
    </row>
    <row r="643">
      <c r="C643" s="58"/>
      <c r="D643" s="58"/>
      <c r="E643" s="58"/>
      <c r="F643" s="58"/>
      <c r="O643" s="110"/>
      <c r="P643" s="110"/>
      <c r="Q643" s="110"/>
    </row>
    <row r="644">
      <c r="C644" s="58"/>
      <c r="D644" s="58"/>
      <c r="E644" s="58"/>
      <c r="F644" s="58"/>
      <c r="O644" s="110"/>
      <c r="P644" s="110"/>
      <c r="Q644" s="110"/>
    </row>
    <row r="645">
      <c r="C645" s="58"/>
      <c r="D645" s="58"/>
      <c r="E645" s="58"/>
      <c r="F645" s="58"/>
      <c r="O645" s="110"/>
      <c r="P645" s="110"/>
      <c r="Q645" s="110"/>
    </row>
    <row r="646">
      <c r="C646" s="58"/>
      <c r="D646" s="58"/>
      <c r="E646" s="58"/>
      <c r="F646" s="58"/>
      <c r="O646" s="110"/>
      <c r="P646" s="110"/>
      <c r="Q646" s="110"/>
    </row>
    <row r="647">
      <c r="C647" s="58"/>
      <c r="D647" s="58"/>
      <c r="E647" s="58"/>
      <c r="F647" s="58"/>
      <c r="O647" s="110"/>
      <c r="P647" s="110"/>
      <c r="Q647" s="110"/>
    </row>
    <row r="648">
      <c r="C648" s="58"/>
      <c r="D648" s="58"/>
      <c r="E648" s="58"/>
      <c r="F648" s="58"/>
      <c r="O648" s="110"/>
      <c r="P648" s="110"/>
      <c r="Q648" s="110"/>
    </row>
    <row r="649">
      <c r="C649" s="58"/>
      <c r="D649" s="58"/>
      <c r="E649" s="58"/>
      <c r="F649" s="58"/>
      <c r="O649" s="110"/>
      <c r="P649" s="110"/>
      <c r="Q649" s="110"/>
    </row>
    <row r="650">
      <c r="C650" s="58"/>
      <c r="D650" s="58"/>
      <c r="E650" s="58"/>
      <c r="F650" s="58"/>
      <c r="O650" s="110"/>
      <c r="P650" s="110"/>
      <c r="Q650" s="110"/>
    </row>
    <row r="651">
      <c r="C651" s="58"/>
      <c r="D651" s="58"/>
      <c r="E651" s="58"/>
      <c r="F651" s="58"/>
      <c r="O651" s="110"/>
      <c r="P651" s="110"/>
      <c r="Q651" s="110"/>
    </row>
    <row r="652">
      <c r="C652" s="58"/>
      <c r="D652" s="58"/>
      <c r="E652" s="58"/>
      <c r="F652" s="58"/>
      <c r="O652" s="110"/>
      <c r="P652" s="110"/>
      <c r="Q652" s="110"/>
    </row>
    <row r="653">
      <c r="C653" s="58"/>
      <c r="D653" s="58"/>
      <c r="E653" s="58"/>
      <c r="F653" s="58"/>
      <c r="O653" s="110"/>
      <c r="P653" s="110"/>
      <c r="Q653" s="110"/>
    </row>
    <row r="654">
      <c r="C654" s="58"/>
      <c r="D654" s="58"/>
      <c r="E654" s="58"/>
      <c r="F654" s="58"/>
      <c r="O654" s="110"/>
      <c r="P654" s="110"/>
      <c r="Q654" s="110"/>
    </row>
    <row r="655">
      <c r="C655" s="58"/>
      <c r="D655" s="58"/>
      <c r="E655" s="58"/>
      <c r="F655" s="58"/>
      <c r="O655" s="110"/>
      <c r="P655" s="110"/>
      <c r="Q655" s="110"/>
    </row>
    <row r="656">
      <c r="C656" s="58"/>
      <c r="D656" s="58"/>
      <c r="E656" s="58"/>
      <c r="F656" s="58"/>
      <c r="O656" s="110"/>
      <c r="P656" s="110"/>
      <c r="Q656" s="110"/>
    </row>
    <row r="657">
      <c r="C657" s="58"/>
      <c r="D657" s="58"/>
      <c r="E657" s="58"/>
      <c r="F657" s="58"/>
      <c r="O657" s="110"/>
      <c r="P657" s="110"/>
      <c r="Q657" s="110"/>
    </row>
    <row r="658">
      <c r="C658" s="58"/>
      <c r="D658" s="58"/>
      <c r="E658" s="58"/>
      <c r="F658" s="58"/>
      <c r="O658" s="110"/>
      <c r="P658" s="110"/>
      <c r="Q658" s="110"/>
    </row>
    <row r="659">
      <c r="C659" s="58"/>
      <c r="D659" s="58"/>
      <c r="E659" s="58"/>
      <c r="F659" s="58"/>
      <c r="O659" s="110"/>
      <c r="P659" s="110"/>
      <c r="Q659" s="110"/>
    </row>
    <row r="660">
      <c r="C660" s="58"/>
      <c r="D660" s="58"/>
      <c r="E660" s="58"/>
      <c r="F660" s="58"/>
      <c r="O660" s="110"/>
      <c r="P660" s="110"/>
      <c r="Q660" s="110"/>
    </row>
    <row r="661">
      <c r="C661" s="58"/>
      <c r="D661" s="58"/>
      <c r="E661" s="58"/>
      <c r="F661" s="58"/>
      <c r="O661" s="110"/>
      <c r="P661" s="110"/>
      <c r="Q661" s="110"/>
    </row>
    <row r="662">
      <c r="C662" s="58"/>
      <c r="D662" s="58"/>
      <c r="E662" s="58"/>
      <c r="F662" s="58"/>
      <c r="O662" s="110"/>
      <c r="P662" s="110"/>
      <c r="Q662" s="110"/>
    </row>
    <row r="663">
      <c r="C663" s="58"/>
      <c r="D663" s="58"/>
      <c r="E663" s="58"/>
      <c r="F663" s="58"/>
      <c r="O663" s="110"/>
      <c r="P663" s="110"/>
      <c r="Q663" s="110"/>
    </row>
    <row r="664">
      <c r="C664" s="58"/>
      <c r="D664" s="58"/>
      <c r="E664" s="58"/>
      <c r="F664" s="58"/>
      <c r="O664" s="110"/>
      <c r="P664" s="110"/>
      <c r="Q664" s="110"/>
    </row>
    <row r="665">
      <c r="C665" s="58"/>
      <c r="D665" s="58"/>
      <c r="E665" s="58"/>
      <c r="F665" s="58"/>
      <c r="O665" s="110"/>
      <c r="P665" s="110"/>
      <c r="Q665" s="110"/>
    </row>
    <row r="666">
      <c r="C666" s="58"/>
      <c r="D666" s="58"/>
      <c r="E666" s="58"/>
      <c r="F666" s="58"/>
      <c r="O666" s="110"/>
      <c r="P666" s="110"/>
      <c r="Q666" s="110"/>
    </row>
    <row r="667">
      <c r="C667" s="58"/>
      <c r="D667" s="58"/>
      <c r="E667" s="58"/>
      <c r="F667" s="58"/>
      <c r="O667" s="110"/>
      <c r="P667" s="110"/>
      <c r="Q667" s="110"/>
    </row>
    <row r="668">
      <c r="C668" s="58"/>
      <c r="D668" s="58"/>
      <c r="E668" s="58"/>
      <c r="F668" s="58"/>
      <c r="O668" s="110"/>
      <c r="P668" s="110"/>
      <c r="Q668" s="110"/>
    </row>
    <row r="669">
      <c r="C669" s="58"/>
      <c r="D669" s="58"/>
      <c r="E669" s="58"/>
      <c r="F669" s="58"/>
      <c r="O669" s="110"/>
      <c r="P669" s="110"/>
      <c r="Q669" s="110"/>
    </row>
    <row r="670">
      <c r="C670" s="58"/>
      <c r="D670" s="58"/>
      <c r="E670" s="58"/>
      <c r="F670" s="58"/>
      <c r="O670" s="110"/>
      <c r="P670" s="110"/>
      <c r="Q670" s="110"/>
    </row>
    <row r="671">
      <c r="C671" s="58"/>
      <c r="D671" s="58"/>
      <c r="E671" s="58"/>
      <c r="F671" s="58"/>
      <c r="O671" s="110"/>
      <c r="P671" s="110"/>
      <c r="Q671" s="110"/>
    </row>
    <row r="672">
      <c r="C672" s="58"/>
      <c r="D672" s="58"/>
      <c r="E672" s="58"/>
      <c r="F672" s="58"/>
      <c r="O672" s="110"/>
      <c r="P672" s="110"/>
      <c r="Q672" s="110"/>
    </row>
    <row r="673">
      <c r="C673" s="58"/>
      <c r="D673" s="58"/>
      <c r="E673" s="58"/>
      <c r="F673" s="58"/>
      <c r="O673" s="110"/>
      <c r="P673" s="110"/>
      <c r="Q673" s="110"/>
    </row>
    <row r="674">
      <c r="C674" s="58"/>
      <c r="D674" s="58"/>
      <c r="E674" s="58"/>
      <c r="F674" s="58"/>
      <c r="O674" s="110"/>
      <c r="P674" s="110"/>
      <c r="Q674" s="110"/>
    </row>
    <row r="675">
      <c r="C675" s="58"/>
      <c r="D675" s="58"/>
      <c r="E675" s="58"/>
      <c r="F675" s="58"/>
      <c r="O675" s="110"/>
      <c r="P675" s="110"/>
      <c r="Q675" s="110"/>
    </row>
    <row r="676">
      <c r="C676" s="58"/>
      <c r="D676" s="58"/>
      <c r="E676" s="58"/>
      <c r="F676" s="58"/>
      <c r="O676" s="110"/>
      <c r="P676" s="110"/>
      <c r="Q676" s="110"/>
    </row>
    <row r="677">
      <c r="C677" s="58"/>
      <c r="D677" s="58"/>
      <c r="E677" s="58"/>
      <c r="F677" s="58"/>
      <c r="O677" s="110"/>
      <c r="P677" s="110"/>
      <c r="Q677" s="110"/>
    </row>
    <row r="678">
      <c r="C678" s="58"/>
      <c r="D678" s="58"/>
      <c r="E678" s="58"/>
      <c r="F678" s="58"/>
      <c r="O678" s="110"/>
      <c r="P678" s="110"/>
      <c r="Q678" s="110"/>
    </row>
    <row r="679">
      <c r="C679" s="58"/>
      <c r="D679" s="58"/>
      <c r="E679" s="58"/>
      <c r="F679" s="58"/>
      <c r="O679" s="110"/>
      <c r="P679" s="110"/>
      <c r="Q679" s="110"/>
    </row>
    <row r="680">
      <c r="C680" s="58"/>
      <c r="D680" s="58"/>
      <c r="E680" s="58"/>
      <c r="F680" s="58"/>
      <c r="O680" s="110"/>
      <c r="P680" s="110"/>
      <c r="Q680" s="110"/>
    </row>
    <row r="681">
      <c r="C681" s="58"/>
      <c r="D681" s="58"/>
      <c r="E681" s="58"/>
      <c r="F681" s="58"/>
      <c r="O681" s="110"/>
      <c r="P681" s="110"/>
      <c r="Q681" s="110"/>
    </row>
    <row r="682">
      <c r="C682" s="58"/>
      <c r="D682" s="58"/>
      <c r="E682" s="58"/>
      <c r="F682" s="58"/>
      <c r="O682" s="110"/>
      <c r="P682" s="110"/>
      <c r="Q682" s="110"/>
    </row>
    <row r="683">
      <c r="C683" s="58"/>
      <c r="D683" s="58"/>
      <c r="E683" s="58"/>
      <c r="F683" s="58"/>
      <c r="O683" s="110"/>
      <c r="P683" s="110"/>
      <c r="Q683" s="110"/>
    </row>
    <row r="684">
      <c r="C684" s="58"/>
      <c r="D684" s="58"/>
      <c r="E684" s="58"/>
      <c r="F684" s="58"/>
      <c r="O684" s="110"/>
      <c r="P684" s="110"/>
      <c r="Q684" s="110"/>
    </row>
    <row r="685">
      <c r="C685" s="58"/>
      <c r="D685" s="58"/>
      <c r="E685" s="58"/>
      <c r="F685" s="58"/>
      <c r="O685" s="110"/>
      <c r="P685" s="110"/>
      <c r="Q685" s="110"/>
    </row>
    <row r="686">
      <c r="C686" s="58"/>
      <c r="D686" s="58"/>
      <c r="E686" s="58"/>
      <c r="F686" s="58"/>
      <c r="O686" s="110"/>
      <c r="P686" s="110"/>
      <c r="Q686" s="110"/>
    </row>
    <row r="687">
      <c r="C687" s="58"/>
      <c r="D687" s="58"/>
      <c r="E687" s="58"/>
      <c r="F687" s="58"/>
      <c r="O687" s="110"/>
      <c r="P687" s="110"/>
      <c r="Q687" s="110"/>
    </row>
    <row r="688">
      <c r="C688" s="58"/>
      <c r="D688" s="58"/>
      <c r="E688" s="58"/>
      <c r="F688" s="58"/>
      <c r="O688" s="110"/>
      <c r="P688" s="110"/>
      <c r="Q688" s="110"/>
    </row>
    <row r="689">
      <c r="C689" s="58"/>
      <c r="D689" s="58"/>
      <c r="E689" s="58"/>
      <c r="F689" s="58"/>
      <c r="O689" s="110"/>
      <c r="P689" s="110"/>
      <c r="Q689" s="110"/>
    </row>
    <row r="690">
      <c r="C690" s="58"/>
      <c r="D690" s="58"/>
      <c r="E690" s="58"/>
      <c r="F690" s="58"/>
      <c r="O690" s="110"/>
      <c r="P690" s="110"/>
      <c r="Q690" s="110"/>
    </row>
    <row r="691">
      <c r="C691" s="58"/>
      <c r="D691" s="58"/>
      <c r="E691" s="58"/>
      <c r="F691" s="58"/>
      <c r="O691" s="110"/>
      <c r="P691" s="110"/>
      <c r="Q691" s="110"/>
    </row>
    <row r="692">
      <c r="C692" s="58"/>
      <c r="D692" s="58"/>
      <c r="E692" s="58"/>
      <c r="F692" s="58"/>
      <c r="O692" s="110"/>
      <c r="P692" s="110"/>
      <c r="Q692" s="110"/>
    </row>
    <row r="693">
      <c r="C693" s="58"/>
      <c r="D693" s="58"/>
      <c r="E693" s="58"/>
      <c r="F693" s="58"/>
      <c r="O693" s="110"/>
      <c r="P693" s="110"/>
      <c r="Q693" s="110"/>
    </row>
    <row r="694">
      <c r="C694" s="58"/>
      <c r="D694" s="58"/>
      <c r="E694" s="58"/>
      <c r="F694" s="58"/>
      <c r="O694" s="110"/>
      <c r="P694" s="110"/>
      <c r="Q694" s="110"/>
    </row>
    <row r="695">
      <c r="C695" s="58"/>
      <c r="D695" s="58"/>
      <c r="E695" s="58"/>
      <c r="F695" s="58"/>
      <c r="O695" s="110"/>
      <c r="P695" s="110"/>
      <c r="Q695" s="110"/>
    </row>
    <row r="696">
      <c r="C696" s="58"/>
      <c r="D696" s="58"/>
      <c r="E696" s="58"/>
      <c r="F696" s="58"/>
      <c r="O696" s="110"/>
      <c r="P696" s="110"/>
      <c r="Q696" s="110"/>
    </row>
    <row r="697">
      <c r="C697" s="58"/>
      <c r="D697" s="58"/>
      <c r="E697" s="58"/>
      <c r="F697" s="58"/>
      <c r="O697" s="110"/>
      <c r="P697" s="110"/>
      <c r="Q697" s="110"/>
    </row>
    <row r="698">
      <c r="C698" s="58"/>
      <c r="D698" s="58"/>
      <c r="E698" s="58"/>
      <c r="F698" s="58"/>
      <c r="O698" s="110"/>
      <c r="P698" s="110"/>
      <c r="Q698" s="110"/>
    </row>
    <row r="699">
      <c r="C699" s="58"/>
      <c r="D699" s="58"/>
      <c r="E699" s="58"/>
      <c r="F699" s="58"/>
      <c r="O699" s="110"/>
      <c r="P699" s="110"/>
      <c r="Q699" s="110"/>
    </row>
    <row r="700">
      <c r="C700" s="58"/>
      <c r="D700" s="58"/>
      <c r="E700" s="58"/>
      <c r="F700" s="58"/>
      <c r="O700" s="110"/>
      <c r="P700" s="110"/>
      <c r="Q700" s="110"/>
    </row>
    <row r="701">
      <c r="C701" s="58"/>
      <c r="D701" s="58"/>
      <c r="E701" s="58"/>
      <c r="F701" s="58"/>
      <c r="O701" s="110"/>
      <c r="P701" s="110"/>
      <c r="Q701" s="110"/>
    </row>
    <row r="702">
      <c r="C702" s="58"/>
      <c r="D702" s="58"/>
      <c r="E702" s="58"/>
      <c r="F702" s="58"/>
      <c r="O702" s="110"/>
      <c r="P702" s="110"/>
      <c r="Q702" s="110"/>
    </row>
    <row r="703">
      <c r="C703" s="58"/>
      <c r="D703" s="58"/>
      <c r="E703" s="58"/>
      <c r="F703" s="58"/>
      <c r="O703" s="110"/>
      <c r="P703" s="110"/>
      <c r="Q703" s="110"/>
    </row>
    <row r="704">
      <c r="C704" s="58"/>
      <c r="D704" s="58"/>
      <c r="E704" s="58"/>
      <c r="F704" s="58"/>
      <c r="O704" s="110"/>
      <c r="P704" s="110"/>
      <c r="Q704" s="110"/>
    </row>
    <row r="705">
      <c r="C705" s="58"/>
      <c r="D705" s="58"/>
      <c r="E705" s="58"/>
      <c r="F705" s="58"/>
      <c r="O705" s="110"/>
      <c r="P705" s="110"/>
      <c r="Q705" s="110"/>
    </row>
    <row r="706">
      <c r="C706" s="58"/>
      <c r="D706" s="58"/>
      <c r="E706" s="58"/>
      <c r="F706" s="58"/>
      <c r="O706" s="110"/>
      <c r="P706" s="110"/>
      <c r="Q706" s="110"/>
    </row>
    <row r="707">
      <c r="C707" s="58"/>
      <c r="D707" s="58"/>
      <c r="E707" s="58"/>
      <c r="F707" s="58"/>
      <c r="O707" s="110"/>
      <c r="P707" s="110"/>
      <c r="Q707" s="110"/>
    </row>
    <row r="708">
      <c r="C708" s="58"/>
      <c r="D708" s="58"/>
      <c r="E708" s="58"/>
      <c r="F708" s="58"/>
      <c r="O708" s="110"/>
      <c r="P708" s="110"/>
      <c r="Q708" s="110"/>
    </row>
    <row r="709">
      <c r="C709" s="58"/>
      <c r="D709" s="58"/>
      <c r="E709" s="58"/>
      <c r="F709" s="58"/>
      <c r="O709" s="110"/>
      <c r="P709" s="110"/>
      <c r="Q709" s="110"/>
    </row>
    <row r="710">
      <c r="C710" s="58"/>
      <c r="D710" s="58"/>
      <c r="E710" s="58"/>
      <c r="F710" s="58"/>
      <c r="O710" s="110"/>
      <c r="P710" s="110"/>
      <c r="Q710" s="110"/>
    </row>
    <row r="711">
      <c r="C711" s="58"/>
      <c r="D711" s="58"/>
      <c r="E711" s="58"/>
      <c r="F711" s="58"/>
      <c r="O711" s="110"/>
      <c r="P711" s="110"/>
      <c r="Q711" s="110"/>
    </row>
    <row r="712">
      <c r="C712" s="58"/>
      <c r="D712" s="58"/>
      <c r="E712" s="58"/>
      <c r="F712" s="58"/>
      <c r="O712" s="110"/>
      <c r="P712" s="110"/>
      <c r="Q712" s="110"/>
    </row>
    <row r="713">
      <c r="C713" s="58"/>
      <c r="D713" s="58"/>
      <c r="E713" s="58"/>
      <c r="F713" s="58"/>
      <c r="O713" s="110"/>
      <c r="P713" s="110"/>
      <c r="Q713" s="110"/>
    </row>
    <row r="714">
      <c r="C714" s="58"/>
      <c r="D714" s="58"/>
      <c r="E714" s="58"/>
      <c r="F714" s="58"/>
      <c r="O714" s="110"/>
      <c r="P714" s="110"/>
      <c r="Q714" s="110"/>
    </row>
    <row r="715">
      <c r="C715" s="58"/>
      <c r="D715" s="58"/>
      <c r="E715" s="58"/>
      <c r="F715" s="58"/>
      <c r="O715" s="110"/>
      <c r="P715" s="110"/>
      <c r="Q715" s="110"/>
    </row>
    <row r="716">
      <c r="C716" s="58"/>
      <c r="D716" s="58"/>
      <c r="E716" s="58"/>
      <c r="F716" s="58"/>
      <c r="O716" s="110"/>
      <c r="P716" s="110"/>
      <c r="Q716" s="110"/>
    </row>
    <row r="717">
      <c r="C717" s="58"/>
      <c r="D717" s="58"/>
      <c r="E717" s="58"/>
      <c r="F717" s="58"/>
      <c r="O717" s="110"/>
      <c r="P717" s="110"/>
      <c r="Q717" s="110"/>
    </row>
    <row r="718">
      <c r="C718" s="58"/>
      <c r="D718" s="58"/>
      <c r="E718" s="58"/>
      <c r="F718" s="58"/>
      <c r="O718" s="110"/>
      <c r="P718" s="110"/>
      <c r="Q718" s="110"/>
    </row>
    <row r="719">
      <c r="C719" s="58"/>
      <c r="D719" s="58"/>
      <c r="E719" s="58"/>
      <c r="F719" s="58"/>
      <c r="O719" s="110"/>
      <c r="P719" s="110"/>
      <c r="Q719" s="110"/>
    </row>
    <row r="720">
      <c r="C720" s="58"/>
      <c r="D720" s="58"/>
      <c r="E720" s="58"/>
      <c r="F720" s="58"/>
      <c r="O720" s="110"/>
      <c r="P720" s="110"/>
      <c r="Q720" s="110"/>
    </row>
    <row r="721">
      <c r="C721" s="58"/>
      <c r="D721" s="58"/>
      <c r="E721" s="58"/>
      <c r="F721" s="58"/>
      <c r="O721" s="110"/>
      <c r="P721" s="110"/>
      <c r="Q721" s="110"/>
    </row>
    <row r="722">
      <c r="C722" s="58"/>
      <c r="D722" s="58"/>
      <c r="E722" s="58"/>
      <c r="F722" s="58"/>
      <c r="O722" s="110"/>
      <c r="P722" s="110"/>
      <c r="Q722" s="110"/>
    </row>
    <row r="723">
      <c r="C723" s="58"/>
      <c r="D723" s="58"/>
      <c r="E723" s="58"/>
      <c r="F723" s="58"/>
      <c r="O723" s="110"/>
      <c r="P723" s="110"/>
      <c r="Q723" s="110"/>
    </row>
    <row r="724">
      <c r="C724" s="58"/>
      <c r="D724" s="58"/>
      <c r="E724" s="58"/>
      <c r="F724" s="58"/>
      <c r="O724" s="110"/>
      <c r="P724" s="110"/>
      <c r="Q724" s="110"/>
    </row>
    <row r="725">
      <c r="C725" s="58"/>
      <c r="D725" s="58"/>
      <c r="E725" s="58"/>
      <c r="F725" s="58"/>
      <c r="O725" s="110"/>
      <c r="P725" s="110"/>
      <c r="Q725" s="110"/>
    </row>
    <row r="726">
      <c r="C726" s="58"/>
      <c r="D726" s="58"/>
      <c r="E726" s="58"/>
      <c r="F726" s="58"/>
      <c r="O726" s="110"/>
      <c r="P726" s="110"/>
      <c r="Q726" s="110"/>
    </row>
    <row r="727">
      <c r="C727" s="58"/>
      <c r="D727" s="58"/>
      <c r="E727" s="58"/>
      <c r="F727" s="58"/>
      <c r="O727" s="110"/>
      <c r="P727" s="110"/>
      <c r="Q727" s="110"/>
    </row>
    <row r="728">
      <c r="C728" s="58"/>
      <c r="D728" s="58"/>
      <c r="E728" s="58"/>
      <c r="F728" s="58"/>
      <c r="O728" s="110"/>
      <c r="P728" s="110"/>
      <c r="Q728" s="110"/>
    </row>
    <row r="729">
      <c r="C729" s="58"/>
      <c r="D729" s="58"/>
      <c r="E729" s="58"/>
      <c r="F729" s="58"/>
      <c r="O729" s="110"/>
      <c r="P729" s="110"/>
      <c r="Q729" s="110"/>
    </row>
    <row r="730">
      <c r="C730" s="58"/>
      <c r="D730" s="58"/>
      <c r="E730" s="58"/>
      <c r="F730" s="58"/>
      <c r="O730" s="110"/>
      <c r="P730" s="110"/>
      <c r="Q730" s="110"/>
    </row>
    <row r="731">
      <c r="C731" s="58"/>
      <c r="D731" s="58"/>
      <c r="E731" s="58"/>
      <c r="F731" s="58"/>
      <c r="O731" s="110"/>
      <c r="P731" s="110"/>
      <c r="Q731" s="110"/>
    </row>
    <row r="732">
      <c r="C732" s="58"/>
      <c r="D732" s="58"/>
      <c r="E732" s="58"/>
      <c r="F732" s="58"/>
      <c r="O732" s="110"/>
      <c r="P732" s="110"/>
      <c r="Q732" s="110"/>
    </row>
    <row r="733">
      <c r="C733" s="58"/>
      <c r="D733" s="58"/>
      <c r="E733" s="58"/>
      <c r="F733" s="58"/>
      <c r="O733" s="110"/>
      <c r="P733" s="110"/>
      <c r="Q733" s="110"/>
    </row>
    <row r="734">
      <c r="C734" s="58"/>
      <c r="D734" s="58"/>
      <c r="E734" s="58"/>
      <c r="F734" s="58"/>
      <c r="O734" s="110"/>
      <c r="P734" s="110"/>
      <c r="Q734" s="110"/>
    </row>
    <row r="735">
      <c r="C735" s="58"/>
      <c r="D735" s="58"/>
      <c r="E735" s="58"/>
      <c r="F735" s="58"/>
      <c r="O735" s="110"/>
      <c r="P735" s="110"/>
      <c r="Q735" s="110"/>
    </row>
    <row r="736">
      <c r="C736" s="58"/>
      <c r="D736" s="58"/>
      <c r="E736" s="58"/>
      <c r="F736" s="58"/>
      <c r="O736" s="110"/>
      <c r="P736" s="110"/>
      <c r="Q736" s="110"/>
    </row>
    <row r="737">
      <c r="C737" s="58"/>
      <c r="D737" s="58"/>
      <c r="E737" s="58"/>
      <c r="F737" s="58"/>
      <c r="O737" s="110"/>
      <c r="P737" s="110"/>
      <c r="Q737" s="110"/>
    </row>
    <row r="738">
      <c r="C738" s="58"/>
      <c r="D738" s="58"/>
      <c r="E738" s="58"/>
      <c r="F738" s="58"/>
      <c r="O738" s="110"/>
      <c r="P738" s="110"/>
      <c r="Q738" s="110"/>
    </row>
    <row r="739">
      <c r="C739" s="58"/>
      <c r="D739" s="58"/>
      <c r="E739" s="58"/>
      <c r="F739" s="58"/>
      <c r="O739" s="110"/>
      <c r="P739" s="110"/>
      <c r="Q739" s="110"/>
    </row>
    <row r="740">
      <c r="C740" s="58"/>
      <c r="D740" s="58"/>
      <c r="E740" s="58"/>
      <c r="F740" s="58"/>
      <c r="O740" s="110"/>
      <c r="P740" s="110"/>
      <c r="Q740" s="110"/>
    </row>
    <row r="741">
      <c r="C741" s="58"/>
      <c r="D741" s="58"/>
      <c r="E741" s="58"/>
      <c r="F741" s="58"/>
      <c r="O741" s="110"/>
      <c r="P741" s="110"/>
      <c r="Q741" s="110"/>
    </row>
    <row r="742">
      <c r="C742" s="58"/>
      <c r="D742" s="58"/>
      <c r="E742" s="58"/>
      <c r="F742" s="58"/>
      <c r="O742" s="110"/>
      <c r="P742" s="110"/>
      <c r="Q742" s="110"/>
    </row>
    <row r="743">
      <c r="C743" s="58"/>
      <c r="D743" s="58"/>
      <c r="E743" s="58"/>
      <c r="F743" s="58"/>
      <c r="O743" s="110"/>
      <c r="P743" s="110"/>
      <c r="Q743" s="110"/>
    </row>
    <row r="744">
      <c r="C744" s="58"/>
      <c r="D744" s="58"/>
      <c r="E744" s="58"/>
      <c r="F744" s="58"/>
      <c r="O744" s="110"/>
      <c r="P744" s="110"/>
      <c r="Q744" s="110"/>
    </row>
    <row r="745">
      <c r="C745" s="58"/>
      <c r="D745" s="58"/>
      <c r="E745" s="58"/>
      <c r="F745" s="58"/>
      <c r="O745" s="110"/>
      <c r="P745" s="110"/>
      <c r="Q745" s="110"/>
    </row>
    <row r="746">
      <c r="C746" s="58"/>
      <c r="D746" s="58"/>
      <c r="E746" s="58"/>
      <c r="F746" s="58"/>
      <c r="O746" s="110"/>
      <c r="P746" s="110"/>
      <c r="Q746" s="110"/>
    </row>
    <row r="747">
      <c r="C747" s="58"/>
      <c r="D747" s="58"/>
      <c r="E747" s="58"/>
      <c r="F747" s="58"/>
      <c r="O747" s="110"/>
      <c r="P747" s="110"/>
      <c r="Q747" s="110"/>
    </row>
    <row r="748">
      <c r="C748" s="58"/>
      <c r="D748" s="58"/>
      <c r="E748" s="58"/>
      <c r="F748" s="58"/>
      <c r="O748" s="110"/>
      <c r="P748" s="110"/>
      <c r="Q748" s="110"/>
    </row>
    <row r="749">
      <c r="C749" s="58"/>
      <c r="D749" s="58"/>
      <c r="E749" s="58"/>
      <c r="F749" s="58"/>
      <c r="O749" s="110"/>
      <c r="P749" s="110"/>
      <c r="Q749" s="110"/>
    </row>
    <row r="750">
      <c r="C750" s="58"/>
      <c r="D750" s="58"/>
      <c r="E750" s="58"/>
      <c r="F750" s="58"/>
      <c r="O750" s="110"/>
      <c r="P750" s="110"/>
      <c r="Q750" s="110"/>
    </row>
    <row r="751">
      <c r="C751" s="58"/>
      <c r="D751" s="58"/>
      <c r="E751" s="58"/>
      <c r="F751" s="58"/>
      <c r="O751" s="110"/>
      <c r="P751" s="110"/>
      <c r="Q751" s="110"/>
    </row>
    <row r="752">
      <c r="C752" s="58"/>
      <c r="D752" s="58"/>
      <c r="E752" s="58"/>
      <c r="F752" s="58"/>
      <c r="O752" s="110"/>
      <c r="P752" s="110"/>
      <c r="Q752" s="110"/>
    </row>
    <row r="753">
      <c r="C753" s="58"/>
      <c r="D753" s="58"/>
      <c r="E753" s="58"/>
      <c r="F753" s="58"/>
      <c r="O753" s="110"/>
      <c r="P753" s="110"/>
      <c r="Q753" s="110"/>
    </row>
    <row r="754">
      <c r="C754" s="58"/>
      <c r="D754" s="58"/>
      <c r="E754" s="58"/>
      <c r="F754" s="58"/>
      <c r="O754" s="110"/>
      <c r="P754" s="110"/>
      <c r="Q754" s="110"/>
    </row>
    <row r="755">
      <c r="C755" s="58"/>
      <c r="D755" s="58"/>
      <c r="E755" s="58"/>
      <c r="F755" s="58"/>
      <c r="O755" s="110"/>
      <c r="P755" s="110"/>
      <c r="Q755" s="110"/>
    </row>
    <row r="756">
      <c r="C756" s="58"/>
      <c r="D756" s="58"/>
      <c r="E756" s="58"/>
      <c r="F756" s="58"/>
      <c r="O756" s="110"/>
      <c r="P756" s="110"/>
      <c r="Q756" s="110"/>
    </row>
    <row r="757">
      <c r="C757" s="58"/>
      <c r="D757" s="58"/>
      <c r="E757" s="58"/>
      <c r="F757" s="58"/>
      <c r="O757" s="110"/>
      <c r="P757" s="110"/>
      <c r="Q757" s="110"/>
    </row>
    <row r="758">
      <c r="C758" s="58"/>
      <c r="D758" s="58"/>
      <c r="E758" s="58"/>
      <c r="F758" s="58"/>
      <c r="O758" s="110"/>
      <c r="P758" s="110"/>
      <c r="Q758" s="110"/>
    </row>
    <row r="759">
      <c r="C759" s="58"/>
      <c r="D759" s="58"/>
      <c r="E759" s="58"/>
      <c r="F759" s="58"/>
      <c r="O759" s="110"/>
      <c r="P759" s="110"/>
      <c r="Q759" s="110"/>
    </row>
    <row r="760">
      <c r="C760" s="58"/>
      <c r="D760" s="58"/>
      <c r="E760" s="58"/>
      <c r="F760" s="58"/>
      <c r="O760" s="110"/>
      <c r="P760" s="110"/>
      <c r="Q760" s="110"/>
    </row>
    <row r="761">
      <c r="C761" s="58"/>
      <c r="D761" s="58"/>
      <c r="E761" s="58"/>
      <c r="F761" s="58"/>
      <c r="O761" s="110"/>
      <c r="P761" s="110"/>
      <c r="Q761" s="110"/>
    </row>
    <row r="762">
      <c r="C762" s="58"/>
      <c r="D762" s="58"/>
      <c r="E762" s="58"/>
      <c r="F762" s="58"/>
      <c r="O762" s="110"/>
      <c r="P762" s="110"/>
      <c r="Q762" s="110"/>
    </row>
    <row r="763">
      <c r="C763" s="58"/>
      <c r="D763" s="58"/>
      <c r="E763" s="58"/>
      <c r="F763" s="58"/>
      <c r="O763" s="110"/>
      <c r="P763" s="110"/>
      <c r="Q763" s="110"/>
    </row>
    <row r="764">
      <c r="C764" s="58"/>
      <c r="D764" s="58"/>
      <c r="E764" s="58"/>
      <c r="F764" s="58"/>
      <c r="O764" s="110"/>
      <c r="P764" s="110"/>
      <c r="Q764" s="110"/>
    </row>
    <row r="765">
      <c r="C765" s="58"/>
      <c r="D765" s="58"/>
      <c r="E765" s="58"/>
      <c r="F765" s="58"/>
      <c r="O765" s="110"/>
      <c r="P765" s="110"/>
      <c r="Q765" s="110"/>
    </row>
    <row r="766">
      <c r="C766" s="58"/>
      <c r="D766" s="58"/>
      <c r="E766" s="58"/>
      <c r="F766" s="58"/>
      <c r="O766" s="110"/>
      <c r="P766" s="110"/>
      <c r="Q766" s="110"/>
    </row>
    <row r="767">
      <c r="C767" s="58"/>
      <c r="D767" s="58"/>
      <c r="E767" s="58"/>
      <c r="F767" s="58"/>
      <c r="O767" s="110"/>
      <c r="P767" s="110"/>
      <c r="Q767" s="110"/>
    </row>
    <row r="768">
      <c r="C768" s="58"/>
      <c r="D768" s="58"/>
      <c r="E768" s="58"/>
      <c r="F768" s="58"/>
      <c r="O768" s="110"/>
      <c r="P768" s="110"/>
      <c r="Q768" s="110"/>
    </row>
    <row r="769">
      <c r="C769" s="58"/>
      <c r="D769" s="58"/>
      <c r="E769" s="58"/>
      <c r="F769" s="58"/>
      <c r="O769" s="110"/>
      <c r="P769" s="110"/>
      <c r="Q769" s="110"/>
    </row>
    <row r="770">
      <c r="C770" s="58"/>
      <c r="D770" s="58"/>
      <c r="E770" s="58"/>
      <c r="F770" s="58"/>
      <c r="O770" s="110"/>
      <c r="P770" s="110"/>
      <c r="Q770" s="110"/>
    </row>
    <row r="771">
      <c r="C771" s="58"/>
      <c r="D771" s="58"/>
      <c r="E771" s="58"/>
      <c r="F771" s="58"/>
      <c r="O771" s="110"/>
      <c r="P771" s="110"/>
      <c r="Q771" s="110"/>
    </row>
    <row r="772">
      <c r="C772" s="58"/>
      <c r="D772" s="58"/>
      <c r="E772" s="58"/>
      <c r="F772" s="58"/>
      <c r="O772" s="110"/>
      <c r="P772" s="110"/>
      <c r="Q772" s="110"/>
    </row>
    <row r="773">
      <c r="C773" s="58"/>
      <c r="D773" s="58"/>
      <c r="E773" s="58"/>
      <c r="F773" s="58"/>
      <c r="O773" s="110"/>
      <c r="P773" s="110"/>
      <c r="Q773" s="110"/>
    </row>
    <row r="774">
      <c r="C774" s="58"/>
      <c r="D774" s="58"/>
      <c r="E774" s="58"/>
      <c r="F774" s="58"/>
      <c r="O774" s="110"/>
      <c r="P774" s="110"/>
      <c r="Q774" s="110"/>
    </row>
    <row r="775">
      <c r="C775" s="58"/>
      <c r="D775" s="58"/>
      <c r="E775" s="58"/>
      <c r="F775" s="58"/>
      <c r="O775" s="110"/>
      <c r="P775" s="110"/>
      <c r="Q775" s="110"/>
    </row>
    <row r="776">
      <c r="C776" s="58"/>
      <c r="D776" s="58"/>
      <c r="E776" s="58"/>
      <c r="F776" s="58"/>
      <c r="O776" s="110"/>
      <c r="P776" s="110"/>
      <c r="Q776" s="110"/>
    </row>
    <row r="777">
      <c r="C777" s="58"/>
      <c r="D777" s="58"/>
      <c r="E777" s="58"/>
      <c r="F777" s="58"/>
      <c r="O777" s="110"/>
      <c r="P777" s="110"/>
      <c r="Q777" s="110"/>
    </row>
    <row r="778">
      <c r="C778" s="58"/>
      <c r="D778" s="58"/>
      <c r="E778" s="58"/>
      <c r="F778" s="58"/>
      <c r="O778" s="110"/>
      <c r="P778" s="110"/>
      <c r="Q778" s="110"/>
    </row>
    <row r="779">
      <c r="C779" s="58"/>
      <c r="D779" s="58"/>
      <c r="E779" s="58"/>
      <c r="F779" s="58"/>
      <c r="O779" s="110"/>
      <c r="P779" s="110"/>
      <c r="Q779" s="110"/>
    </row>
    <row r="780">
      <c r="C780" s="58"/>
      <c r="D780" s="58"/>
      <c r="E780" s="58"/>
      <c r="F780" s="58"/>
      <c r="O780" s="110"/>
      <c r="P780" s="110"/>
      <c r="Q780" s="110"/>
    </row>
    <row r="781">
      <c r="C781" s="58"/>
      <c r="D781" s="58"/>
      <c r="E781" s="58"/>
      <c r="F781" s="58"/>
      <c r="O781" s="110"/>
      <c r="P781" s="110"/>
      <c r="Q781" s="110"/>
    </row>
    <row r="782">
      <c r="C782" s="58"/>
      <c r="D782" s="58"/>
      <c r="E782" s="58"/>
      <c r="F782" s="58"/>
      <c r="O782" s="110"/>
      <c r="P782" s="110"/>
      <c r="Q782" s="110"/>
    </row>
    <row r="783">
      <c r="C783" s="58"/>
      <c r="D783" s="58"/>
      <c r="E783" s="58"/>
      <c r="F783" s="58"/>
      <c r="O783" s="110"/>
      <c r="P783" s="110"/>
      <c r="Q783" s="110"/>
    </row>
    <row r="784">
      <c r="C784" s="58"/>
      <c r="D784" s="58"/>
      <c r="E784" s="58"/>
      <c r="F784" s="58"/>
      <c r="O784" s="110"/>
      <c r="P784" s="110"/>
      <c r="Q784" s="110"/>
    </row>
    <row r="785">
      <c r="C785" s="58"/>
      <c r="D785" s="58"/>
      <c r="E785" s="58"/>
      <c r="F785" s="58"/>
      <c r="O785" s="110"/>
      <c r="P785" s="110"/>
      <c r="Q785" s="110"/>
    </row>
    <row r="786">
      <c r="C786" s="58"/>
      <c r="D786" s="58"/>
      <c r="E786" s="58"/>
      <c r="F786" s="58"/>
      <c r="O786" s="110"/>
      <c r="P786" s="110"/>
      <c r="Q786" s="110"/>
    </row>
    <row r="787">
      <c r="C787" s="58"/>
      <c r="D787" s="58"/>
      <c r="E787" s="58"/>
      <c r="F787" s="58"/>
      <c r="O787" s="110"/>
      <c r="P787" s="110"/>
      <c r="Q787" s="110"/>
    </row>
    <row r="788">
      <c r="C788" s="58"/>
      <c r="D788" s="58"/>
      <c r="E788" s="58"/>
      <c r="F788" s="58"/>
      <c r="O788" s="110"/>
      <c r="P788" s="110"/>
      <c r="Q788" s="110"/>
    </row>
    <row r="789">
      <c r="C789" s="58"/>
      <c r="D789" s="58"/>
      <c r="E789" s="58"/>
      <c r="F789" s="58"/>
      <c r="O789" s="110"/>
      <c r="P789" s="110"/>
      <c r="Q789" s="110"/>
    </row>
    <row r="790">
      <c r="C790" s="58"/>
      <c r="D790" s="58"/>
      <c r="E790" s="58"/>
      <c r="F790" s="58"/>
      <c r="O790" s="110"/>
      <c r="P790" s="110"/>
      <c r="Q790" s="110"/>
    </row>
    <row r="791">
      <c r="C791" s="58"/>
      <c r="D791" s="58"/>
      <c r="E791" s="58"/>
      <c r="F791" s="58"/>
      <c r="O791" s="110"/>
      <c r="P791" s="110"/>
      <c r="Q791" s="110"/>
    </row>
    <row r="792">
      <c r="C792" s="58"/>
      <c r="D792" s="58"/>
      <c r="E792" s="58"/>
      <c r="F792" s="58"/>
      <c r="O792" s="110"/>
      <c r="P792" s="110"/>
      <c r="Q792" s="110"/>
    </row>
    <row r="793">
      <c r="C793" s="58"/>
      <c r="D793" s="58"/>
      <c r="E793" s="58"/>
      <c r="F793" s="58"/>
      <c r="O793" s="110"/>
      <c r="P793" s="110"/>
      <c r="Q793" s="110"/>
    </row>
    <row r="794">
      <c r="C794" s="58"/>
      <c r="D794" s="58"/>
      <c r="E794" s="58"/>
      <c r="F794" s="58"/>
      <c r="O794" s="110"/>
      <c r="P794" s="110"/>
      <c r="Q794" s="110"/>
    </row>
    <row r="795">
      <c r="C795" s="58"/>
      <c r="D795" s="58"/>
      <c r="E795" s="58"/>
      <c r="F795" s="58"/>
      <c r="O795" s="110"/>
      <c r="P795" s="110"/>
      <c r="Q795" s="110"/>
    </row>
    <row r="796">
      <c r="C796" s="58"/>
      <c r="D796" s="58"/>
      <c r="E796" s="58"/>
      <c r="F796" s="58"/>
      <c r="O796" s="110"/>
      <c r="P796" s="110"/>
      <c r="Q796" s="110"/>
    </row>
    <row r="797">
      <c r="C797" s="58"/>
      <c r="D797" s="58"/>
      <c r="E797" s="58"/>
      <c r="F797" s="58"/>
      <c r="O797" s="110"/>
      <c r="P797" s="110"/>
      <c r="Q797" s="110"/>
    </row>
    <row r="798">
      <c r="C798" s="58"/>
      <c r="D798" s="58"/>
      <c r="E798" s="58"/>
      <c r="F798" s="58"/>
      <c r="O798" s="110"/>
      <c r="P798" s="110"/>
      <c r="Q798" s="110"/>
    </row>
    <row r="799">
      <c r="C799" s="58"/>
      <c r="D799" s="58"/>
      <c r="E799" s="58"/>
      <c r="F799" s="58"/>
      <c r="O799" s="110"/>
      <c r="P799" s="110"/>
      <c r="Q799" s="110"/>
    </row>
    <row r="800">
      <c r="C800" s="58"/>
      <c r="D800" s="58"/>
      <c r="E800" s="58"/>
      <c r="F800" s="58"/>
      <c r="O800" s="110"/>
      <c r="P800" s="110"/>
      <c r="Q800" s="110"/>
    </row>
    <row r="801">
      <c r="C801" s="58"/>
      <c r="D801" s="58"/>
      <c r="E801" s="58"/>
      <c r="F801" s="58"/>
      <c r="O801" s="110"/>
      <c r="P801" s="110"/>
      <c r="Q801" s="110"/>
    </row>
    <row r="802">
      <c r="C802" s="58"/>
      <c r="D802" s="58"/>
      <c r="E802" s="58"/>
      <c r="F802" s="58"/>
      <c r="O802" s="110"/>
      <c r="P802" s="110"/>
      <c r="Q802" s="110"/>
    </row>
    <row r="803">
      <c r="C803" s="58"/>
      <c r="D803" s="58"/>
      <c r="E803" s="58"/>
      <c r="F803" s="58"/>
      <c r="O803" s="110"/>
      <c r="P803" s="110"/>
      <c r="Q803" s="110"/>
    </row>
    <row r="804">
      <c r="C804" s="58"/>
      <c r="D804" s="58"/>
      <c r="E804" s="58"/>
      <c r="F804" s="58"/>
      <c r="O804" s="110"/>
      <c r="P804" s="110"/>
      <c r="Q804" s="110"/>
    </row>
    <row r="805">
      <c r="C805" s="58"/>
      <c r="D805" s="58"/>
      <c r="E805" s="58"/>
      <c r="F805" s="58"/>
      <c r="O805" s="110"/>
      <c r="P805" s="110"/>
      <c r="Q805" s="110"/>
    </row>
    <row r="806">
      <c r="C806" s="58"/>
      <c r="D806" s="58"/>
      <c r="E806" s="58"/>
      <c r="F806" s="58"/>
      <c r="O806" s="110"/>
      <c r="P806" s="110"/>
      <c r="Q806" s="110"/>
    </row>
    <row r="807">
      <c r="C807" s="58"/>
      <c r="D807" s="58"/>
      <c r="E807" s="58"/>
      <c r="F807" s="58"/>
      <c r="O807" s="110"/>
      <c r="P807" s="110"/>
      <c r="Q807" s="110"/>
    </row>
    <row r="808">
      <c r="C808" s="58"/>
      <c r="D808" s="58"/>
      <c r="E808" s="58"/>
      <c r="F808" s="58"/>
      <c r="O808" s="110"/>
      <c r="P808" s="110"/>
      <c r="Q808" s="110"/>
    </row>
    <row r="809">
      <c r="C809" s="58"/>
      <c r="D809" s="58"/>
      <c r="E809" s="58"/>
      <c r="F809" s="58"/>
      <c r="O809" s="110"/>
      <c r="P809" s="110"/>
      <c r="Q809" s="110"/>
    </row>
    <row r="810">
      <c r="C810" s="58"/>
      <c r="D810" s="58"/>
      <c r="E810" s="58"/>
      <c r="F810" s="58"/>
      <c r="O810" s="110"/>
      <c r="P810" s="110"/>
      <c r="Q810" s="110"/>
    </row>
    <row r="811">
      <c r="C811" s="58"/>
      <c r="D811" s="58"/>
      <c r="E811" s="58"/>
      <c r="F811" s="58"/>
      <c r="O811" s="110"/>
      <c r="P811" s="110"/>
      <c r="Q811" s="110"/>
    </row>
    <row r="812">
      <c r="C812" s="58"/>
      <c r="D812" s="58"/>
      <c r="E812" s="58"/>
      <c r="F812" s="58"/>
      <c r="O812" s="110"/>
      <c r="P812" s="110"/>
      <c r="Q812" s="110"/>
    </row>
    <row r="813">
      <c r="C813" s="58"/>
      <c r="D813" s="58"/>
      <c r="E813" s="58"/>
      <c r="F813" s="58"/>
      <c r="O813" s="110"/>
      <c r="P813" s="110"/>
      <c r="Q813" s="110"/>
    </row>
    <row r="814">
      <c r="C814" s="58"/>
      <c r="D814" s="58"/>
      <c r="E814" s="58"/>
      <c r="F814" s="58"/>
      <c r="O814" s="110"/>
      <c r="P814" s="110"/>
      <c r="Q814" s="110"/>
    </row>
    <row r="815">
      <c r="C815" s="58"/>
      <c r="D815" s="58"/>
      <c r="E815" s="58"/>
      <c r="F815" s="58"/>
      <c r="O815" s="110"/>
      <c r="P815" s="110"/>
      <c r="Q815" s="110"/>
    </row>
    <row r="816">
      <c r="C816" s="58"/>
      <c r="D816" s="58"/>
      <c r="E816" s="58"/>
      <c r="F816" s="58"/>
      <c r="O816" s="110"/>
      <c r="P816" s="110"/>
      <c r="Q816" s="110"/>
    </row>
    <row r="817">
      <c r="C817" s="58"/>
      <c r="D817" s="58"/>
      <c r="E817" s="58"/>
      <c r="F817" s="58"/>
      <c r="O817" s="110"/>
      <c r="P817" s="110"/>
      <c r="Q817" s="110"/>
    </row>
    <row r="818">
      <c r="C818" s="58"/>
      <c r="D818" s="58"/>
      <c r="E818" s="58"/>
      <c r="F818" s="58"/>
      <c r="O818" s="110"/>
      <c r="P818" s="110"/>
      <c r="Q818" s="110"/>
    </row>
    <row r="819">
      <c r="C819" s="58"/>
      <c r="D819" s="58"/>
      <c r="E819" s="58"/>
      <c r="F819" s="58"/>
      <c r="O819" s="110"/>
      <c r="P819" s="110"/>
      <c r="Q819" s="110"/>
    </row>
    <row r="820">
      <c r="C820" s="58"/>
      <c r="D820" s="58"/>
      <c r="E820" s="58"/>
      <c r="F820" s="58"/>
      <c r="O820" s="110"/>
      <c r="P820" s="110"/>
      <c r="Q820" s="110"/>
    </row>
    <row r="821">
      <c r="C821" s="58"/>
      <c r="D821" s="58"/>
      <c r="E821" s="58"/>
      <c r="F821" s="58"/>
      <c r="O821" s="110"/>
      <c r="P821" s="110"/>
      <c r="Q821" s="110"/>
    </row>
    <row r="822">
      <c r="C822" s="58"/>
      <c r="D822" s="58"/>
      <c r="E822" s="58"/>
      <c r="F822" s="58"/>
      <c r="O822" s="110"/>
      <c r="P822" s="110"/>
      <c r="Q822" s="110"/>
    </row>
    <row r="823">
      <c r="C823" s="58"/>
      <c r="D823" s="58"/>
      <c r="E823" s="58"/>
      <c r="F823" s="58"/>
      <c r="O823" s="110"/>
      <c r="P823" s="110"/>
      <c r="Q823" s="110"/>
    </row>
    <row r="824">
      <c r="C824" s="58"/>
      <c r="D824" s="58"/>
      <c r="E824" s="58"/>
      <c r="F824" s="58"/>
      <c r="O824" s="110"/>
      <c r="P824" s="110"/>
      <c r="Q824" s="110"/>
    </row>
    <row r="825">
      <c r="C825" s="58"/>
      <c r="D825" s="58"/>
      <c r="E825" s="58"/>
      <c r="F825" s="58"/>
      <c r="O825" s="110"/>
      <c r="P825" s="110"/>
      <c r="Q825" s="110"/>
    </row>
    <row r="826">
      <c r="C826" s="58"/>
      <c r="D826" s="58"/>
      <c r="E826" s="58"/>
      <c r="F826" s="58"/>
      <c r="O826" s="110"/>
      <c r="P826" s="110"/>
      <c r="Q826" s="110"/>
    </row>
    <row r="827">
      <c r="C827" s="58"/>
      <c r="D827" s="58"/>
      <c r="E827" s="58"/>
      <c r="F827" s="58"/>
      <c r="O827" s="110"/>
      <c r="P827" s="110"/>
      <c r="Q827" s="110"/>
    </row>
    <row r="828">
      <c r="C828" s="58"/>
      <c r="D828" s="58"/>
      <c r="E828" s="58"/>
      <c r="F828" s="58"/>
      <c r="O828" s="110"/>
      <c r="P828" s="110"/>
      <c r="Q828" s="110"/>
    </row>
    <row r="829">
      <c r="C829" s="58"/>
      <c r="D829" s="58"/>
      <c r="E829" s="58"/>
      <c r="F829" s="58"/>
      <c r="O829" s="110"/>
      <c r="P829" s="110"/>
      <c r="Q829" s="110"/>
    </row>
    <row r="830">
      <c r="C830" s="58"/>
      <c r="D830" s="58"/>
      <c r="E830" s="58"/>
      <c r="F830" s="58"/>
      <c r="O830" s="110"/>
      <c r="P830" s="110"/>
      <c r="Q830" s="110"/>
    </row>
    <row r="831">
      <c r="C831" s="58"/>
      <c r="D831" s="58"/>
      <c r="E831" s="58"/>
      <c r="F831" s="58"/>
      <c r="O831" s="110"/>
      <c r="P831" s="110"/>
      <c r="Q831" s="110"/>
    </row>
    <row r="832">
      <c r="C832" s="58"/>
      <c r="D832" s="58"/>
      <c r="E832" s="58"/>
      <c r="F832" s="58"/>
      <c r="O832" s="110"/>
      <c r="P832" s="110"/>
      <c r="Q832" s="110"/>
    </row>
    <row r="833">
      <c r="C833" s="58"/>
      <c r="D833" s="58"/>
      <c r="E833" s="58"/>
      <c r="F833" s="58"/>
      <c r="O833" s="110"/>
      <c r="P833" s="110"/>
      <c r="Q833" s="110"/>
    </row>
    <row r="834">
      <c r="C834" s="58"/>
      <c r="D834" s="58"/>
      <c r="E834" s="58"/>
      <c r="F834" s="58"/>
      <c r="O834" s="110"/>
      <c r="P834" s="110"/>
      <c r="Q834" s="110"/>
    </row>
    <row r="835">
      <c r="C835" s="58"/>
      <c r="D835" s="58"/>
      <c r="E835" s="58"/>
      <c r="F835" s="58"/>
      <c r="O835" s="110"/>
      <c r="P835" s="110"/>
      <c r="Q835" s="110"/>
    </row>
    <row r="836">
      <c r="C836" s="58"/>
      <c r="D836" s="58"/>
      <c r="E836" s="58"/>
      <c r="F836" s="58"/>
      <c r="O836" s="110"/>
      <c r="P836" s="110"/>
      <c r="Q836" s="110"/>
    </row>
    <row r="837">
      <c r="C837" s="58"/>
      <c r="D837" s="58"/>
      <c r="E837" s="58"/>
      <c r="F837" s="58"/>
      <c r="O837" s="110"/>
      <c r="P837" s="110"/>
      <c r="Q837" s="110"/>
    </row>
    <row r="838">
      <c r="C838" s="58"/>
      <c r="D838" s="58"/>
      <c r="E838" s="58"/>
      <c r="F838" s="58"/>
      <c r="O838" s="110"/>
      <c r="P838" s="110"/>
      <c r="Q838" s="110"/>
    </row>
    <row r="839">
      <c r="C839" s="58"/>
      <c r="D839" s="58"/>
      <c r="E839" s="58"/>
      <c r="F839" s="58"/>
      <c r="O839" s="110"/>
      <c r="P839" s="110"/>
      <c r="Q839" s="110"/>
    </row>
    <row r="840">
      <c r="C840" s="58"/>
      <c r="D840" s="58"/>
      <c r="E840" s="58"/>
      <c r="F840" s="58"/>
      <c r="O840" s="110"/>
      <c r="P840" s="110"/>
      <c r="Q840" s="110"/>
    </row>
    <row r="841">
      <c r="C841" s="58"/>
      <c r="D841" s="58"/>
      <c r="E841" s="58"/>
      <c r="F841" s="58"/>
      <c r="O841" s="110"/>
      <c r="P841" s="110"/>
      <c r="Q841" s="110"/>
    </row>
    <row r="842">
      <c r="C842" s="58"/>
      <c r="D842" s="58"/>
      <c r="E842" s="58"/>
      <c r="F842" s="58"/>
      <c r="O842" s="110"/>
      <c r="P842" s="110"/>
      <c r="Q842" s="110"/>
    </row>
    <row r="843">
      <c r="C843" s="58"/>
      <c r="D843" s="58"/>
      <c r="E843" s="58"/>
      <c r="F843" s="58"/>
      <c r="O843" s="110"/>
      <c r="P843" s="110"/>
      <c r="Q843" s="110"/>
    </row>
    <row r="844">
      <c r="C844" s="58"/>
      <c r="D844" s="58"/>
      <c r="E844" s="58"/>
      <c r="F844" s="58"/>
      <c r="O844" s="110"/>
      <c r="P844" s="110"/>
      <c r="Q844" s="110"/>
    </row>
    <row r="845">
      <c r="C845" s="58"/>
      <c r="D845" s="58"/>
      <c r="E845" s="58"/>
      <c r="F845" s="58"/>
      <c r="O845" s="110"/>
      <c r="P845" s="110"/>
      <c r="Q845" s="110"/>
    </row>
    <row r="846">
      <c r="C846" s="58"/>
      <c r="D846" s="58"/>
      <c r="E846" s="58"/>
      <c r="F846" s="58"/>
      <c r="O846" s="110"/>
      <c r="P846" s="110"/>
      <c r="Q846" s="110"/>
    </row>
    <row r="847">
      <c r="C847" s="58"/>
      <c r="D847" s="58"/>
      <c r="E847" s="58"/>
      <c r="F847" s="58"/>
      <c r="O847" s="110"/>
      <c r="P847" s="110"/>
      <c r="Q847" s="110"/>
    </row>
    <row r="848">
      <c r="C848" s="58"/>
      <c r="D848" s="58"/>
      <c r="E848" s="58"/>
      <c r="F848" s="58"/>
      <c r="O848" s="110"/>
      <c r="P848" s="110"/>
      <c r="Q848" s="110"/>
    </row>
    <row r="849">
      <c r="C849" s="58"/>
      <c r="D849" s="58"/>
      <c r="E849" s="58"/>
      <c r="F849" s="58"/>
      <c r="O849" s="110"/>
      <c r="P849" s="110"/>
      <c r="Q849" s="110"/>
    </row>
    <row r="850">
      <c r="C850" s="58"/>
      <c r="D850" s="58"/>
      <c r="E850" s="58"/>
      <c r="F850" s="58"/>
      <c r="O850" s="110"/>
      <c r="P850" s="110"/>
      <c r="Q850" s="110"/>
    </row>
    <row r="851">
      <c r="C851" s="58"/>
      <c r="D851" s="58"/>
      <c r="E851" s="58"/>
      <c r="F851" s="58"/>
      <c r="O851" s="110"/>
      <c r="P851" s="110"/>
      <c r="Q851" s="110"/>
    </row>
    <row r="852">
      <c r="C852" s="58"/>
      <c r="D852" s="58"/>
      <c r="E852" s="58"/>
      <c r="F852" s="58"/>
      <c r="O852" s="110"/>
      <c r="P852" s="110"/>
      <c r="Q852" s="110"/>
    </row>
    <row r="853">
      <c r="C853" s="58"/>
      <c r="D853" s="58"/>
      <c r="E853" s="58"/>
      <c r="F853" s="58"/>
      <c r="O853" s="110"/>
      <c r="P853" s="110"/>
      <c r="Q853" s="110"/>
    </row>
    <row r="854">
      <c r="C854" s="58"/>
      <c r="D854" s="58"/>
      <c r="E854" s="58"/>
      <c r="F854" s="58"/>
      <c r="O854" s="110"/>
      <c r="P854" s="110"/>
      <c r="Q854" s="110"/>
    </row>
    <row r="855">
      <c r="C855" s="58"/>
      <c r="D855" s="58"/>
      <c r="E855" s="58"/>
      <c r="F855" s="58"/>
      <c r="O855" s="110"/>
      <c r="P855" s="110"/>
      <c r="Q855" s="110"/>
    </row>
    <row r="856">
      <c r="C856" s="58"/>
      <c r="D856" s="58"/>
      <c r="E856" s="58"/>
      <c r="F856" s="58"/>
      <c r="O856" s="110"/>
      <c r="P856" s="110"/>
      <c r="Q856" s="110"/>
    </row>
    <row r="857">
      <c r="C857" s="58"/>
      <c r="D857" s="58"/>
      <c r="E857" s="58"/>
      <c r="F857" s="58"/>
      <c r="O857" s="110"/>
      <c r="P857" s="110"/>
      <c r="Q857" s="110"/>
    </row>
    <row r="858">
      <c r="C858" s="58"/>
      <c r="D858" s="58"/>
      <c r="E858" s="58"/>
      <c r="F858" s="58"/>
      <c r="O858" s="110"/>
      <c r="P858" s="110"/>
      <c r="Q858" s="110"/>
    </row>
    <row r="859">
      <c r="C859" s="58"/>
      <c r="D859" s="58"/>
      <c r="E859" s="58"/>
      <c r="F859" s="58"/>
      <c r="O859" s="110"/>
      <c r="P859" s="110"/>
      <c r="Q859" s="110"/>
    </row>
    <row r="860">
      <c r="C860" s="58"/>
      <c r="D860" s="58"/>
      <c r="E860" s="58"/>
      <c r="F860" s="58"/>
      <c r="O860" s="110"/>
      <c r="P860" s="110"/>
      <c r="Q860" s="110"/>
    </row>
    <row r="861">
      <c r="C861" s="58"/>
      <c r="D861" s="58"/>
      <c r="E861" s="58"/>
      <c r="F861" s="58"/>
      <c r="O861" s="110"/>
      <c r="P861" s="110"/>
      <c r="Q861" s="110"/>
    </row>
    <row r="862">
      <c r="C862" s="58"/>
      <c r="D862" s="58"/>
      <c r="E862" s="58"/>
      <c r="F862" s="58"/>
      <c r="O862" s="110"/>
      <c r="P862" s="110"/>
      <c r="Q862" s="110"/>
    </row>
    <row r="863">
      <c r="C863" s="58"/>
      <c r="D863" s="58"/>
      <c r="E863" s="58"/>
      <c r="F863" s="58"/>
      <c r="O863" s="110"/>
      <c r="P863" s="110"/>
      <c r="Q863" s="110"/>
    </row>
    <row r="864">
      <c r="C864" s="58"/>
      <c r="D864" s="58"/>
      <c r="E864" s="58"/>
      <c r="F864" s="58"/>
      <c r="O864" s="110"/>
      <c r="P864" s="110"/>
      <c r="Q864" s="110"/>
    </row>
    <row r="865">
      <c r="C865" s="58"/>
      <c r="D865" s="58"/>
      <c r="E865" s="58"/>
      <c r="F865" s="58"/>
      <c r="O865" s="110"/>
      <c r="P865" s="110"/>
      <c r="Q865" s="110"/>
    </row>
    <row r="866">
      <c r="C866" s="58"/>
      <c r="D866" s="58"/>
      <c r="E866" s="58"/>
      <c r="F866" s="58"/>
      <c r="O866" s="110"/>
      <c r="P866" s="110"/>
      <c r="Q866" s="110"/>
    </row>
    <row r="867">
      <c r="C867" s="58"/>
      <c r="D867" s="58"/>
      <c r="E867" s="58"/>
      <c r="F867" s="58"/>
      <c r="O867" s="110"/>
      <c r="P867" s="110"/>
      <c r="Q867" s="110"/>
    </row>
    <row r="868">
      <c r="C868" s="58"/>
      <c r="D868" s="58"/>
      <c r="E868" s="58"/>
      <c r="F868" s="58"/>
      <c r="O868" s="110"/>
      <c r="P868" s="110"/>
      <c r="Q868" s="110"/>
    </row>
    <row r="869">
      <c r="C869" s="58"/>
      <c r="D869" s="58"/>
      <c r="E869" s="58"/>
      <c r="F869" s="58"/>
      <c r="O869" s="110"/>
      <c r="P869" s="110"/>
      <c r="Q869" s="110"/>
    </row>
    <row r="870">
      <c r="C870" s="58"/>
      <c r="D870" s="58"/>
      <c r="E870" s="58"/>
      <c r="F870" s="58"/>
      <c r="O870" s="110"/>
      <c r="P870" s="110"/>
      <c r="Q870" s="110"/>
    </row>
    <row r="871">
      <c r="C871" s="58"/>
      <c r="D871" s="58"/>
      <c r="E871" s="58"/>
      <c r="F871" s="58"/>
      <c r="O871" s="110"/>
      <c r="P871" s="110"/>
      <c r="Q871" s="110"/>
    </row>
    <row r="872">
      <c r="C872" s="58"/>
      <c r="D872" s="58"/>
      <c r="E872" s="58"/>
      <c r="F872" s="58"/>
      <c r="O872" s="110"/>
      <c r="P872" s="110"/>
      <c r="Q872" s="110"/>
    </row>
    <row r="873">
      <c r="C873" s="58"/>
      <c r="D873" s="58"/>
      <c r="E873" s="58"/>
      <c r="F873" s="58"/>
      <c r="O873" s="110"/>
      <c r="P873" s="110"/>
      <c r="Q873" s="110"/>
    </row>
    <row r="874">
      <c r="C874" s="58"/>
      <c r="D874" s="58"/>
      <c r="E874" s="58"/>
      <c r="F874" s="58"/>
      <c r="O874" s="110"/>
      <c r="P874" s="110"/>
      <c r="Q874" s="110"/>
    </row>
    <row r="875">
      <c r="C875" s="58"/>
      <c r="D875" s="58"/>
      <c r="E875" s="58"/>
      <c r="F875" s="58"/>
      <c r="O875" s="110"/>
      <c r="P875" s="110"/>
      <c r="Q875" s="110"/>
    </row>
    <row r="876">
      <c r="C876" s="58"/>
      <c r="D876" s="58"/>
      <c r="E876" s="58"/>
      <c r="F876" s="58"/>
      <c r="O876" s="110"/>
      <c r="P876" s="110"/>
      <c r="Q876" s="110"/>
    </row>
    <row r="877">
      <c r="C877" s="58"/>
      <c r="D877" s="58"/>
      <c r="E877" s="58"/>
      <c r="F877" s="58"/>
      <c r="O877" s="110"/>
      <c r="P877" s="110"/>
      <c r="Q877" s="110"/>
    </row>
    <row r="878">
      <c r="C878" s="58"/>
      <c r="D878" s="58"/>
      <c r="E878" s="58"/>
      <c r="F878" s="58"/>
      <c r="O878" s="110"/>
      <c r="P878" s="110"/>
      <c r="Q878" s="110"/>
    </row>
    <row r="879">
      <c r="C879" s="58"/>
      <c r="D879" s="58"/>
      <c r="E879" s="58"/>
      <c r="F879" s="58"/>
      <c r="O879" s="110"/>
      <c r="P879" s="110"/>
      <c r="Q879" s="110"/>
    </row>
    <row r="880">
      <c r="C880" s="58"/>
      <c r="D880" s="58"/>
      <c r="E880" s="58"/>
      <c r="F880" s="58"/>
      <c r="O880" s="110"/>
      <c r="P880" s="110"/>
      <c r="Q880" s="110"/>
    </row>
    <row r="881">
      <c r="C881" s="58"/>
      <c r="D881" s="58"/>
      <c r="E881" s="58"/>
      <c r="F881" s="58"/>
      <c r="O881" s="110"/>
      <c r="P881" s="110"/>
      <c r="Q881" s="110"/>
    </row>
    <row r="882">
      <c r="C882" s="58"/>
      <c r="D882" s="58"/>
      <c r="E882" s="58"/>
      <c r="F882" s="58"/>
      <c r="O882" s="110"/>
      <c r="P882" s="110"/>
      <c r="Q882" s="110"/>
    </row>
    <row r="883">
      <c r="C883" s="58"/>
      <c r="D883" s="58"/>
      <c r="E883" s="58"/>
      <c r="F883" s="58"/>
      <c r="O883" s="110"/>
      <c r="P883" s="110"/>
      <c r="Q883" s="110"/>
    </row>
    <row r="884">
      <c r="C884" s="58"/>
      <c r="D884" s="58"/>
      <c r="E884" s="58"/>
      <c r="F884" s="58"/>
      <c r="O884" s="110"/>
      <c r="P884" s="110"/>
      <c r="Q884" s="110"/>
    </row>
    <row r="885">
      <c r="C885" s="58"/>
      <c r="D885" s="58"/>
      <c r="E885" s="58"/>
      <c r="F885" s="58"/>
      <c r="O885" s="110"/>
      <c r="P885" s="110"/>
      <c r="Q885" s="110"/>
    </row>
    <row r="886">
      <c r="C886" s="58"/>
      <c r="D886" s="58"/>
      <c r="E886" s="58"/>
      <c r="F886" s="58"/>
      <c r="O886" s="110"/>
      <c r="P886" s="110"/>
      <c r="Q886" s="110"/>
    </row>
    <row r="887">
      <c r="C887" s="58"/>
      <c r="D887" s="58"/>
      <c r="E887" s="58"/>
      <c r="F887" s="58"/>
      <c r="O887" s="110"/>
      <c r="P887" s="110"/>
      <c r="Q887" s="110"/>
    </row>
    <row r="888">
      <c r="C888" s="58"/>
      <c r="D888" s="58"/>
      <c r="E888" s="58"/>
      <c r="F888" s="58"/>
      <c r="O888" s="110"/>
      <c r="P888" s="110"/>
      <c r="Q888" s="110"/>
    </row>
    <row r="889">
      <c r="C889" s="58"/>
      <c r="D889" s="58"/>
      <c r="E889" s="58"/>
      <c r="F889" s="58"/>
      <c r="O889" s="110"/>
      <c r="P889" s="110"/>
      <c r="Q889" s="110"/>
    </row>
    <row r="890">
      <c r="C890" s="58"/>
      <c r="D890" s="58"/>
      <c r="E890" s="58"/>
      <c r="F890" s="58"/>
      <c r="O890" s="110"/>
      <c r="P890" s="110"/>
      <c r="Q890" s="110"/>
    </row>
    <row r="891">
      <c r="C891" s="58"/>
      <c r="D891" s="58"/>
      <c r="E891" s="58"/>
      <c r="F891" s="58"/>
      <c r="O891" s="110"/>
      <c r="P891" s="110"/>
      <c r="Q891" s="110"/>
    </row>
    <row r="892">
      <c r="C892" s="58"/>
      <c r="D892" s="58"/>
      <c r="E892" s="58"/>
      <c r="F892" s="58"/>
      <c r="O892" s="110"/>
      <c r="P892" s="110"/>
      <c r="Q892" s="110"/>
    </row>
    <row r="893">
      <c r="C893" s="58"/>
      <c r="D893" s="58"/>
      <c r="E893" s="58"/>
      <c r="F893" s="58"/>
      <c r="O893" s="110"/>
      <c r="P893" s="110"/>
      <c r="Q893" s="110"/>
    </row>
    <row r="894">
      <c r="C894" s="58"/>
      <c r="D894" s="58"/>
      <c r="E894" s="58"/>
      <c r="F894" s="58"/>
      <c r="O894" s="110"/>
      <c r="P894" s="110"/>
      <c r="Q894" s="110"/>
    </row>
    <row r="895">
      <c r="C895" s="58"/>
      <c r="D895" s="58"/>
      <c r="E895" s="58"/>
      <c r="F895" s="58"/>
      <c r="O895" s="110"/>
      <c r="P895" s="110"/>
      <c r="Q895" s="110"/>
    </row>
    <row r="896">
      <c r="C896" s="58"/>
      <c r="D896" s="58"/>
      <c r="E896" s="58"/>
      <c r="F896" s="58"/>
      <c r="O896" s="110"/>
      <c r="P896" s="110"/>
      <c r="Q896" s="110"/>
    </row>
    <row r="897">
      <c r="C897" s="58"/>
      <c r="D897" s="58"/>
      <c r="E897" s="58"/>
      <c r="F897" s="58"/>
      <c r="O897" s="110"/>
      <c r="P897" s="110"/>
      <c r="Q897" s="110"/>
    </row>
    <row r="898">
      <c r="C898" s="58"/>
      <c r="D898" s="58"/>
      <c r="E898" s="58"/>
      <c r="F898" s="58"/>
      <c r="O898" s="110"/>
      <c r="P898" s="110"/>
      <c r="Q898" s="110"/>
    </row>
    <row r="899">
      <c r="C899" s="58"/>
      <c r="D899" s="58"/>
      <c r="E899" s="58"/>
      <c r="F899" s="58"/>
      <c r="O899" s="110"/>
      <c r="P899" s="110"/>
      <c r="Q899" s="110"/>
    </row>
    <row r="900">
      <c r="C900" s="58"/>
      <c r="D900" s="58"/>
      <c r="E900" s="58"/>
      <c r="F900" s="58"/>
      <c r="O900" s="110"/>
      <c r="P900" s="110"/>
      <c r="Q900" s="110"/>
    </row>
    <row r="901">
      <c r="C901" s="58"/>
      <c r="D901" s="58"/>
      <c r="E901" s="58"/>
      <c r="F901" s="58"/>
      <c r="O901" s="110"/>
      <c r="P901" s="110"/>
      <c r="Q901" s="110"/>
    </row>
    <row r="902">
      <c r="C902" s="58"/>
      <c r="D902" s="58"/>
      <c r="E902" s="58"/>
      <c r="F902" s="58"/>
      <c r="O902" s="110"/>
      <c r="P902" s="110"/>
      <c r="Q902" s="110"/>
    </row>
    <row r="903">
      <c r="C903" s="58"/>
      <c r="D903" s="58"/>
      <c r="E903" s="58"/>
      <c r="F903" s="58"/>
      <c r="O903" s="110"/>
      <c r="P903" s="110"/>
      <c r="Q903" s="110"/>
    </row>
    <row r="904">
      <c r="C904" s="58"/>
      <c r="D904" s="58"/>
      <c r="E904" s="58"/>
      <c r="F904" s="58"/>
      <c r="O904" s="110"/>
      <c r="P904" s="110"/>
      <c r="Q904" s="110"/>
    </row>
    <row r="905">
      <c r="C905" s="58"/>
      <c r="D905" s="58"/>
      <c r="E905" s="58"/>
      <c r="F905" s="58"/>
      <c r="O905" s="110"/>
      <c r="P905" s="110"/>
      <c r="Q905" s="110"/>
    </row>
    <row r="906">
      <c r="C906" s="58"/>
      <c r="D906" s="58"/>
      <c r="E906" s="58"/>
      <c r="F906" s="58"/>
      <c r="O906" s="110"/>
      <c r="P906" s="110"/>
      <c r="Q906" s="110"/>
    </row>
    <row r="907">
      <c r="C907" s="58"/>
      <c r="D907" s="58"/>
      <c r="E907" s="58"/>
      <c r="F907" s="58"/>
      <c r="O907" s="110"/>
      <c r="P907" s="110"/>
      <c r="Q907" s="110"/>
    </row>
    <row r="908">
      <c r="C908" s="58"/>
      <c r="D908" s="58"/>
      <c r="E908" s="58"/>
      <c r="F908" s="58"/>
      <c r="O908" s="110"/>
      <c r="P908" s="110"/>
      <c r="Q908" s="110"/>
    </row>
    <row r="909">
      <c r="C909" s="58"/>
      <c r="D909" s="58"/>
      <c r="E909" s="58"/>
      <c r="F909" s="58"/>
      <c r="O909" s="110"/>
      <c r="P909" s="110"/>
      <c r="Q909" s="110"/>
    </row>
    <row r="910">
      <c r="C910" s="58"/>
      <c r="D910" s="58"/>
      <c r="E910" s="58"/>
      <c r="F910" s="58"/>
      <c r="O910" s="110"/>
      <c r="P910" s="110"/>
      <c r="Q910" s="110"/>
    </row>
    <row r="911">
      <c r="C911" s="58"/>
      <c r="D911" s="58"/>
      <c r="E911" s="58"/>
      <c r="F911" s="58"/>
      <c r="O911" s="110"/>
      <c r="P911" s="110"/>
      <c r="Q911" s="110"/>
    </row>
    <row r="912">
      <c r="C912" s="58"/>
      <c r="D912" s="58"/>
      <c r="E912" s="58"/>
      <c r="F912" s="58"/>
      <c r="O912" s="110"/>
      <c r="P912" s="110"/>
      <c r="Q912" s="110"/>
    </row>
    <row r="913">
      <c r="C913" s="58"/>
      <c r="D913" s="58"/>
      <c r="E913" s="58"/>
      <c r="F913" s="58"/>
      <c r="O913" s="110"/>
      <c r="P913" s="110"/>
      <c r="Q913" s="110"/>
    </row>
    <row r="914">
      <c r="C914" s="58"/>
      <c r="D914" s="58"/>
      <c r="E914" s="58"/>
      <c r="F914" s="58"/>
      <c r="O914" s="110"/>
      <c r="P914" s="110"/>
      <c r="Q914" s="110"/>
    </row>
    <row r="915">
      <c r="C915" s="58"/>
      <c r="D915" s="58"/>
      <c r="E915" s="58"/>
      <c r="F915" s="58"/>
      <c r="O915" s="110"/>
      <c r="P915" s="110"/>
      <c r="Q915" s="110"/>
    </row>
    <row r="916">
      <c r="C916" s="58"/>
      <c r="D916" s="58"/>
      <c r="E916" s="58"/>
      <c r="F916" s="58"/>
      <c r="O916" s="110"/>
      <c r="P916" s="110"/>
      <c r="Q916" s="110"/>
    </row>
    <row r="917">
      <c r="C917" s="58"/>
      <c r="D917" s="58"/>
      <c r="E917" s="58"/>
      <c r="F917" s="58"/>
      <c r="O917" s="110"/>
      <c r="P917" s="110"/>
      <c r="Q917" s="110"/>
    </row>
    <row r="918">
      <c r="C918" s="58"/>
      <c r="D918" s="58"/>
      <c r="E918" s="58"/>
      <c r="F918" s="58"/>
      <c r="O918" s="110"/>
      <c r="P918" s="110"/>
      <c r="Q918" s="110"/>
    </row>
    <row r="919">
      <c r="C919" s="58"/>
      <c r="D919" s="58"/>
      <c r="E919" s="58"/>
      <c r="F919" s="58"/>
      <c r="O919" s="110"/>
      <c r="P919" s="110"/>
      <c r="Q919" s="110"/>
    </row>
    <row r="920">
      <c r="C920" s="58"/>
      <c r="D920" s="58"/>
      <c r="E920" s="58"/>
      <c r="F920" s="58"/>
      <c r="O920" s="110"/>
      <c r="P920" s="110"/>
      <c r="Q920" s="110"/>
    </row>
    <row r="921">
      <c r="C921" s="58"/>
      <c r="D921" s="58"/>
      <c r="E921" s="58"/>
      <c r="F921" s="58"/>
      <c r="O921" s="110"/>
      <c r="P921" s="110"/>
      <c r="Q921" s="110"/>
    </row>
    <row r="922">
      <c r="C922" s="58"/>
      <c r="D922" s="58"/>
      <c r="E922" s="58"/>
      <c r="F922" s="58"/>
      <c r="O922" s="110"/>
      <c r="P922" s="110"/>
      <c r="Q922" s="110"/>
    </row>
    <row r="923">
      <c r="C923" s="58"/>
      <c r="D923" s="58"/>
      <c r="E923" s="58"/>
      <c r="F923" s="58"/>
      <c r="O923" s="110"/>
      <c r="P923" s="110"/>
      <c r="Q923" s="110"/>
    </row>
    <row r="924">
      <c r="C924" s="58"/>
      <c r="D924" s="58"/>
      <c r="E924" s="58"/>
      <c r="F924" s="58"/>
      <c r="O924" s="110"/>
      <c r="P924" s="110"/>
      <c r="Q924" s="110"/>
    </row>
    <row r="925">
      <c r="C925" s="58"/>
      <c r="D925" s="58"/>
      <c r="E925" s="58"/>
      <c r="F925" s="58"/>
      <c r="O925" s="110"/>
      <c r="P925" s="110"/>
      <c r="Q925" s="110"/>
    </row>
    <row r="926">
      <c r="C926" s="58"/>
      <c r="D926" s="58"/>
      <c r="E926" s="58"/>
      <c r="F926" s="58"/>
      <c r="O926" s="110"/>
      <c r="P926" s="110"/>
      <c r="Q926" s="110"/>
    </row>
    <row r="927">
      <c r="C927" s="58"/>
      <c r="D927" s="58"/>
      <c r="E927" s="58"/>
      <c r="F927" s="58"/>
      <c r="O927" s="110"/>
      <c r="P927" s="110"/>
      <c r="Q927" s="110"/>
    </row>
    <row r="928">
      <c r="C928" s="58"/>
      <c r="D928" s="58"/>
      <c r="E928" s="58"/>
      <c r="F928" s="58"/>
      <c r="O928" s="110"/>
      <c r="P928" s="110"/>
      <c r="Q928" s="110"/>
    </row>
    <row r="929">
      <c r="C929" s="58"/>
      <c r="D929" s="58"/>
      <c r="E929" s="58"/>
      <c r="F929" s="58"/>
      <c r="O929" s="110"/>
      <c r="P929" s="110"/>
      <c r="Q929" s="110"/>
    </row>
    <row r="930">
      <c r="C930" s="58"/>
      <c r="D930" s="58"/>
      <c r="E930" s="58"/>
      <c r="F930" s="58"/>
      <c r="O930" s="110"/>
      <c r="P930" s="110"/>
      <c r="Q930" s="110"/>
    </row>
    <row r="931">
      <c r="C931" s="58"/>
      <c r="D931" s="58"/>
      <c r="E931" s="58"/>
      <c r="F931" s="58"/>
      <c r="O931" s="110"/>
      <c r="P931" s="110"/>
      <c r="Q931" s="110"/>
    </row>
    <row r="932">
      <c r="C932" s="58"/>
      <c r="D932" s="58"/>
      <c r="E932" s="58"/>
      <c r="F932" s="58"/>
      <c r="O932" s="110"/>
      <c r="P932" s="110"/>
      <c r="Q932" s="110"/>
    </row>
    <row r="933">
      <c r="C933" s="58"/>
      <c r="D933" s="58"/>
      <c r="E933" s="58"/>
      <c r="F933" s="58"/>
      <c r="O933" s="110"/>
      <c r="P933" s="110"/>
      <c r="Q933" s="110"/>
    </row>
    <row r="934">
      <c r="C934" s="58"/>
      <c r="D934" s="58"/>
      <c r="E934" s="58"/>
      <c r="F934" s="58"/>
      <c r="O934" s="110"/>
      <c r="P934" s="110"/>
      <c r="Q934" s="110"/>
    </row>
    <row r="935">
      <c r="C935" s="58"/>
      <c r="D935" s="58"/>
      <c r="E935" s="58"/>
      <c r="F935" s="58"/>
      <c r="O935" s="110"/>
      <c r="P935" s="110"/>
      <c r="Q935" s="110"/>
    </row>
    <row r="936">
      <c r="C936" s="58"/>
      <c r="D936" s="58"/>
      <c r="E936" s="58"/>
      <c r="F936" s="58"/>
      <c r="O936" s="110"/>
      <c r="P936" s="110"/>
      <c r="Q936" s="110"/>
    </row>
    <row r="937">
      <c r="C937" s="58"/>
      <c r="D937" s="58"/>
      <c r="E937" s="58"/>
      <c r="F937" s="58"/>
      <c r="O937" s="110"/>
      <c r="P937" s="110"/>
      <c r="Q937" s="110"/>
    </row>
    <row r="938">
      <c r="C938" s="58"/>
      <c r="D938" s="58"/>
      <c r="E938" s="58"/>
      <c r="F938" s="58"/>
      <c r="O938" s="110"/>
      <c r="P938" s="110"/>
      <c r="Q938" s="110"/>
    </row>
    <row r="939">
      <c r="C939" s="58"/>
      <c r="D939" s="58"/>
      <c r="E939" s="58"/>
      <c r="F939" s="58"/>
      <c r="O939" s="110"/>
      <c r="P939" s="110"/>
      <c r="Q939" s="110"/>
    </row>
    <row r="940">
      <c r="C940" s="58"/>
      <c r="D940" s="58"/>
      <c r="E940" s="58"/>
      <c r="F940" s="58"/>
      <c r="O940" s="110"/>
      <c r="P940" s="110"/>
      <c r="Q940" s="110"/>
    </row>
    <row r="941">
      <c r="C941" s="58"/>
      <c r="D941" s="58"/>
      <c r="E941" s="58"/>
      <c r="F941" s="58"/>
      <c r="O941" s="110"/>
      <c r="P941" s="110"/>
      <c r="Q941" s="110"/>
    </row>
    <row r="942">
      <c r="C942" s="58"/>
      <c r="D942" s="58"/>
      <c r="E942" s="58"/>
      <c r="F942" s="58"/>
      <c r="O942" s="110"/>
      <c r="P942" s="110"/>
      <c r="Q942" s="110"/>
    </row>
    <row r="943">
      <c r="C943" s="58"/>
      <c r="D943" s="58"/>
      <c r="E943" s="58"/>
      <c r="F943" s="58"/>
      <c r="O943" s="110"/>
      <c r="P943" s="110"/>
      <c r="Q943" s="110"/>
    </row>
    <row r="944">
      <c r="C944" s="58"/>
      <c r="D944" s="58"/>
      <c r="E944" s="58"/>
      <c r="F944" s="58"/>
      <c r="O944" s="110"/>
      <c r="P944" s="110"/>
      <c r="Q944" s="110"/>
    </row>
    <row r="945">
      <c r="C945" s="58"/>
      <c r="D945" s="58"/>
      <c r="E945" s="58"/>
      <c r="F945" s="58"/>
      <c r="O945" s="110"/>
      <c r="P945" s="110"/>
      <c r="Q945" s="110"/>
    </row>
    <row r="946">
      <c r="C946" s="58"/>
      <c r="D946" s="58"/>
      <c r="E946" s="58"/>
      <c r="F946" s="58"/>
      <c r="O946" s="110"/>
      <c r="P946" s="110"/>
      <c r="Q946" s="110"/>
    </row>
    <row r="947">
      <c r="C947" s="58"/>
      <c r="D947" s="58"/>
      <c r="E947" s="58"/>
      <c r="F947" s="58"/>
      <c r="O947" s="110"/>
      <c r="P947" s="110"/>
      <c r="Q947" s="110"/>
    </row>
    <row r="948">
      <c r="C948" s="58"/>
      <c r="D948" s="58"/>
      <c r="E948" s="58"/>
      <c r="F948" s="58"/>
      <c r="O948" s="110"/>
      <c r="P948" s="110"/>
      <c r="Q948" s="110"/>
    </row>
    <row r="949">
      <c r="C949" s="58"/>
      <c r="D949" s="58"/>
      <c r="E949" s="58"/>
      <c r="F949" s="58"/>
      <c r="O949" s="110"/>
      <c r="P949" s="110"/>
      <c r="Q949" s="110"/>
    </row>
    <row r="950">
      <c r="C950" s="58"/>
      <c r="D950" s="58"/>
      <c r="E950" s="58"/>
      <c r="F950" s="58"/>
      <c r="O950" s="110"/>
      <c r="P950" s="110"/>
      <c r="Q950" s="110"/>
    </row>
    <row r="951">
      <c r="C951" s="58"/>
      <c r="D951" s="58"/>
      <c r="E951" s="58"/>
      <c r="F951" s="58"/>
      <c r="O951" s="110"/>
      <c r="P951" s="110"/>
      <c r="Q951" s="110"/>
    </row>
    <row r="952">
      <c r="C952" s="58"/>
      <c r="D952" s="58"/>
      <c r="E952" s="58"/>
      <c r="F952" s="58"/>
      <c r="O952" s="110"/>
      <c r="P952" s="110"/>
      <c r="Q952" s="110"/>
    </row>
    <row r="953">
      <c r="C953" s="58"/>
      <c r="D953" s="58"/>
      <c r="E953" s="58"/>
      <c r="F953" s="58"/>
      <c r="O953" s="110"/>
      <c r="P953" s="110"/>
      <c r="Q953" s="110"/>
    </row>
    <row r="954">
      <c r="C954" s="58"/>
      <c r="D954" s="58"/>
      <c r="E954" s="58"/>
      <c r="F954" s="58"/>
      <c r="O954" s="110"/>
      <c r="P954" s="110"/>
      <c r="Q954" s="110"/>
    </row>
    <row r="955">
      <c r="C955" s="58"/>
      <c r="D955" s="58"/>
      <c r="E955" s="58"/>
      <c r="F955" s="58"/>
      <c r="O955" s="110"/>
      <c r="P955" s="110"/>
      <c r="Q955" s="110"/>
    </row>
    <row r="956">
      <c r="C956" s="58"/>
      <c r="D956" s="58"/>
      <c r="E956" s="58"/>
      <c r="F956" s="58"/>
      <c r="O956" s="110"/>
      <c r="P956" s="110"/>
      <c r="Q956" s="110"/>
    </row>
    <row r="957">
      <c r="C957" s="58"/>
      <c r="D957" s="58"/>
      <c r="E957" s="58"/>
      <c r="F957" s="58"/>
      <c r="O957" s="110"/>
      <c r="P957" s="110"/>
      <c r="Q957" s="110"/>
    </row>
    <row r="958">
      <c r="C958" s="58"/>
      <c r="D958" s="58"/>
      <c r="E958" s="58"/>
      <c r="F958" s="58"/>
      <c r="O958" s="110"/>
      <c r="P958" s="110"/>
      <c r="Q958" s="110"/>
    </row>
    <row r="959">
      <c r="C959" s="58"/>
      <c r="D959" s="58"/>
      <c r="E959" s="58"/>
      <c r="F959" s="58"/>
      <c r="O959" s="110"/>
      <c r="P959" s="110"/>
      <c r="Q959" s="110"/>
    </row>
    <row r="960">
      <c r="C960" s="58"/>
      <c r="D960" s="58"/>
      <c r="E960" s="58"/>
      <c r="F960" s="58"/>
      <c r="O960" s="110"/>
      <c r="P960" s="110"/>
      <c r="Q960" s="110"/>
    </row>
    <row r="961">
      <c r="C961" s="58"/>
      <c r="D961" s="58"/>
      <c r="E961" s="58"/>
      <c r="F961" s="58"/>
      <c r="O961" s="110"/>
      <c r="P961" s="110"/>
      <c r="Q961" s="110"/>
    </row>
    <row r="962">
      <c r="C962" s="58"/>
      <c r="D962" s="58"/>
      <c r="E962" s="58"/>
      <c r="F962" s="58"/>
      <c r="O962" s="110"/>
      <c r="P962" s="110"/>
      <c r="Q962" s="110"/>
    </row>
    <row r="963">
      <c r="C963" s="58"/>
      <c r="D963" s="58"/>
      <c r="E963" s="58"/>
      <c r="F963" s="58"/>
      <c r="O963" s="110"/>
      <c r="P963" s="110"/>
      <c r="Q963" s="110"/>
    </row>
    <row r="964">
      <c r="C964" s="58"/>
      <c r="D964" s="58"/>
      <c r="E964" s="58"/>
      <c r="F964" s="58"/>
      <c r="O964" s="110"/>
      <c r="P964" s="110"/>
      <c r="Q964" s="110"/>
    </row>
    <row r="965">
      <c r="C965" s="58"/>
      <c r="D965" s="58"/>
      <c r="E965" s="58"/>
      <c r="F965" s="58"/>
      <c r="O965" s="110"/>
      <c r="P965" s="110"/>
      <c r="Q965" s="110"/>
    </row>
    <row r="966">
      <c r="C966" s="58"/>
      <c r="D966" s="58"/>
      <c r="E966" s="58"/>
      <c r="F966" s="58"/>
      <c r="O966" s="110"/>
      <c r="P966" s="110"/>
      <c r="Q966" s="110"/>
    </row>
    <row r="967">
      <c r="C967" s="58"/>
      <c r="D967" s="58"/>
      <c r="E967" s="58"/>
      <c r="F967" s="58"/>
      <c r="O967" s="110"/>
      <c r="P967" s="110"/>
      <c r="Q967" s="110"/>
    </row>
    <row r="968">
      <c r="C968" s="58"/>
      <c r="D968" s="58"/>
      <c r="E968" s="58"/>
      <c r="F968" s="58"/>
      <c r="O968" s="110"/>
      <c r="P968" s="110"/>
      <c r="Q968" s="110"/>
    </row>
    <row r="969">
      <c r="C969" s="58"/>
      <c r="D969" s="58"/>
      <c r="E969" s="58"/>
      <c r="F969" s="58"/>
      <c r="O969" s="110"/>
      <c r="P969" s="110"/>
      <c r="Q969" s="110"/>
    </row>
    <row r="970">
      <c r="C970" s="58"/>
      <c r="D970" s="58"/>
      <c r="E970" s="58"/>
      <c r="F970" s="58"/>
      <c r="O970" s="110"/>
      <c r="P970" s="110"/>
      <c r="Q970" s="110"/>
    </row>
    <row r="971">
      <c r="C971" s="58"/>
      <c r="D971" s="58"/>
      <c r="E971" s="58"/>
      <c r="F971" s="58"/>
      <c r="O971" s="110"/>
      <c r="P971" s="110"/>
      <c r="Q971" s="110"/>
    </row>
    <row r="972">
      <c r="C972" s="58"/>
      <c r="D972" s="58"/>
      <c r="E972" s="58"/>
      <c r="F972" s="58"/>
      <c r="O972" s="110"/>
      <c r="P972" s="110"/>
      <c r="Q972" s="110"/>
    </row>
    <row r="973">
      <c r="C973" s="58"/>
      <c r="D973" s="58"/>
      <c r="E973" s="58"/>
      <c r="F973" s="58"/>
      <c r="O973" s="110"/>
      <c r="P973" s="110"/>
      <c r="Q973" s="110"/>
    </row>
    <row r="974">
      <c r="C974" s="58"/>
      <c r="D974" s="58"/>
      <c r="E974" s="58"/>
      <c r="F974" s="58"/>
      <c r="O974" s="110"/>
      <c r="P974" s="110"/>
      <c r="Q974" s="110"/>
    </row>
    <row r="975">
      <c r="C975" s="58"/>
      <c r="D975" s="58"/>
      <c r="E975" s="58"/>
      <c r="F975" s="58"/>
      <c r="O975" s="110"/>
      <c r="P975" s="110"/>
      <c r="Q975" s="110"/>
    </row>
    <row r="976">
      <c r="C976" s="58"/>
      <c r="D976" s="58"/>
      <c r="E976" s="58"/>
      <c r="F976" s="58"/>
      <c r="O976" s="110"/>
      <c r="P976" s="110"/>
      <c r="Q976" s="110"/>
    </row>
    <row r="977">
      <c r="C977" s="58"/>
      <c r="D977" s="58"/>
      <c r="E977" s="58"/>
      <c r="F977" s="58"/>
      <c r="O977" s="110"/>
      <c r="P977" s="110"/>
      <c r="Q977" s="110"/>
    </row>
    <row r="978">
      <c r="C978" s="58"/>
      <c r="D978" s="58"/>
      <c r="E978" s="58"/>
      <c r="F978" s="58"/>
      <c r="O978" s="110"/>
      <c r="P978" s="110"/>
      <c r="Q978" s="110"/>
    </row>
    <row r="979">
      <c r="C979" s="58"/>
      <c r="D979" s="58"/>
      <c r="E979" s="58"/>
      <c r="F979" s="58"/>
      <c r="O979" s="110"/>
      <c r="P979" s="110"/>
      <c r="Q979" s="110"/>
    </row>
    <row r="980">
      <c r="C980" s="58"/>
      <c r="D980" s="58"/>
      <c r="E980" s="58"/>
      <c r="F980" s="58"/>
      <c r="O980" s="110"/>
      <c r="P980" s="110"/>
      <c r="Q980" s="110"/>
    </row>
    <row r="981">
      <c r="C981" s="58"/>
      <c r="D981" s="58"/>
      <c r="E981" s="58"/>
      <c r="F981" s="58"/>
      <c r="O981" s="110"/>
      <c r="P981" s="110"/>
      <c r="Q981" s="110"/>
    </row>
    <row r="982">
      <c r="C982" s="58"/>
      <c r="D982" s="58"/>
      <c r="E982" s="58"/>
      <c r="F982" s="58"/>
      <c r="O982" s="110"/>
      <c r="P982" s="110"/>
      <c r="Q982" s="110"/>
    </row>
    <row r="983">
      <c r="C983" s="58"/>
      <c r="D983" s="58"/>
      <c r="E983" s="58"/>
      <c r="F983" s="58"/>
      <c r="O983" s="110"/>
      <c r="P983" s="110"/>
      <c r="Q983" s="110"/>
    </row>
    <row r="984">
      <c r="C984" s="58"/>
      <c r="D984" s="58"/>
      <c r="E984" s="58"/>
      <c r="F984" s="58"/>
      <c r="O984" s="110"/>
      <c r="P984" s="110"/>
      <c r="Q984" s="110"/>
    </row>
    <row r="985">
      <c r="C985" s="58"/>
      <c r="D985" s="58"/>
      <c r="E985" s="58"/>
      <c r="F985" s="58"/>
      <c r="O985" s="110"/>
      <c r="P985" s="110"/>
      <c r="Q985" s="110"/>
    </row>
    <row r="986">
      <c r="C986" s="58"/>
      <c r="D986" s="58"/>
      <c r="E986" s="58"/>
      <c r="F986" s="58"/>
      <c r="O986" s="110"/>
      <c r="P986" s="110"/>
      <c r="Q986" s="110"/>
    </row>
    <row r="987">
      <c r="C987" s="58"/>
      <c r="D987" s="58"/>
      <c r="E987" s="58"/>
      <c r="F987" s="58"/>
      <c r="O987" s="110"/>
      <c r="P987" s="110"/>
      <c r="Q987" s="110"/>
    </row>
    <row r="988">
      <c r="C988" s="58"/>
      <c r="D988" s="58"/>
      <c r="E988" s="58"/>
      <c r="F988" s="58"/>
      <c r="O988" s="110"/>
      <c r="P988" s="110"/>
      <c r="Q988" s="110"/>
    </row>
    <row r="989">
      <c r="C989" s="58"/>
      <c r="D989" s="58"/>
      <c r="E989" s="58"/>
      <c r="F989" s="58"/>
      <c r="O989" s="110"/>
      <c r="P989" s="110"/>
      <c r="Q989" s="110"/>
    </row>
    <row r="990">
      <c r="C990" s="58"/>
      <c r="D990" s="58"/>
      <c r="E990" s="58"/>
      <c r="F990" s="58"/>
      <c r="O990" s="110"/>
      <c r="P990" s="110"/>
      <c r="Q990" s="110"/>
    </row>
    <row r="991">
      <c r="C991" s="58"/>
      <c r="D991" s="58"/>
      <c r="E991" s="58"/>
      <c r="F991" s="58"/>
      <c r="O991" s="110"/>
      <c r="P991" s="110"/>
      <c r="Q991" s="110"/>
    </row>
    <row r="992">
      <c r="C992" s="58"/>
      <c r="D992" s="58"/>
      <c r="E992" s="58"/>
      <c r="F992" s="58"/>
      <c r="O992" s="110"/>
      <c r="P992" s="110"/>
      <c r="Q992" s="110"/>
    </row>
    <row r="993">
      <c r="C993" s="58"/>
      <c r="D993" s="58"/>
      <c r="E993" s="58"/>
      <c r="F993" s="58"/>
      <c r="O993" s="110"/>
      <c r="P993" s="110"/>
      <c r="Q993" s="110"/>
    </row>
    <row r="994">
      <c r="C994" s="58"/>
      <c r="D994" s="58"/>
      <c r="E994" s="58"/>
      <c r="F994" s="58"/>
      <c r="O994" s="110"/>
      <c r="P994" s="110"/>
      <c r="Q994" s="110"/>
    </row>
    <row r="995">
      <c r="C995" s="58"/>
      <c r="D995" s="58"/>
      <c r="E995" s="58"/>
      <c r="F995" s="58"/>
      <c r="O995" s="110"/>
      <c r="P995" s="110"/>
      <c r="Q995" s="110"/>
    </row>
    <row r="996">
      <c r="C996" s="58"/>
      <c r="D996" s="58"/>
      <c r="E996" s="58"/>
      <c r="F996" s="58"/>
      <c r="O996" s="110"/>
      <c r="P996" s="110"/>
      <c r="Q996" s="110"/>
    </row>
    <row r="997">
      <c r="C997" s="58"/>
      <c r="D997" s="58"/>
      <c r="E997" s="58"/>
      <c r="F997" s="58"/>
      <c r="O997" s="110"/>
      <c r="P997" s="110"/>
      <c r="Q997" s="110"/>
    </row>
    <row r="998">
      <c r="C998" s="58"/>
      <c r="D998" s="58"/>
      <c r="E998" s="58"/>
      <c r="F998" s="58"/>
      <c r="O998" s="110"/>
      <c r="P998" s="110"/>
      <c r="Q998" s="110"/>
    </row>
    <row r="999">
      <c r="C999" s="58"/>
      <c r="D999" s="58"/>
      <c r="E999" s="58"/>
      <c r="F999" s="58"/>
      <c r="O999" s="110"/>
      <c r="P999" s="110"/>
      <c r="Q999" s="110"/>
    </row>
    <row r="1000">
      <c r="C1000" s="58"/>
      <c r="D1000" s="58"/>
      <c r="E1000" s="58"/>
      <c r="F1000" s="58"/>
      <c r="O1000" s="110"/>
      <c r="P1000" s="110"/>
      <c r="Q1000" s="110"/>
    </row>
    <row r="1001">
      <c r="C1001" s="58"/>
      <c r="D1001" s="58"/>
      <c r="E1001" s="58"/>
      <c r="F1001" s="58"/>
      <c r="O1001" s="110"/>
      <c r="P1001" s="110"/>
      <c r="Q1001" s="110"/>
    </row>
    <row r="1002">
      <c r="C1002" s="58"/>
      <c r="D1002" s="58"/>
      <c r="E1002" s="58"/>
      <c r="F1002" s="58"/>
      <c r="O1002" s="110"/>
      <c r="P1002" s="110"/>
      <c r="Q1002" s="110"/>
    </row>
    <row r="1003">
      <c r="C1003" s="58"/>
      <c r="D1003" s="58"/>
      <c r="E1003" s="58"/>
      <c r="F1003" s="58"/>
      <c r="O1003" s="110"/>
      <c r="P1003" s="110"/>
      <c r="Q1003" s="110"/>
    </row>
    <row r="1004">
      <c r="C1004" s="58"/>
      <c r="D1004" s="58"/>
      <c r="E1004" s="58"/>
      <c r="F1004" s="58"/>
      <c r="O1004" s="110"/>
      <c r="P1004" s="110"/>
      <c r="Q1004" s="110"/>
    </row>
    <row r="1005">
      <c r="C1005" s="58"/>
      <c r="D1005" s="58"/>
      <c r="E1005" s="58"/>
      <c r="F1005" s="58"/>
      <c r="O1005" s="110"/>
      <c r="P1005" s="110"/>
      <c r="Q1005" s="110"/>
    </row>
    <row r="1006">
      <c r="C1006" s="58"/>
      <c r="D1006" s="58"/>
      <c r="E1006" s="58"/>
      <c r="F1006" s="58"/>
      <c r="O1006" s="110"/>
      <c r="P1006" s="110"/>
      <c r="Q1006" s="110"/>
    </row>
    <row r="1007">
      <c r="C1007" s="58"/>
      <c r="D1007" s="58"/>
      <c r="E1007" s="58"/>
      <c r="F1007" s="58"/>
      <c r="O1007" s="110"/>
      <c r="P1007" s="110"/>
      <c r="Q1007" s="110"/>
    </row>
    <row r="1008">
      <c r="C1008" s="58"/>
      <c r="D1008" s="58"/>
      <c r="E1008" s="58"/>
      <c r="F1008" s="58"/>
      <c r="O1008" s="110"/>
      <c r="P1008" s="110"/>
      <c r="Q1008" s="110"/>
    </row>
    <row r="1009">
      <c r="C1009" s="58"/>
      <c r="D1009" s="58"/>
      <c r="E1009" s="58"/>
      <c r="F1009" s="58"/>
      <c r="O1009" s="110"/>
      <c r="P1009" s="110"/>
      <c r="Q1009" s="110"/>
    </row>
    <row r="1010">
      <c r="C1010" s="58"/>
      <c r="D1010" s="58"/>
      <c r="E1010" s="58"/>
      <c r="F1010" s="58"/>
      <c r="O1010" s="110"/>
      <c r="P1010" s="110"/>
      <c r="Q1010" s="110"/>
    </row>
    <row r="1011">
      <c r="C1011" s="58"/>
      <c r="D1011" s="58"/>
      <c r="E1011" s="58"/>
      <c r="F1011" s="58"/>
      <c r="O1011" s="110"/>
      <c r="P1011" s="110"/>
      <c r="Q1011" s="110"/>
    </row>
    <row r="1012">
      <c r="C1012" s="58"/>
      <c r="D1012" s="58"/>
      <c r="E1012" s="58"/>
      <c r="F1012" s="58"/>
      <c r="O1012" s="110"/>
      <c r="P1012" s="110"/>
      <c r="Q1012" s="110"/>
    </row>
    <row r="1013">
      <c r="C1013" s="58"/>
      <c r="D1013" s="58"/>
      <c r="E1013" s="58"/>
      <c r="F1013" s="58"/>
      <c r="O1013" s="110"/>
      <c r="P1013" s="110"/>
      <c r="Q1013" s="110"/>
    </row>
    <row r="1014">
      <c r="C1014" s="58"/>
      <c r="D1014" s="58"/>
      <c r="E1014" s="58"/>
      <c r="F1014" s="58"/>
    </row>
  </sheetData>
  <hyperlinks>
    <hyperlink r:id="rId1" ref="B1"/>
    <hyperlink r:id="rId2" ref="F1"/>
    <hyperlink r:id="rId3" ref="J1"/>
    <hyperlink r:id="rId4" ref="N1"/>
    <hyperlink r:id="rId5" ref="R1"/>
    <hyperlink r:id="rId6" ref="V1"/>
  </hyperlinks>
  <drawing r:id="rId7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Col="1" outlineLevelRow="1"/>
  <cols>
    <col customWidth="1" min="1" max="1" width="28.0"/>
    <col collapsed="1" min="2" max="2" width="12.63"/>
    <col hidden="1" min="3" max="5" width="12.63" outlineLevel="1"/>
    <col min="7" max="9" width="12.63" outlineLevel="1"/>
    <col min="11" max="13" width="12.63" outlineLevel="1"/>
    <col min="15" max="17" width="12.63" outlineLevel="1"/>
    <col min="19" max="21" width="12.63" outlineLevel="1"/>
    <col min="23" max="25" width="12.63" outlineLevel="1"/>
  </cols>
  <sheetData>
    <row r="1">
      <c r="A1" s="107"/>
      <c r="B1" s="108" t="s">
        <v>1</v>
      </c>
      <c r="C1" s="109"/>
      <c r="D1" s="109"/>
      <c r="E1" s="109"/>
      <c r="F1" s="108" t="s">
        <v>1</v>
      </c>
      <c r="G1" s="109"/>
      <c r="H1" s="109"/>
      <c r="I1" s="109"/>
      <c r="J1" s="108" t="s">
        <v>1</v>
      </c>
      <c r="K1" s="109"/>
      <c r="L1" s="109"/>
      <c r="M1" s="109"/>
      <c r="N1" s="112" t="s">
        <v>1</v>
      </c>
      <c r="O1" s="109"/>
      <c r="P1" s="109"/>
      <c r="Q1" s="109"/>
      <c r="R1" s="108" t="s">
        <v>1</v>
      </c>
      <c r="S1" s="109"/>
      <c r="T1" s="109"/>
      <c r="U1" s="109"/>
      <c r="V1" s="113" t="s">
        <v>1</v>
      </c>
      <c r="W1" s="101"/>
      <c r="X1" s="101"/>
      <c r="Y1" s="101"/>
      <c r="Z1" s="98"/>
    </row>
    <row r="2">
      <c r="A2" s="107" t="s">
        <v>6</v>
      </c>
      <c r="B2" s="109" t="s">
        <v>7</v>
      </c>
      <c r="C2" s="109" t="s">
        <v>17</v>
      </c>
      <c r="D2" s="109" t="s">
        <v>18</v>
      </c>
      <c r="E2" s="109" t="s">
        <v>51</v>
      </c>
      <c r="F2" s="109" t="s">
        <v>8</v>
      </c>
      <c r="G2" s="109" t="s">
        <v>17</v>
      </c>
      <c r="H2" s="109" t="s">
        <v>18</v>
      </c>
      <c r="I2" s="109" t="s">
        <v>51</v>
      </c>
      <c r="J2" s="109" t="s">
        <v>9</v>
      </c>
      <c r="K2" s="109" t="s">
        <v>17</v>
      </c>
      <c r="L2" s="109" t="s">
        <v>18</v>
      </c>
      <c r="M2" s="109" t="s">
        <v>51</v>
      </c>
      <c r="N2" s="115" t="s">
        <v>3</v>
      </c>
      <c r="O2" s="109" t="s">
        <v>17</v>
      </c>
      <c r="P2" s="109" t="s">
        <v>18</v>
      </c>
      <c r="Q2" s="109" t="s">
        <v>51</v>
      </c>
      <c r="R2" s="115" t="s">
        <v>10</v>
      </c>
      <c r="S2" s="109" t="s">
        <v>17</v>
      </c>
      <c r="T2" s="109" t="s">
        <v>18</v>
      </c>
      <c r="U2" s="109" t="s">
        <v>51</v>
      </c>
      <c r="V2" s="93" t="s">
        <v>11</v>
      </c>
      <c r="W2" s="109" t="s">
        <v>17</v>
      </c>
      <c r="X2" s="109" t="s">
        <v>18</v>
      </c>
      <c r="Y2" s="109" t="s">
        <v>51</v>
      </c>
      <c r="Z2" s="17"/>
    </row>
    <row r="3">
      <c r="A3" s="82" t="s">
        <v>16</v>
      </c>
      <c r="B3" s="52">
        <f t="shared" ref="B3:Y3" si="1">sum(B4,B10)</f>
        <v>313618</v>
      </c>
      <c r="C3" s="52">
        <f t="shared" si="1"/>
        <v>31257</v>
      </c>
      <c r="D3" s="52">
        <f t="shared" si="1"/>
        <v>163556</v>
      </c>
      <c r="E3" s="52">
        <f t="shared" si="1"/>
        <v>84413</v>
      </c>
      <c r="F3" s="52">
        <f t="shared" si="1"/>
        <v>363668</v>
      </c>
      <c r="G3" s="52">
        <f t="shared" si="1"/>
        <v>91770</v>
      </c>
      <c r="H3" s="52">
        <f t="shared" si="1"/>
        <v>206991</v>
      </c>
      <c r="I3" s="52">
        <f t="shared" si="1"/>
        <v>64907</v>
      </c>
      <c r="J3" s="52">
        <f t="shared" si="1"/>
        <v>440490</v>
      </c>
      <c r="K3" s="52">
        <f t="shared" si="1"/>
        <v>92185</v>
      </c>
      <c r="L3" s="52">
        <f t="shared" si="1"/>
        <v>291354</v>
      </c>
      <c r="M3" s="52">
        <f t="shared" si="1"/>
        <v>56951</v>
      </c>
      <c r="N3" s="52">
        <f t="shared" si="1"/>
        <v>478794</v>
      </c>
      <c r="O3" s="52">
        <f t="shared" si="1"/>
        <v>59413</v>
      </c>
      <c r="P3" s="52">
        <f t="shared" si="1"/>
        <v>261281</v>
      </c>
      <c r="Q3" s="52">
        <f t="shared" si="1"/>
        <v>76527</v>
      </c>
      <c r="R3" s="52">
        <f t="shared" si="1"/>
        <v>284219</v>
      </c>
      <c r="S3" s="52">
        <f t="shared" si="1"/>
        <v>57849</v>
      </c>
      <c r="T3" s="52">
        <f t="shared" si="1"/>
        <v>142818</v>
      </c>
      <c r="U3" s="52">
        <f t="shared" si="1"/>
        <v>81882</v>
      </c>
      <c r="V3" s="52">
        <f t="shared" si="1"/>
        <v>336888</v>
      </c>
      <c r="W3" s="52">
        <f t="shared" si="1"/>
        <v>71777</v>
      </c>
      <c r="X3" s="52">
        <f t="shared" si="1"/>
        <v>168979</v>
      </c>
      <c r="Y3" s="52">
        <f t="shared" si="1"/>
        <v>96132</v>
      </c>
    </row>
    <row r="4" outlineLevel="1">
      <c r="A4" s="82" t="s">
        <v>20</v>
      </c>
      <c r="B4" s="52">
        <f t="shared" ref="B4:Y4" si="2">sum(B5:B9)</f>
        <v>144764</v>
      </c>
      <c r="C4" s="52">
        <f t="shared" si="2"/>
        <v>23611</v>
      </c>
      <c r="D4" s="52">
        <f t="shared" si="2"/>
        <v>99368</v>
      </c>
      <c r="E4" s="52">
        <f t="shared" si="2"/>
        <v>21785</v>
      </c>
      <c r="F4" s="52">
        <f t="shared" si="2"/>
        <v>175870</v>
      </c>
      <c r="G4" s="52">
        <f t="shared" si="2"/>
        <v>63403</v>
      </c>
      <c r="H4" s="52">
        <f t="shared" si="2"/>
        <v>69443</v>
      </c>
      <c r="I4" s="52">
        <f t="shared" si="2"/>
        <v>43024</v>
      </c>
      <c r="J4" s="52">
        <f t="shared" si="2"/>
        <v>211794</v>
      </c>
      <c r="K4" s="52">
        <f t="shared" si="2"/>
        <v>62484</v>
      </c>
      <c r="L4" s="52">
        <f t="shared" si="2"/>
        <v>120067</v>
      </c>
      <c r="M4" s="52">
        <f t="shared" si="2"/>
        <v>29243</v>
      </c>
      <c r="N4" s="52">
        <f t="shared" si="2"/>
        <v>241822</v>
      </c>
      <c r="O4" s="52">
        <f t="shared" si="2"/>
        <v>43319</v>
      </c>
      <c r="P4" s="52">
        <f t="shared" si="2"/>
        <v>74903</v>
      </c>
      <c r="Q4" s="52">
        <f t="shared" si="2"/>
        <v>42027</v>
      </c>
      <c r="R4" s="52">
        <f t="shared" si="2"/>
        <v>162125</v>
      </c>
      <c r="S4" s="52">
        <f t="shared" si="2"/>
        <v>45329</v>
      </c>
      <c r="T4" s="52">
        <f t="shared" si="2"/>
        <v>89029</v>
      </c>
      <c r="U4" s="52">
        <f t="shared" si="2"/>
        <v>27767</v>
      </c>
      <c r="V4" s="52">
        <f t="shared" si="2"/>
        <v>152594</v>
      </c>
      <c r="W4" s="52">
        <f t="shared" si="2"/>
        <v>40494</v>
      </c>
      <c r="X4" s="52">
        <f t="shared" si="2"/>
        <v>81023</v>
      </c>
      <c r="Y4" s="52">
        <f t="shared" si="2"/>
        <v>31077</v>
      </c>
    </row>
    <row r="5" outlineLevel="1">
      <c r="A5" s="85" t="s">
        <v>21</v>
      </c>
      <c r="B5" s="122">
        <v>50364.0</v>
      </c>
      <c r="C5" s="86">
        <v>9209.0</v>
      </c>
      <c r="D5" s="86">
        <v>28168.0</v>
      </c>
      <c r="E5" s="86">
        <v>12987.0</v>
      </c>
      <c r="F5" s="86">
        <v>127314.0</v>
      </c>
      <c r="G5" s="86">
        <v>51713.0</v>
      </c>
      <c r="H5" s="122">
        <v>49356.0</v>
      </c>
      <c r="I5" s="122">
        <v>26245.0</v>
      </c>
      <c r="J5" s="122">
        <v>211794.0</v>
      </c>
      <c r="K5" s="86">
        <v>62484.0</v>
      </c>
      <c r="L5" s="123">
        <v>120067.0</v>
      </c>
      <c r="M5" s="86">
        <v>29243.0</v>
      </c>
      <c r="N5" s="122">
        <v>241822.0</v>
      </c>
      <c r="O5" s="86">
        <v>43319.0</v>
      </c>
      <c r="P5" s="123">
        <v>74903.0</v>
      </c>
      <c r="Q5" s="86">
        <v>42027.0</v>
      </c>
      <c r="R5" s="86">
        <v>162125.0</v>
      </c>
      <c r="S5" s="86">
        <v>45329.0</v>
      </c>
      <c r="T5" s="123">
        <v>89029.0</v>
      </c>
      <c r="U5" s="86">
        <v>27767.0</v>
      </c>
      <c r="V5" s="95">
        <v>152594.0</v>
      </c>
      <c r="W5" s="86">
        <v>40494.0</v>
      </c>
      <c r="X5" s="86">
        <v>81023.0</v>
      </c>
      <c r="Y5" s="86">
        <v>31077.0</v>
      </c>
    </row>
    <row r="6" outlineLevel="1">
      <c r="A6" s="85" t="s">
        <v>22</v>
      </c>
      <c r="B6" s="122">
        <v>83759.0</v>
      </c>
      <c r="C6" s="86">
        <v>11251.0</v>
      </c>
      <c r="D6" s="86">
        <v>63710.0</v>
      </c>
      <c r="E6" s="86">
        <v>8798.0</v>
      </c>
      <c r="F6" s="86">
        <v>48556.0</v>
      </c>
      <c r="G6" s="86">
        <v>11690.0</v>
      </c>
      <c r="H6" s="122">
        <v>20087.0</v>
      </c>
      <c r="I6" s="122">
        <v>16779.0</v>
      </c>
      <c r="J6" s="122">
        <v>0.0</v>
      </c>
      <c r="K6" s="86">
        <v>0.0</v>
      </c>
      <c r="L6" s="123">
        <v>0.0</v>
      </c>
      <c r="M6" s="86">
        <v>0.0</v>
      </c>
      <c r="N6" s="122">
        <v>0.0</v>
      </c>
      <c r="O6" s="86">
        <v>0.0</v>
      </c>
      <c r="P6" s="123">
        <v>0.0</v>
      </c>
      <c r="Q6" s="86">
        <v>0.0</v>
      </c>
      <c r="R6" s="86">
        <v>0.0</v>
      </c>
      <c r="S6" s="86">
        <v>0.0</v>
      </c>
      <c r="T6" s="123">
        <v>0.0</v>
      </c>
      <c r="U6" s="86">
        <v>0.0</v>
      </c>
      <c r="V6" s="95">
        <v>0.0</v>
      </c>
      <c r="W6" s="86">
        <v>0.0</v>
      </c>
      <c r="X6" s="86">
        <v>0.0</v>
      </c>
      <c r="Y6" s="86">
        <v>0.0</v>
      </c>
    </row>
    <row r="7" outlineLevel="1">
      <c r="A7" s="85" t="s">
        <v>23</v>
      </c>
      <c r="B7" s="122">
        <v>10641.0</v>
      </c>
      <c r="C7" s="86">
        <v>3151.0</v>
      </c>
      <c r="D7" s="86">
        <v>7490.0</v>
      </c>
      <c r="E7" s="86">
        <v>0.0</v>
      </c>
      <c r="F7" s="86">
        <v>0.0</v>
      </c>
      <c r="G7" s="86">
        <v>0.0</v>
      </c>
      <c r="H7" s="122">
        <v>0.0</v>
      </c>
      <c r="I7" s="122">
        <v>0.0</v>
      </c>
      <c r="J7" s="122">
        <v>0.0</v>
      </c>
      <c r="K7" s="86">
        <v>0.0</v>
      </c>
      <c r="L7" s="123">
        <v>0.0</v>
      </c>
      <c r="M7" s="86">
        <v>0.0</v>
      </c>
      <c r="N7" s="122">
        <v>0.0</v>
      </c>
      <c r="O7" s="86">
        <v>0.0</v>
      </c>
      <c r="P7" s="123">
        <v>0.0</v>
      </c>
      <c r="Q7" s="86">
        <v>0.0</v>
      </c>
      <c r="R7" s="86">
        <v>0.0</v>
      </c>
      <c r="S7" s="86">
        <v>0.0</v>
      </c>
      <c r="T7" s="123">
        <v>0.0</v>
      </c>
      <c r="U7" s="86">
        <v>0.0</v>
      </c>
      <c r="V7" s="95">
        <v>0.0</v>
      </c>
      <c r="W7" s="86">
        <v>0.0</v>
      </c>
      <c r="X7" s="86">
        <v>0.0</v>
      </c>
      <c r="Y7" s="86">
        <v>0.0</v>
      </c>
    </row>
    <row r="8">
      <c r="A8" s="85" t="s">
        <v>24</v>
      </c>
      <c r="B8" s="122">
        <v>0.0</v>
      </c>
      <c r="C8" s="86">
        <v>0.0</v>
      </c>
      <c r="D8" s="86">
        <v>0.0</v>
      </c>
      <c r="E8" s="86">
        <v>0.0</v>
      </c>
      <c r="F8" s="86">
        <v>0.0</v>
      </c>
      <c r="G8" s="86">
        <v>0.0</v>
      </c>
      <c r="H8" s="86">
        <v>0.0</v>
      </c>
      <c r="I8" s="86">
        <v>0.0</v>
      </c>
      <c r="J8" s="86">
        <v>0.0</v>
      </c>
      <c r="K8" s="86">
        <v>0.0</v>
      </c>
      <c r="L8" s="86">
        <v>0.0</v>
      </c>
      <c r="M8" s="86">
        <v>0.0</v>
      </c>
      <c r="N8" s="122">
        <v>0.0</v>
      </c>
      <c r="O8" s="86">
        <v>0.0</v>
      </c>
      <c r="P8" s="86">
        <v>0.0</v>
      </c>
      <c r="Q8" s="86">
        <v>0.0</v>
      </c>
      <c r="R8" s="86">
        <v>0.0</v>
      </c>
      <c r="S8" s="86">
        <v>0.0</v>
      </c>
      <c r="T8" s="86">
        <v>0.0</v>
      </c>
      <c r="U8" s="86">
        <v>0.0</v>
      </c>
      <c r="V8" s="95">
        <v>0.0</v>
      </c>
      <c r="W8" s="86">
        <v>0.0</v>
      </c>
      <c r="X8" s="86">
        <v>0.0</v>
      </c>
      <c r="Y8" s="86">
        <v>0.0</v>
      </c>
    </row>
    <row r="9" outlineLevel="1">
      <c r="A9" s="85" t="s">
        <v>25</v>
      </c>
      <c r="B9" s="122">
        <v>0.0</v>
      </c>
      <c r="C9" s="86">
        <v>0.0</v>
      </c>
      <c r="D9" s="86">
        <v>0.0</v>
      </c>
      <c r="E9" s="86">
        <v>0.0</v>
      </c>
      <c r="F9" s="86">
        <v>0.0</v>
      </c>
      <c r="G9" s="86">
        <v>0.0</v>
      </c>
      <c r="H9" s="122">
        <v>0.0</v>
      </c>
      <c r="I9" s="122">
        <v>0.0</v>
      </c>
      <c r="J9" s="122">
        <v>0.0</v>
      </c>
      <c r="K9" s="86">
        <v>0.0</v>
      </c>
      <c r="L9" s="123">
        <v>0.0</v>
      </c>
      <c r="M9" s="86">
        <v>0.0</v>
      </c>
      <c r="N9" s="87">
        <v>0.0</v>
      </c>
      <c r="O9" s="86">
        <v>0.0</v>
      </c>
      <c r="P9" s="123">
        <v>0.0</v>
      </c>
      <c r="Q9" s="86">
        <v>0.0</v>
      </c>
      <c r="R9" s="86">
        <v>0.0</v>
      </c>
      <c r="S9" s="86">
        <v>0.0</v>
      </c>
      <c r="T9" s="123">
        <v>0.0</v>
      </c>
      <c r="U9" s="86">
        <v>0.0</v>
      </c>
      <c r="V9" s="95">
        <v>0.0</v>
      </c>
      <c r="W9" s="86">
        <v>0.0</v>
      </c>
      <c r="X9" s="86">
        <v>0.0</v>
      </c>
      <c r="Y9" s="86">
        <v>0.0</v>
      </c>
    </row>
    <row r="10" outlineLevel="1">
      <c r="A10" s="82" t="s">
        <v>26</v>
      </c>
      <c r="B10" s="52">
        <f t="shared" ref="B10:Y10" si="3">sum(B11:B12)</f>
        <v>168854</v>
      </c>
      <c r="C10" s="52">
        <f t="shared" si="3"/>
        <v>7646</v>
      </c>
      <c r="D10" s="52">
        <f t="shared" si="3"/>
        <v>64188</v>
      </c>
      <c r="E10" s="52">
        <f t="shared" si="3"/>
        <v>62628</v>
      </c>
      <c r="F10" s="52">
        <f t="shared" si="3"/>
        <v>187798</v>
      </c>
      <c r="G10" s="52">
        <f t="shared" si="3"/>
        <v>28367</v>
      </c>
      <c r="H10" s="52">
        <f t="shared" si="3"/>
        <v>137548</v>
      </c>
      <c r="I10" s="52">
        <f t="shared" si="3"/>
        <v>21883</v>
      </c>
      <c r="J10" s="52">
        <f t="shared" si="3"/>
        <v>228696</v>
      </c>
      <c r="K10" s="52">
        <f t="shared" si="3"/>
        <v>29701</v>
      </c>
      <c r="L10" s="52">
        <f t="shared" si="3"/>
        <v>171287</v>
      </c>
      <c r="M10" s="52">
        <f t="shared" si="3"/>
        <v>27708</v>
      </c>
      <c r="N10" s="52">
        <f t="shared" si="3"/>
        <v>236972</v>
      </c>
      <c r="O10" s="52">
        <f t="shared" si="3"/>
        <v>16094</v>
      </c>
      <c r="P10" s="52">
        <f t="shared" si="3"/>
        <v>186378</v>
      </c>
      <c r="Q10" s="52">
        <f t="shared" si="3"/>
        <v>34500</v>
      </c>
      <c r="R10" s="52">
        <f t="shared" si="3"/>
        <v>122094</v>
      </c>
      <c r="S10" s="52">
        <f t="shared" si="3"/>
        <v>12520</v>
      </c>
      <c r="T10" s="52">
        <f t="shared" si="3"/>
        <v>53789</v>
      </c>
      <c r="U10" s="52">
        <f t="shared" si="3"/>
        <v>54115</v>
      </c>
      <c r="V10" s="52">
        <f t="shared" si="3"/>
        <v>184294</v>
      </c>
      <c r="W10" s="52">
        <f t="shared" si="3"/>
        <v>31283</v>
      </c>
      <c r="X10" s="52">
        <f t="shared" si="3"/>
        <v>87956</v>
      </c>
      <c r="Y10" s="52">
        <f t="shared" si="3"/>
        <v>65055</v>
      </c>
    </row>
    <row r="11" outlineLevel="1">
      <c r="A11" s="85" t="s">
        <v>27</v>
      </c>
      <c r="B11" s="122">
        <v>129854.0</v>
      </c>
      <c r="C11" s="86">
        <v>7646.0</v>
      </c>
      <c r="D11" s="86">
        <v>25188.0</v>
      </c>
      <c r="E11" s="86">
        <v>62628.0</v>
      </c>
      <c r="F11" s="86">
        <v>137798.0</v>
      </c>
      <c r="G11" s="86">
        <v>28367.0</v>
      </c>
      <c r="H11" s="122">
        <v>87548.0</v>
      </c>
      <c r="I11" s="122">
        <v>21883.0</v>
      </c>
      <c r="J11" s="122">
        <v>184716.0</v>
      </c>
      <c r="K11" s="86">
        <v>29701.0</v>
      </c>
      <c r="L11" s="123">
        <v>127307.0</v>
      </c>
      <c r="M11" s="123">
        <v>27708.0</v>
      </c>
      <c r="N11" s="87">
        <v>162172.0</v>
      </c>
      <c r="O11" s="86">
        <v>16094.0</v>
      </c>
      <c r="P11" s="123">
        <v>111578.0</v>
      </c>
      <c r="Q11" s="123">
        <v>34500.0</v>
      </c>
      <c r="R11" s="86">
        <v>97294.0</v>
      </c>
      <c r="S11" s="86">
        <v>12520.0</v>
      </c>
      <c r="T11" s="123">
        <v>28989.0</v>
      </c>
      <c r="U11" s="123">
        <v>54115.0</v>
      </c>
      <c r="V11" s="95">
        <v>109494.0</v>
      </c>
      <c r="W11" s="86">
        <v>31283.0</v>
      </c>
      <c r="X11" s="86">
        <v>13156.0</v>
      </c>
      <c r="Y11" s="86">
        <v>65055.0</v>
      </c>
    </row>
    <row r="12" outlineLevel="1">
      <c r="A12" s="85" t="s">
        <v>28</v>
      </c>
      <c r="B12" s="122">
        <v>39000.0</v>
      </c>
      <c r="C12" s="86">
        <v>0.0</v>
      </c>
      <c r="D12" s="122">
        <v>39000.0</v>
      </c>
      <c r="E12" s="86">
        <v>0.0</v>
      </c>
      <c r="F12" s="86">
        <v>50000.0</v>
      </c>
      <c r="G12" s="129">
        <v>0.0</v>
      </c>
      <c r="H12" s="122">
        <v>50000.0</v>
      </c>
      <c r="I12" s="122">
        <v>0.0</v>
      </c>
      <c r="J12" s="122">
        <v>43980.0</v>
      </c>
      <c r="K12" s="86">
        <v>0.0</v>
      </c>
      <c r="L12" s="122">
        <v>43980.0</v>
      </c>
      <c r="M12" s="86">
        <v>0.0</v>
      </c>
      <c r="N12" s="87">
        <v>74800.0</v>
      </c>
      <c r="O12" s="86">
        <v>0.0</v>
      </c>
      <c r="P12" s="87">
        <v>74800.0</v>
      </c>
      <c r="Q12" s="86">
        <v>0.0</v>
      </c>
      <c r="R12" s="86">
        <v>24800.0</v>
      </c>
      <c r="S12" s="86">
        <v>0.0</v>
      </c>
      <c r="T12" s="87">
        <v>24800.0</v>
      </c>
      <c r="U12" s="86">
        <v>0.0</v>
      </c>
      <c r="V12" s="95">
        <v>74800.0</v>
      </c>
      <c r="W12" s="86">
        <v>0.0</v>
      </c>
      <c r="X12" s="86">
        <v>74800.0</v>
      </c>
      <c r="Y12" s="86">
        <v>0.0</v>
      </c>
    </row>
    <row r="13" outlineLevel="1">
      <c r="A13" s="82" t="s">
        <v>29</v>
      </c>
      <c r="B13" s="52">
        <f t="shared" ref="B13:Y13" si="4">sum(B14:B16)</f>
        <v>12455</v>
      </c>
      <c r="C13" s="52">
        <f t="shared" si="4"/>
        <v>0</v>
      </c>
      <c r="D13" s="52">
        <f t="shared" si="4"/>
        <v>15178</v>
      </c>
      <c r="E13" s="52">
        <f t="shared" si="4"/>
        <v>0</v>
      </c>
      <c r="F13" s="52">
        <f t="shared" si="4"/>
        <v>34560</v>
      </c>
      <c r="G13" s="52">
        <f t="shared" si="4"/>
        <v>0</v>
      </c>
      <c r="H13" s="52">
        <f t="shared" si="4"/>
        <v>34560</v>
      </c>
      <c r="I13" s="52">
        <f t="shared" si="4"/>
        <v>0</v>
      </c>
      <c r="J13" s="52">
        <f t="shared" si="4"/>
        <v>12426</v>
      </c>
      <c r="K13" s="52">
        <f t="shared" si="4"/>
        <v>0</v>
      </c>
      <c r="L13" s="52">
        <f t="shared" si="4"/>
        <v>12426</v>
      </c>
      <c r="M13" s="52">
        <f t="shared" si="4"/>
        <v>0</v>
      </c>
      <c r="N13" s="52">
        <f t="shared" si="4"/>
        <v>20882</v>
      </c>
      <c r="O13" s="52">
        <f t="shared" si="4"/>
        <v>1639</v>
      </c>
      <c r="P13" s="52">
        <f t="shared" si="4"/>
        <v>18493</v>
      </c>
      <c r="Q13" s="52">
        <f t="shared" si="4"/>
        <v>0</v>
      </c>
      <c r="R13" s="52">
        <f t="shared" si="4"/>
        <v>66198</v>
      </c>
      <c r="S13" s="52">
        <f t="shared" si="4"/>
        <v>15155</v>
      </c>
      <c r="T13" s="52">
        <f t="shared" si="4"/>
        <v>51043</v>
      </c>
      <c r="U13" s="52">
        <f t="shared" si="4"/>
        <v>0</v>
      </c>
      <c r="V13" s="52">
        <f t="shared" si="4"/>
        <v>40133</v>
      </c>
      <c r="W13" s="52">
        <f t="shared" si="4"/>
        <v>11922</v>
      </c>
      <c r="X13" s="52">
        <f t="shared" si="4"/>
        <v>28211</v>
      </c>
      <c r="Y13" s="52">
        <f t="shared" si="4"/>
        <v>0</v>
      </c>
    </row>
    <row r="14">
      <c r="A14" s="85" t="s">
        <v>30</v>
      </c>
      <c r="B14" s="122">
        <v>0.0</v>
      </c>
      <c r="C14" s="122">
        <v>0.0</v>
      </c>
      <c r="D14" s="122">
        <v>0.0</v>
      </c>
      <c r="E14" s="122">
        <v>0.0</v>
      </c>
      <c r="F14" s="122">
        <v>0.0</v>
      </c>
      <c r="G14" s="122">
        <v>0.0</v>
      </c>
      <c r="H14" s="122">
        <v>0.0</v>
      </c>
      <c r="I14" s="122">
        <v>0.0</v>
      </c>
      <c r="J14" s="122">
        <v>0.0</v>
      </c>
      <c r="K14" s="122">
        <v>0.0</v>
      </c>
      <c r="L14" s="122">
        <v>0.0</v>
      </c>
      <c r="M14" s="122">
        <v>0.0</v>
      </c>
      <c r="N14" s="122">
        <v>1639.0</v>
      </c>
      <c r="O14" s="122">
        <v>1639.0</v>
      </c>
      <c r="P14" s="122">
        <v>0.0</v>
      </c>
      <c r="Q14" s="122">
        <v>0.0</v>
      </c>
      <c r="R14" s="86">
        <v>1493.0</v>
      </c>
      <c r="S14" s="86">
        <v>1493.0</v>
      </c>
      <c r="T14" s="122">
        <v>0.0</v>
      </c>
      <c r="U14" s="122">
        <v>0.0</v>
      </c>
      <c r="V14" s="95">
        <v>2700.0</v>
      </c>
      <c r="W14" s="86">
        <v>2700.0</v>
      </c>
      <c r="X14" s="86">
        <v>0.0</v>
      </c>
      <c r="Y14" s="86">
        <v>0.0</v>
      </c>
    </row>
    <row r="15" outlineLevel="1">
      <c r="A15" s="85" t="s">
        <v>31</v>
      </c>
      <c r="B15" s="122">
        <v>12455.0</v>
      </c>
      <c r="C15" s="122">
        <v>0.0</v>
      </c>
      <c r="D15" s="122">
        <v>15178.0</v>
      </c>
      <c r="E15" s="122">
        <v>0.0</v>
      </c>
      <c r="F15" s="122">
        <v>34560.0</v>
      </c>
      <c r="G15" s="122">
        <v>0.0</v>
      </c>
      <c r="H15" s="122">
        <v>34560.0</v>
      </c>
      <c r="I15" s="122">
        <v>0.0</v>
      </c>
      <c r="J15" s="122">
        <v>12426.0</v>
      </c>
      <c r="K15" s="86">
        <v>0.0</v>
      </c>
      <c r="L15" s="122">
        <v>12426.0</v>
      </c>
      <c r="M15" s="86">
        <v>0.0</v>
      </c>
      <c r="N15" s="87">
        <v>19243.0</v>
      </c>
      <c r="O15" s="86">
        <v>0.0</v>
      </c>
      <c r="P15" s="87">
        <v>18493.0</v>
      </c>
      <c r="Q15" s="86">
        <v>0.0</v>
      </c>
      <c r="R15" s="86">
        <v>13662.0</v>
      </c>
      <c r="S15" s="86">
        <v>13662.0</v>
      </c>
      <c r="T15" s="86">
        <v>0.0</v>
      </c>
      <c r="U15" s="86">
        <v>0.0</v>
      </c>
      <c r="V15" s="95">
        <v>9222.0</v>
      </c>
      <c r="W15" s="86">
        <v>9222.0</v>
      </c>
      <c r="X15" s="86">
        <v>0.0</v>
      </c>
      <c r="Y15" s="86">
        <v>0.0</v>
      </c>
    </row>
    <row r="16" outlineLevel="1">
      <c r="A16" s="87" t="s">
        <v>33</v>
      </c>
      <c r="B16" s="87">
        <v>0.0</v>
      </c>
      <c r="C16" s="87">
        <v>0.0</v>
      </c>
      <c r="D16" s="87">
        <v>0.0</v>
      </c>
      <c r="E16" s="87">
        <v>0.0</v>
      </c>
      <c r="F16" s="87">
        <v>0.0</v>
      </c>
      <c r="G16" s="87">
        <v>0.0</v>
      </c>
      <c r="H16" s="87">
        <v>0.0</v>
      </c>
      <c r="I16" s="87">
        <v>0.0</v>
      </c>
      <c r="J16" s="86">
        <v>0.0</v>
      </c>
      <c r="K16" s="86">
        <v>0.0</v>
      </c>
      <c r="L16" s="86">
        <v>0.0</v>
      </c>
      <c r="M16" s="86">
        <v>0.0</v>
      </c>
      <c r="N16" s="86">
        <v>0.0</v>
      </c>
      <c r="O16" s="86">
        <v>0.0</v>
      </c>
      <c r="P16" s="86">
        <v>0.0</v>
      </c>
      <c r="Q16" s="86">
        <v>0.0</v>
      </c>
      <c r="R16" s="86">
        <v>51043.0</v>
      </c>
      <c r="S16" s="86">
        <v>0.0</v>
      </c>
      <c r="T16" s="86">
        <v>51043.0</v>
      </c>
      <c r="U16" s="86">
        <v>0.0</v>
      </c>
      <c r="V16" s="95">
        <v>28211.0</v>
      </c>
      <c r="W16" s="86">
        <v>0.0</v>
      </c>
      <c r="X16" s="86">
        <v>28211.0</v>
      </c>
      <c r="Y16" s="86">
        <v>0.0</v>
      </c>
    </row>
    <row r="17" outlineLevel="1">
      <c r="A17" s="82" t="s">
        <v>34</v>
      </c>
      <c r="B17" s="88">
        <v>0.0</v>
      </c>
      <c r="C17" s="130">
        <v>0.0</v>
      </c>
      <c r="D17" s="130">
        <v>0.0</v>
      </c>
      <c r="E17" s="130">
        <v>0.0</v>
      </c>
      <c r="F17" s="130">
        <f>H17</f>
        <v>47200</v>
      </c>
      <c r="G17" s="130">
        <v>0.0</v>
      </c>
      <c r="H17" s="130">
        <f>40000+(18%*40000)</f>
        <v>47200</v>
      </c>
      <c r="I17" s="130">
        <v>0.0</v>
      </c>
      <c r="J17" s="130">
        <f>K17+L17</f>
        <v>50200</v>
      </c>
      <c r="K17" s="130">
        <v>3000.0</v>
      </c>
      <c r="L17" s="130">
        <f>40000+(18%*40000)</f>
        <v>47200</v>
      </c>
      <c r="M17" s="130">
        <v>0.0</v>
      </c>
      <c r="N17" s="88">
        <v>52200.0</v>
      </c>
      <c r="O17" s="130">
        <v>5000.0</v>
      </c>
      <c r="P17" s="130">
        <f>40000+(18%*40000)</f>
        <v>47200</v>
      </c>
      <c r="Q17" s="130">
        <v>0.0</v>
      </c>
      <c r="R17" s="130">
        <v>115350.0</v>
      </c>
      <c r="S17" s="130">
        <v>5000.0</v>
      </c>
      <c r="T17" s="130">
        <f>40000+(18%*40000)</f>
        <v>47200</v>
      </c>
      <c r="U17" s="130">
        <v>0.0</v>
      </c>
      <c r="V17" s="52">
        <v>87320.0</v>
      </c>
      <c r="W17" s="60">
        <v>0.0</v>
      </c>
      <c r="X17" s="52">
        <v>87320.0</v>
      </c>
      <c r="Y17" s="60">
        <v>0.0</v>
      </c>
    </row>
    <row r="18" outlineLevel="1">
      <c r="A18" s="88" t="s">
        <v>35</v>
      </c>
      <c r="B18" s="52">
        <f t="shared" ref="B18:Y18" si="5">sum(B19,B20)</f>
        <v>0</v>
      </c>
      <c r="C18" s="52">
        <f t="shared" si="5"/>
        <v>0</v>
      </c>
      <c r="D18" s="52">
        <f t="shared" si="5"/>
        <v>0</v>
      </c>
      <c r="E18" s="52">
        <f t="shared" si="5"/>
        <v>0</v>
      </c>
      <c r="F18" s="52">
        <f t="shared" si="5"/>
        <v>98663</v>
      </c>
      <c r="G18" s="52">
        <f t="shared" si="5"/>
        <v>41205</v>
      </c>
      <c r="H18" s="52">
        <f t="shared" si="5"/>
        <v>57460</v>
      </c>
      <c r="I18" s="52">
        <f t="shared" si="5"/>
        <v>0</v>
      </c>
      <c r="J18" s="52">
        <f t="shared" si="5"/>
        <v>182766</v>
      </c>
      <c r="K18" s="52">
        <f t="shared" si="5"/>
        <v>59340</v>
      </c>
      <c r="L18" s="52">
        <f t="shared" si="5"/>
        <v>123426</v>
      </c>
      <c r="M18" s="52">
        <f t="shared" si="5"/>
        <v>0</v>
      </c>
      <c r="N18" s="52">
        <f t="shared" si="5"/>
        <v>27450</v>
      </c>
      <c r="O18" s="52">
        <f t="shared" si="5"/>
        <v>0</v>
      </c>
      <c r="P18" s="52">
        <f t="shared" si="5"/>
        <v>104336</v>
      </c>
      <c r="Q18" s="52">
        <f t="shared" si="5"/>
        <v>0</v>
      </c>
      <c r="R18" s="52">
        <f t="shared" si="5"/>
        <v>122627</v>
      </c>
      <c r="S18" s="52">
        <f t="shared" si="5"/>
        <v>0</v>
      </c>
      <c r="T18" s="52">
        <f t="shared" si="5"/>
        <v>122627</v>
      </c>
      <c r="U18" s="52">
        <f t="shared" si="5"/>
        <v>0</v>
      </c>
      <c r="V18" s="52">
        <f t="shared" si="5"/>
        <v>142005</v>
      </c>
      <c r="W18" s="52">
        <f t="shared" si="5"/>
        <v>0</v>
      </c>
      <c r="X18" s="52">
        <f t="shared" si="5"/>
        <v>142005</v>
      </c>
      <c r="Y18" s="52">
        <f t="shared" si="5"/>
        <v>0</v>
      </c>
    </row>
    <row r="19" outlineLevel="1">
      <c r="A19" s="85" t="s">
        <v>36</v>
      </c>
      <c r="B19" s="122">
        <v>0.0</v>
      </c>
      <c r="C19" s="122">
        <v>0.0</v>
      </c>
      <c r="D19" s="122">
        <v>0.0</v>
      </c>
      <c r="E19" s="122">
        <v>0.0</v>
      </c>
      <c r="F19" s="122">
        <v>83663.0</v>
      </c>
      <c r="G19" s="129">
        <v>41205.0</v>
      </c>
      <c r="H19" s="122">
        <v>42460.0</v>
      </c>
      <c r="I19" s="122">
        <v>0.0</v>
      </c>
      <c r="J19" s="122">
        <v>105880.0</v>
      </c>
      <c r="K19" s="86">
        <v>59340.0</v>
      </c>
      <c r="L19" s="123">
        <v>46540.0</v>
      </c>
      <c r="M19" s="86">
        <v>0.0</v>
      </c>
      <c r="N19" s="87">
        <v>27450.0</v>
      </c>
      <c r="O19" s="86">
        <v>0.0</v>
      </c>
      <c r="P19" s="87">
        <v>27450.0</v>
      </c>
      <c r="Q19" s="86">
        <v>0.0</v>
      </c>
      <c r="R19" s="86">
        <v>122627.0</v>
      </c>
      <c r="S19" s="86">
        <v>0.0</v>
      </c>
      <c r="T19" s="86">
        <v>122627.0</v>
      </c>
      <c r="U19" s="86">
        <v>0.0</v>
      </c>
      <c r="V19" s="95">
        <v>125890.0</v>
      </c>
      <c r="W19" s="86">
        <v>0.0</v>
      </c>
      <c r="X19" s="86">
        <v>125890.0</v>
      </c>
      <c r="Y19" s="86">
        <v>0.0</v>
      </c>
    </row>
    <row r="20">
      <c r="A20" s="85" t="s">
        <v>37</v>
      </c>
      <c r="B20" s="122">
        <v>0.0</v>
      </c>
      <c r="C20" s="86">
        <v>0.0</v>
      </c>
      <c r="D20" s="86">
        <v>0.0</v>
      </c>
      <c r="E20" s="86">
        <v>0.0</v>
      </c>
      <c r="F20" s="86">
        <v>15000.0</v>
      </c>
      <c r="G20" s="86">
        <v>0.0</v>
      </c>
      <c r="H20" s="86">
        <v>15000.0</v>
      </c>
      <c r="I20" s="86">
        <v>0.0</v>
      </c>
      <c r="J20" s="122">
        <v>76886.0</v>
      </c>
      <c r="K20" s="86">
        <v>0.0</v>
      </c>
      <c r="L20" s="122">
        <v>76886.0</v>
      </c>
      <c r="M20" s="122">
        <v>0.0</v>
      </c>
      <c r="N20" s="122">
        <v>0.0</v>
      </c>
      <c r="O20" s="86">
        <v>0.0</v>
      </c>
      <c r="P20" s="122">
        <v>76886.0</v>
      </c>
      <c r="Q20" s="122">
        <v>0.0</v>
      </c>
      <c r="R20" s="86">
        <v>0.0</v>
      </c>
      <c r="S20" s="86">
        <v>0.0</v>
      </c>
      <c r="T20" s="122">
        <v>0.0</v>
      </c>
      <c r="U20" s="122">
        <v>0.0</v>
      </c>
      <c r="V20" s="95">
        <v>16115.0</v>
      </c>
      <c r="W20" s="86">
        <v>0.0</v>
      </c>
      <c r="X20" s="86">
        <v>16115.0</v>
      </c>
      <c r="Y20" s="86">
        <v>0.0</v>
      </c>
    </row>
    <row r="21">
      <c r="A21" s="82" t="s">
        <v>38</v>
      </c>
      <c r="B21" s="52">
        <f t="shared" ref="B21:Y21" si="6">sum(B22:B24)</f>
        <v>9775</v>
      </c>
      <c r="C21" s="52">
        <f t="shared" si="6"/>
        <v>4150</v>
      </c>
      <c r="D21" s="52">
        <f t="shared" si="6"/>
        <v>0</v>
      </c>
      <c r="E21" s="52">
        <f t="shared" si="6"/>
        <v>4100</v>
      </c>
      <c r="F21" s="52">
        <f t="shared" si="6"/>
        <v>19150</v>
      </c>
      <c r="G21" s="52">
        <f t="shared" si="6"/>
        <v>12225</v>
      </c>
      <c r="H21" s="52">
        <f t="shared" si="6"/>
        <v>0</v>
      </c>
      <c r="I21" s="52">
        <f t="shared" si="6"/>
        <v>6925</v>
      </c>
      <c r="J21" s="52">
        <f t="shared" si="6"/>
        <v>24765</v>
      </c>
      <c r="K21" s="52">
        <f t="shared" si="6"/>
        <v>13950</v>
      </c>
      <c r="L21" s="52">
        <f t="shared" si="6"/>
        <v>0</v>
      </c>
      <c r="M21" s="52">
        <f t="shared" si="6"/>
        <v>6550</v>
      </c>
      <c r="N21" s="52">
        <f t="shared" si="6"/>
        <v>35277</v>
      </c>
      <c r="O21" s="52">
        <f t="shared" si="6"/>
        <v>9550</v>
      </c>
      <c r="P21" s="52">
        <f t="shared" si="6"/>
        <v>0</v>
      </c>
      <c r="Q21" s="52">
        <f t="shared" si="6"/>
        <v>4812</v>
      </c>
      <c r="R21" s="52">
        <f t="shared" si="6"/>
        <v>30665</v>
      </c>
      <c r="S21" s="52">
        <f t="shared" si="6"/>
        <v>6700</v>
      </c>
      <c r="T21" s="52">
        <f t="shared" si="6"/>
        <v>0</v>
      </c>
      <c r="U21" s="52">
        <f t="shared" si="6"/>
        <v>5275</v>
      </c>
      <c r="V21" s="52">
        <f t="shared" si="6"/>
        <v>29043</v>
      </c>
      <c r="W21" s="52">
        <f t="shared" si="6"/>
        <v>10220</v>
      </c>
      <c r="X21" s="52">
        <f t="shared" si="6"/>
        <v>0</v>
      </c>
      <c r="Y21" s="52">
        <f t="shared" si="6"/>
        <v>3350</v>
      </c>
    </row>
    <row r="22">
      <c r="A22" s="85" t="s">
        <v>40</v>
      </c>
      <c r="B22" s="122">
        <v>9775.0</v>
      </c>
      <c r="C22" s="86">
        <v>4150.0</v>
      </c>
      <c r="D22" s="86">
        <v>0.0</v>
      </c>
      <c r="E22" s="86">
        <v>4100.0</v>
      </c>
      <c r="F22" s="86">
        <v>17950.0</v>
      </c>
      <c r="G22" s="86">
        <v>12225.0</v>
      </c>
      <c r="H22" s="122">
        <v>0.0</v>
      </c>
      <c r="I22" s="122">
        <v>5725.0</v>
      </c>
      <c r="J22" s="122">
        <v>20075.0</v>
      </c>
      <c r="K22" s="86">
        <v>13950.0</v>
      </c>
      <c r="L22" s="123">
        <v>0.0</v>
      </c>
      <c r="M22" s="86">
        <v>6550.0</v>
      </c>
      <c r="N22" s="122">
        <v>14362.0</v>
      </c>
      <c r="O22" s="86">
        <v>9550.0</v>
      </c>
      <c r="P22" s="123">
        <v>0.0</v>
      </c>
      <c r="Q22" s="86">
        <v>4812.0</v>
      </c>
      <c r="R22" s="86">
        <v>11975.0</v>
      </c>
      <c r="S22" s="86">
        <v>6700.0</v>
      </c>
      <c r="T22" s="123">
        <v>0.0</v>
      </c>
      <c r="U22" s="86">
        <v>5275.0</v>
      </c>
      <c r="V22" s="95">
        <v>13550.0</v>
      </c>
      <c r="W22" s="86">
        <v>10220.0</v>
      </c>
      <c r="X22" s="86">
        <v>0.0</v>
      </c>
      <c r="Y22" s="86">
        <v>3350.0</v>
      </c>
    </row>
    <row r="23">
      <c r="A23" s="85" t="s">
        <v>41</v>
      </c>
      <c r="B23" s="95">
        <v>0.0</v>
      </c>
      <c r="C23" s="86">
        <v>0.0</v>
      </c>
      <c r="D23" s="86">
        <v>0.0</v>
      </c>
      <c r="E23" s="86">
        <v>0.0</v>
      </c>
      <c r="F23" s="86">
        <v>1200.0</v>
      </c>
      <c r="G23" s="86">
        <v>0.0</v>
      </c>
      <c r="H23" s="122">
        <v>0.0</v>
      </c>
      <c r="I23" s="122">
        <v>1200.0</v>
      </c>
      <c r="J23" s="122">
        <v>0.0</v>
      </c>
      <c r="K23" s="86">
        <v>0.0</v>
      </c>
      <c r="L23" s="123">
        <v>0.0</v>
      </c>
      <c r="M23" s="86">
        <v>0.0</v>
      </c>
      <c r="N23" s="122">
        <v>0.0</v>
      </c>
      <c r="O23" s="86">
        <v>0.0</v>
      </c>
      <c r="P23" s="123">
        <v>0.0</v>
      </c>
      <c r="Q23" s="86">
        <v>0.0</v>
      </c>
      <c r="R23" s="86">
        <v>0.0</v>
      </c>
      <c r="S23" s="86">
        <v>0.0</v>
      </c>
      <c r="T23" s="123">
        <v>0.0</v>
      </c>
      <c r="U23" s="86">
        <v>0.0</v>
      </c>
      <c r="V23" s="95">
        <v>0.0</v>
      </c>
      <c r="W23" s="86">
        <v>0.0</v>
      </c>
      <c r="X23" s="86">
        <v>0.0</v>
      </c>
      <c r="Y23" s="86">
        <v>0.0</v>
      </c>
    </row>
    <row r="24">
      <c r="A24" s="85" t="s">
        <v>42</v>
      </c>
      <c r="B24" s="122">
        <v>0.0</v>
      </c>
      <c r="C24" s="86">
        <v>0.0</v>
      </c>
      <c r="D24" s="86">
        <v>0.0</v>
      </c>
      <c r="E24" s="86">
        <v>0.0</v>
      </c>
      <c r="F24" s="86">
        <v>0.0</v>
      </c>
      <c r="G24" s="86">
        <v>0.0</v>
      </c>
      <c r="H24" s="122">
        <v>0.0</v>
      </c>
      <c r="I24" s="122">
        <v>0.0</v>
      </c>
      <c r="J24" s="122">
        <v>4690.0</v>
      </c>
      <c r="K24" s="86">
        <v>0.0</v>
      </c>
      <c r="L24" s="123">
        <v>0.0</v>
      </c>
      <c r="M24" s="86">
        <v>0.0</v>
      </c>
      <c r="N24" s="122">
        <v>20915.0</v>
      </c>
      <c r="O24" s="86">
        <v>0.0</v>
      </c>
      <c r="P24" s="123">
        <v>0.0</v>
      </c>
      <c r="Q24" s="86">
        <v>0.0</v>
      </c>
      <c r="R24" s="86">
        <v>18690.0</v>
      </c>
      <c r="S24" s="86">
        <v>0.0</v>
      </c>
      <c r="T24" s="123">
        <v>0.0</v>
      </c>
      <c r="U24" s="86">
        <v>0.0</v>
      </c>
      <c r="V24" s="95">
        <v>15493.0</v>
      </c>
      <c r="W24" s="86">
        <v>0.0</v>
      </c>
      <c r="X24" s="86">
        <v>0.0</v>
      </c>
      <c r="Y24" s="86">
        <v>0.0</v>
      </c>
    </row>
    <row r="25">
      <c r="A25" s="131" t="s">
        <v>44</v>
      </c>
      <c r="B25" s="60">
        <v>0.0</v>
      </c>
      <c r="C25" s="60">
        <v>0.0</v>
      </c>
      <c r="D25" s="60">
        <v>0.0</v>
      </c>
      <c r="E25" s="60">
        <v>0.0</v>
      </c>
      <c r="F25" s="60">
        <v>0.0</v>
      </c>
      <c r="G25" s="60">
        <v>0.0</v>
      </c>
      <c r="H25" s="60">
        <v>0.0</v>
      </c>
      <c r="I25" s="60">
        <v>0.0</v>
      </c>
      <c r="J25" s="60">
        <v>0.0</v>
      </c>
      <c r="K25" s="60">
        <v>0.0</v>
      </c>
      <c r="L25" s="60">
        <v>0.0</v>
      </c>
      <c r="M25" s="60">
        <v>0.0</v>
      </c>
      <c r="N25" s="60">
        <v>0.0</v>
      </c>
      <c r="O25" s="60">
        <v>0.0</v>
      </c>
      <c r="P25" s="60">
        <v>0.0</v>
      </c>
      <c r="Q25" s="60">
        <v>0.0</v>
      </c>
      <c r="R25" s="60">
        <v>0.0</v>
      </c>
      <c r="S25" s="60">
        <v>0.0</v>
      </c>
      <c r="T25" s="60">
        <v>0.0</v>
      </c>
      <c r="U25" s="60">
        <v>0.0</v>
      </c>
      <c r="V25" s="52">
        <v>0.0</v>
      </c>
      <c r="W25" s="52">
        <v>0.0</v>
      </c>
      <c r="X25" s="52">
        <v>0.0</v>
      </c>
      <c r="Y25" s="52">
        <v>0.0</v>
      </c>
      <c r="Z25" s="10"/>
    </row>
    <row r="26">
      <c r="A26" s="99" t="s">
        <v>45</v>
      </c>
      <c r="B26" s="48">
        <f t="shared" ref="B26:J26" si="7">B3+B13+B17+B18+B21+B25</f>
        <v>335848</v>
      </c>
      <c r="C26" s="48">
        <f t="shared" si="7"/>
        <v>35407</v>
      </c>
      <c r="D26" s="48">
        <f t="shared" si="7"/>
        <v>178734</v>
      </c>
      <c r="E26" s="48">
        <f t="shared" si="7"/>
        <v>88513</v>
      </c>
      <c r="F26" s="48">
        <f t="shared" si="7"/>
        <v>563241</v>
      </c>
      <c r="G26" s="48">
        <f t="shared" si="7"/>
        <v>145200</v>
      </c>
      <c r="H26" s="48">
        <f t="shared" si="7"/>
        <v>346211</v>
      </c>
      <c r="I26" s="48">
        <f t="shared" si="7"/>
        <v>71832</v>
      </c>
      <c r="J26" s="48">
        <f t="shared" si="7"/>
        <v>710647</v>
      </c>
      <c r="K26" s="48">
        <f t="shared" ref="K26:M26" si="8">K4+K10+K13+K17+K18+K21+K25</f>
        <v>168475</v>
      </c>
      <c r="L26" s="48">
        <f t="shared" si="8"/>
        <v>474406</v>
      </c>
      <c r="M26" s="48">
        <f t="shared" si="8"/>
        <v>63501</v>
      </c>
      <c r="N26" s="48">
        <f>N3+N13+N17+N18+N21+N25</f>
        <v>614603</v>
      </c>
      <c r="O26" s="48">
        <f t="shared" ref="O26:Q26" si="9">O4+O10+O13+O17+O18+O21+O25</f>
        <v>75602</v>
      </c>
      <c r="P26" s="48">
        <f t="shared" si="9"/>
        <v>431310</v>
      </c>
      <c r="Q26" s="48">
        <f t="shared" si="9"/>
        <v>81339</v>
      </c>
      <c r="R26" s="48">
        <f>R3+R13+R17+R18+R21+R25</f>
        <v>619059</v>
      </c>
      <c r="S26" s="48">
        <f t="shared" ref="S26:U26" si="10">S4+S10+S13+S17+S18+S21+S25</f>
        <v>84704</v>
      </c>
      <c r="T26" s="48">
        <f t="shared" si="10"/>
        <v>363688</v>
      </c>
      <c r="U26" s="48">
        <f t="shared" si="10"/>
        <v>87157</v>
      </c>
      <c r="V26" s="48">
        <f t="shared" ref="V26:Y26" si="11">V3+V13+V17+V18+V21+V25</f>
        <v>635389</v>
      </c>
      <c r="W26" s="48">
        <f t="shared" si="11"/>
        <v>93919</v>
      </c>
      <c r="X26" s="48">
        <f t="shared" si="11"/>
        <v>426515</v>
      </c>
      <c r="Y26" s="48">
        <f t="shared" si="11"/>
        <v>99482</v>
      </c>
      <c r="Z26" s="132"/>
    </row>
    <row r="27">
      <c r="A27" s="51" t="s">
        <v>47</v>
      </c>
      <c r="B27" s="52">
        <f t="shared" ref="B27:G27" si="12">B26-(B26/1.18)</f>
        <v>51231.05085</v>
      </c>
      <c r="C27" s="52">
        <f t="shared" si="12"/>
        <v>5401.067797</v>
      </c>
      <c r="D27" s="52">
        <f t="shared" si="12"/>
        <v>27264.50847</v>
      </c>
      <c r="E27" s="52">
        <f t="shared" si="12"/>
        <v>13501.98305</v>
      </c>
      <c r="F27" s="52">
        <f t="shared" si="12"/>
        <v>85918.11864</v>
      </c>
      <c r="G27" s="52">
        <f t="shared" si="12"/>
        <v>22149.15254</v>
      </c>
      <c r="H27" s="84"/>
      <c r="I27" s="84"/>
      <c r="J27" s="52">
        <f>J26-(J26/1.18)</f>
        <v>108403.7797</v>
      </c>
      <c r="K27" s="84"/>
      <c r="L27" s="84"/>
      <c r="M27" s="84"/>
      <c r="N27" s="52">
        <f>N26-(N26/1.18)</f>
        <v>93753</v>
      </c>
      <c r="O27" s="84"/>
      <c r="P27" s="84"/>
      <c r="Q27" s="84"/>
      <c r="R27" s="52">
        <f>R26-(R26/1.18)</f>
        <v>94432.72881</v>
      </c>
      <c r="S27" s="84"/>
      <c r="T27" s="84"/>
      <c r="U27" s="84"/>
      <c r="V27" s="52">
        <f>V26-(V26/1.18)</f>
        <v>96923.74576</v>
      </c>
      <c r="W27" s="52"/>
      <c r="X27" s="84"/>
      <c r="Y27" s="84"/>
    </row>
    <row r="28">
      <c r="A28" s="55" t="s">
        <v>49</v>
      </c>
      <c r="B28" s="52">
        <f t="shared" ref="B28:G28" si="13">B26-B27</f>
        <v>284616.9492</v>
      </c>
      <c r="C28" s="52">
        <f t="shared" si="13"/>
        <v>30005.9322</v>
      </c>
      <c r="D28" s="52">
        <f t="shared" si="13"/>
        <v>151469.4915</v>
      </c>
      <c r="E28" s="52">
        <f t="shared" si="13"/>
        <v>75011.01695</v>
      </c>
      <c r="F28" s="52">
        <f t="shared" si="13"/>
        <v>477322.8814</v>
      </c>
      <c r="G28" s="52">
        <f t="shared" si="13"/>
        <v>123050.8475</v>
      </c>
      <c r="H28" s="84"/>
      <c r="I28" s="84"/>
      <c r="J28" s="52">
        <f>J26-J27</f>
        <v>602243.2203</v>
      </c>
      <c r="K28" s="84"/>
      <c r="L28" s="84"/>
      <c r="M28" s="84"/>
      <c r="N28" s="52">
        <f>N26-N27</f>
        <v>520850</v>
      </c>
      <c r="O28" s="84"/>
      <c r="P28" s="84"/>
      <c r="Q28" s="84"/>
      <c r="R28" s="52">
        <f>R26-R27</f>
        <v>524626.2712</v>
      </c>
      <c r="S28" s="84"/>
      <c r="T28" s="84"/>
      <c r="U28" s="84"/>
      <c r="V28" s="52">
        <f>V26-V27</f>
        <v>538465.2542</v>
      </c>
      <c r="W28" s="84"/>
      <c r="X28" s="84"/>
      <c r="Y28" s="84"/>
    </row>
    <row r="29">
      <c r="C29" s="18"/>
      <c r="D29" s="18"/>
      <c r="E29" s="18"/>
      <c r="F29" s="18"/>
      <c r="G29" s="56"/>
    </row>
    <row r="30">
      <c r="C30" s="18"/>
      <c r="D30" s="18"/>
      <c r="E30" s="18"/>
      <c r="F30" s="18"/>
      <c r="G30" s="56"/>
    </row>
    <row r="31">
      <c r="C31" s="18"/>
      <c r="D31" s="18"/>
      <c r="E31" s="18"/>
      <c r="F31" s="18"/>
      <c r="G31" s="56"/>
    </row>
    <row r="32">
      <c r="C32" s="18"/>
      <c r="D32" s="18"/>
      <c r="E32" s="18"/>
      <c r="F32" s="18"/>
      <c r="G32" s="56"/>
    </row>
    <row r="33">
      <c r="C33" s="18"/>
      <c r="D33" s="18"/>
      <c r="E33" s="18"/>
      <c r="F33" s="18"/>
      <c r="G33" s="56"/>
    </row>
    <row r="34">
      <c r="C34" s="58"/>
      <c r="D34" s="58"/>
      <c r="E34" s="58"/>
      <c r="F34" s="58"/>
    </row>
    <row r="35">
      <c r="C35" s="58"/>
      <c r="D35" s="58"/>
      <c r="E35" s="58"/>
      <c r="F35" s="58"/>
    </row>
    <row r="36">
      <c r="C36" s="58"/>
      <c r="D36" s="58"/>
      <c r="E36" s="58"/>
      <c r="F36" s="58"/>
    </row>
    <row r="37">
      <c r="C37" s="58"/>
      <c r="D37" s="58"/>
      <c r="E37" s="58"/>
      <c r="F37" s="58"/>
    </row>
    <row r="38">
      <c r="C38" s="58"/>
      <c r="D38" s="58"/>
      <c r="E38" s="58"/>
      <c r="F38" s="58"/>
    </row>
    <row r="39">
      <c r="C39" s="58"/>
      <c r="D39" s="58"/>
      <c r="E39" s="58"/>
      <c r="F39" s="58"/>
    </row>
    <row r="40">
      <c r="C40" s="58"/>
      <c r="D40" s="58"/>
      <c r="E40" s="58"/>
      <c r="F40" s="58"/>
    </row>
    <row r="41">
      <c r="C41" s="58"/>
      <c r="D41" s="58"/>
      <c r="E41" s="58"/>
      <c r="F41" s="58"/>
    </row>
    <row r="42">
      <c r="C42" s="58"/>
      <c r="D42" s="58"/>
      <c r="E42" s="58"/>
      <c r="F42" s="58"/>
    </row>
    <row r="43">
      <c r="C43" s="58"/>
      <c r="D43" s="58"/>
      <c r="E43" s="58"/>
      <c r="F43" s="58"/>
    </row>
    <row r="44">
      <c r="C44" s="58"/>
      <c r="D44" s="58"/>
      <c r="E44" s="58"/>
      <c r="F44" s="58"/>
    </row>
    <row r="45">
      <c r="C45" s="58"/>
      <c r="D45" s="58"/>
      <c r="E45" s="58"/>
      <c r="F45" s="58"/>
    </row>
    <row r="46">
      <c r="C46" s="58"/>
      <c r="D46" s="58"/>
      <c r="E46" s="58"/>
      <c r="F46" s="58"/>
    </row>
    <row r="47">
      <c r="C47" s="58"/>
      <c r="D47" s="58"/>
      <c r="E47" s="58"/>
      <c r="F47" s="58"/>
    </row>
    <row r="48">
      <c r="C48" s="58"/>
      <c r="D48" s="58"/>
      <c r="E48" s="58"/>
      <c r="F48" s="58"/>
    </row>
    <row r="49">
      <c r="C49" s="58"/>
      <c r="D49" s="58"/>
      <c r="E49" s="58"/>
      <c r="F49" s="58"/>
    </row>
    <row r="50">
      <c r="C50" s="58"/>
      <c r="D50" s="58"/>
      <c r="E50" s="58"/>
      <c r="F50" s="58"/>
    </row>
    <row r="51">
      <c r="C51" s="58"/>
      <c r="D51" s="58"/>
      <c r="E51" s="58"/>
      <c r="F51" s="58"/>
    </row>
    <row r="52">
      <c r="C52" s="58"/>
      <c r="D52" s="58"/>
      <c r="E52" s="58"/>
      <c r="F52" s="58"/>
    </row>
    <row r="53">
      <c r="C53" s="58"/>
      <c r="D53" s="58"/>
      <c r="E53" s="58"/>
      <c r="F53" s="58"/>
    </row>
    <row r="54">
      <c r="C54" s="58"/>
      <c r="D54" s="58"/>
      <c r="E54" s="58"/>
      <c r="F54" s="58"/>
    </row>
    <row r="55">
      <c r="C55" s="58"/>
      <c r="D55" s="58"/>
      <c r="E55" s="58"/>
      <c r="F55" s="58"/>
    </row>
    <row r="56">
      <c r="C56" s="58"/>
      <c r="D56" s="58"/>
      <c r="E56" s="58"/>
      <c r="F56" s="58"/>
    </row>
    <row r="57">
      <c r="C57" s="58"/>
      <c r="D57" s="58"/>
      <c r="E57" s="58"/>
      <c r="F57" s="58"/>
    </row>
    <row r="58">
      <c r="C58" s="58"/>
      <c r="D58" s="58"/>
      <c r="E58" s="58"/>
      <c r="F58" s="58"/>
    </row>
    <row r="59">
      <c r="C59" s="58"/>
      <c r="D59" s="58"/>
      <c r="E59" s="58"/>
      <c r="F59" s="58"/>
    </row>
    <row r="60">
      <c r="C60" s="58"/>
      <c r="D60" s="58"/>
      <c r="E60" s="58"/>
      <c r="F60" s="58"/>
    </row>
    <row r="61">
      <c r="C61" s="58"/>
      <c r="D61" s="58"/>
      <c r="E61" s="58"/>
      <c r="F61" s="58"/>
    </row>
    <row r="62">
      <c r="C62" s="58"/>
      <c r="D62" s="58"/>
      <c r="E62" s="58"/>
      <c r="F62" s="58"/>
    </row>
    <row r="63">
      <c r="C63" s="58"/>
      <c r="D63" s="58"/>
      <c r="E63" s="58"/>
      <c r="F63" s="58"/>
    </row>
    <row r="64">
      <c r="C64" s="58"/>
      <c r="D64" s="58"/>
      <c r="E64" s="58"/>
      <c r="F64" s="58"/>
    </row>
    <row r="65">
      <c r="C65" s="58"/>
      <c r="D65" s="58"/>
      <c r="E65" s="58"/>
      <c r="F65" s="58"/>
    </row>
    <row r="66">
      <c r="C66" s="58"/>
      <c r="D66" s="58"/>
      <c r="E66" s="58"/>
      <c r="F66" s="58"/>
    </row>
    <row r="67">
      <c r="C67" s="58"/>
      <c r="D67" s="58"/>
      <c r="E67" s="58"/>
      <c r="F67" s="58"/>
    </row>
    <row r="68">
      <c r="C68" s="58"/>
      <c r="D68" s="58"/>
      <c r="E68" s="58"/>
      <c r="F68" s="58"/>
    </row>
    <row r="69">
      <c r="C69" s="58"/>
      <c r="D69" s="58"/>
      <c r="E69" s="58"/>
      <c r="F69" s="58"/>
    </row>
    <row r="70">
      <c r="C70" s="58"/>
      <c r="D70" s="58"/>
      <c r="E70" s="58"/>
      <c r="F70" s="58"/>
    </row>
    <row r="71">
      <c r="C71" s="58"/>
      <c r="D71" s="58"/>
      <c r="E71" s="58"/>
      <c r="F71" s="58"/>
    </row>
    <row r="72">
      <c r="C72" s="58"/>
      <c r="D72" s="58"/>
      <c r="E72" s="58"/>
      <c r="F72" s="58"/>
    </row>
    <row r="73">
      <c r="C73" s="58"/>
      <c r="D73" s="58"/>
      <c r="E73" s="58"/>
      <c r="F73" s="58"/>
    </row>
    <row r="74">
      <c r="C74" s="58"/>
      <c r="D74" s="58"/>
      <c r="E74" s="58"/>
      <c r="F74" s="58"/>
    </row>
    <row r="75">
      <c r="C75" s="58"/>
      <c r="D75" s="58"/>
      <c r="E75" s="58"/>
      <c r="F75" s="58"/>
    </row>
    <row r="76">
      <c r="C76" s="58"/>
      <c r="D76" s="58"/>
      <c r="E76" s="58"/>
      <c r="F76" s="58"/>
    </row>
    <row r="77">
      <c r="C77" s="58"/>
      <c r="D77" s="58"/>
      <c r="E77" s="58"/>
      <c r="F77" s="58"/>
    </row>
    <row r="78">
      <c r="C78" s="58"/>
      <c r="D78" s="58"/>
      <c r="E78" s="58"/>
      <c r="F78" s="58"/>
    </row>
    <row r="79">
      <c r="C79" s="58"/>
      <c r="D79" s="58"/>
      <c r="E79" s="58"/>
      <c r="F79" s="58"/>
    </row>
    <row r="80">
      <c r="C80" s="58"/>
      <c r="D80" s="58"/>
      <c r="E80" s="58"/>
      <c r="F80" s="58"/>
    </row>
    <row r="81">
      <c r="C81" s="58"/>
      <c r="D81" s="58"/>
      <c r="E81" s="58"/>
      <c r="F81" s="58"/>
    </row>
    <row r="82">
      <c r="C82" s="58"/>
      <c r="D82" s="58"/>
      <c r="E82" s="58"/>
      <c r="F82" s="58"/>
    </row>
    <row r="83">
      <c r="C83" s="58"/>
      <c r="D83" s="58"/>
      <c r="E83" s="58"/>
      <c r="F83" s="58"/>
    </row>
    <row r="84">
      <c r="C84" s="58"/>
      <c r="D84" s="58"/>
      <c r="E84" s="58"/>
      <c r="F84" s="58"/>
    </row>
    <row r="85">
      <c r="C85" s="58"/>
      <c r="D85" s="58"/>
      <c r="E85" s="58"/>
      <c r="F85" s="58"/>
    </row>
    <row r="86">
      <c r="C86" s="58"/>
      <c r="D86" s="58"/>
      <c r="E86" s="58"/>
      <c r="F86" s="58"/>
    </row>
    <row r="87">
      <c r="C87" s="58"/>
      <c r="D87" s="58"/>
      <c r="E87" s="58"/>
      <c r="F87" s="58"/>
    </row>
    <row r="88">
      <c r="C88" s="58"/>
      <c r="D88" s="58"/>
      <c r="E88" s="58"/>
      <c r="F88" s="58"/>
    </row>
    <row r="89">
      <c r="C89" s="58"/>
      <c r="D89" s="58"/>
      <c r="E89" s="58"/>
      <c r="F89" s="58"/>
    </row>
    <row r="90">
      <c r="C90" s="58"/>
      <c r="D90" s="58"/>
      <c r="E90" s="58"/>
      <c r="F90" s="58"/>
    </row>
    <row r="91">
      <c r="C91" s="58"/>
      <c r="D91" s="58"/>
      <c r="E91" s="58"/>
      <c r="F91" s="58"/>
    </row>
    <row r="92">
      <c r="C92" s="58"/>
      <c r="D92" s="58"/>
      <c r="E92" s="58"/>
      <c r="F92" s="58"/>
    </row>
    <row r="93">
      <c r="C93" s="58"/>
      <c r="D93" s="58"/>
      <c r="E93" s="58"/>
      <c r="F93" s="58"/>
    </row>
    <row r="94">
      <c r="C94" s="58"/>
      <c r="D94" s="58"/>
      <c r="E94" s="58"/>
      <c r="F94" s="58"/>
    </row>
    <row r="95">
      <c r="C95" s="58"/>
      <c r="D95" s="58"/>
      <c r="E95" s="58"/>
      <c r="F95" s="58"/>
    </row>
    <row r="96">
      <c r="C96" s="58"/>
      <c r="D96" s="58"/>
      <c r="E96" s="58"/>
      <c r="F96" s="58"/>
    </row>
    <row r="97">
      <c r="C97" s="58"/>
      <c r="D97" s="58"/>
      <c r="E97" s="58"/>
      <c r="F97" s="58"/>
    </row>
    <row r="98">
      <c r="C98" s="58"/>
      <c r="D98" s="58"/>
      <c r="E98" s="58"/>
      <c r="F98" s="58"/>
    </row>
    <row r="99">
      <c r="C99" s="58"/>
      <c r="D99" s="58"/>
      <c r="E99" s="58"/>
      <c r="F99" s="58"/>
    </row>
    <row r="100">
      <c r="C100" s="58"/>
      <c r="D100" s="58"/>
      <c r="E100" s="58"/>
      <c r="F100" s="58"/>
    </row>
    <row r="101">
      <c r="C101" s="58"/>
      <c r="D101" s="58"/>
      <c r="E101" s="58"/>
      <c r="F101" s="58"/>
    </row>
    <row r="102">
      <c r="C102" s="58"/>
      <c r="D102" s="58"/>
      <c r="E102" s="58"/>
      <c r="F102" s="58"/>
    </row>
    <row r="103">
      <c r="C103" s="58"/>
      <c r="D103" s="58"/>
      <c r="E103" s="58"/>
      <c r="F103" s="58"/>
    </row>
    <row r="104">
      <c r="C104" s="58"/>
      <c r="D104" s="58"/>
      <c r="E104" s="58"/>
      <c r="F104" s="58"/>
    </row>
    <row r="105">
      <c r="C105" s="58"/>
      <c r="D105" s="58"/>
      <c r="E105" s="58"/>
      <c r="F105" s="58"/>
    </row>
    <row r="106">
      <c r="C106" s="58"/>
      <c r="D106" s="58"/>
      <c r="E106" s="58"/>
      <c r="F106" s="58"/>
    </row>
    <row r="107">
      <c r="C107" s="58"/>
      <c r="D107" s="58"/>
      <c r="E107" s="58"/>
      <c r="F107" s="58"/>
    </row>
    <row r="108">
      <c r="C108" s="58"/>
      <c r="D108" s="58"/>
      <c r="E108" s="58"/>
      <c r="F108" s="58"/>
    </row>
    <row r="109">
      <c r="C109" s="58"/>
      <c r="D109" s="58"/>
      <c r="E109" s="58"/>
      <c r="F109" s="58"/>
    </row>
    <row r="110">
      <c r="C110" s="58"/>
      <c r="D110" s="58"/>
      <c r="E110" s="58"/>
      <c r="F110" s="58"/>
    </row>
    <row r="111">
      <c r="C111" s="58"/>
      <c r="D111" s="58"/>
      <c r="E111" s="58"/>
      <c r="F111" s="58"/>
    </row>
    <row r="112">
      <c r="C112" s="58"/>
      <c r="D112" s="58"/>
      <c r="E112" s="58"/>
      <c r="F112" s="58"/>
    </row>
    <row r="113">
      <c r="C113" s="58"/>
      <c r="D113" s="58"/>
      <c r="E113" s="58"/>
      <c r="F113" s="58"/>
    </row>
    <row r="114">
      <c r="C114" s="58"/>
      <c r="D114" s="58"/>
      <c r="E114" s="58"/>
      <c r="F114" s="58"/>
    </row>
    <row r="115">
      <c r="C115" s="58"/>
      <c r="D115" s="58"/>
      <c r="E115" s="58"/>
      <c r="F115" s="58"/>
    </row>
    <row r="116">
      <c r="C116" s="58"/>
      <c r="D116" s="58"/>
      <c r="E116" s="58"/>
      <c r="F116" s="58"/>
    </row>
    <row r="117">
      <c r="C117" s="58"/>
      <c r="D117" s="58"/>
      <c r="E117" s="58"/>
      <c r="F117" s="58"/>
    </row>
    <row r="118">
      <c r="C118" s="58"/>
      <c r="D118" s="58"/>
      <c r="E118" s="58"/>
      <c r="F118" s="58"/>
    </row>
    <row r="119">
      <c r="C119" s="58"/>
      <c r="D119" s="58"/>
      <c r="E119" s="58"/>
      <c r="F119" s="58"/>
    </row>
    <row r="120">
      <c r="C120" s="58"/>
      <c r="D120" s="58"/>
      <c r="E120" s="58"/>
      <c r="F120" s="58"/>
    </row>
    <row r="121">
      <c r="C121" s="58"/>
      <c r="D121" s="58"/>
      <c r="E121" s="58"/>
      <c r="F121" s="58"/>
    </row>
    <row r="122">
      <c r="C122" s="58"/>
      <c r="D122" s="58"/>
      <c r="E122" s="58"/>
      <c r="F122" s="58"/>
    </row>
    <row r="123">
      <c r="C123" s="58"/>
      <c r="D123" s="58"/>
      <c r="E123" s="58"/>
      <c r="F123" s="58"/>
    </row>
    <row r="124">
      <c r="C124" s="58"/>
      <c r="D124" s="58"/>
      <c r="E124" s="58"/>
      <c r="F124" s="58"/>
    </row>
    <row r="125">
      <c r="C125" s="58"/>
      <c r="D125" s="58"/>
      <c r="E125" s="58"/>
      <c r="F125" s="58"/>
    </row>
    <row r="126">
      <c r="C126" s="58"/>
      <c r="D126" s="58"/>
      <c r="E126" s="58"/>
      <c r="F126" s="58"/>
    </row>
    <row r="127">
      <c r="C127" s="58"/>
      <c r="D127" s="58"/>
      <c r="E127" s="58"/>
      <c r="F127" s="58"/>
    </row>
    <row r="128">
      <c r="C128" s="58"/>
      <c r="D128" s="58"/>
      <c r="E128" s="58"/>
      <c r="F128" s="58"/>
    </row>
    <row r="129">
      <c r="C129" s="58"/>
      <c r="D129" s="58"/>
      <c r="E129" s="58"/>
      <c r="F129" s="58"/>
    </row>
    <row r="130">
      <c r="C130" s="58"/>
      <c r="D130" s="58"/>
      <c r="E130" s="58"/>
      <c r="F130" s="58"/>
    </row>
    <row r="131">
      <c r="C131" s="58"/>
      <c r="D131" s="58"/>
      <c r="E131" s="58"/>
      <c r="F131" s="58"/>
    </row>
    <row r="132">
      <c r="C132" s="58"/>
      <c r="D132" s="58"/>
      <c r="E132" s="58"/>
      <c r="F132" s="58"/>
    </row>
    <row r="133">
      <c r="C133" s="58"/>
      <c r="D133" s="58"/>
      <c r="E133" s="58"/>
      <c r="F133" s="58"/>
    </row>
    <row r="134">
      <c r="C134" s="58"/>
      <c r="D134" s="58"/>
      <c r="E134" s="58"/>
      <c r="F134" s="58"/>
    </row>
    <row r="135">
      <c r="C135" s="58"/>
      <c r="D135" s="58"/>
      <c r="E135" s="58"/>
      <c r="F135" s="58"/>
    </row>
    <row r="136">
      <c r="C136" s="58"/>
      <c r="D136" s="58"/>
      <c r="E136" s="58"/>
      <c r="F136" s="58"/>
    </row>
    <row r="137">
      <c r="C137" s="58"/>
      <c r="D137" s="58"/>
      <c r="E137" s="58"/>
      <c r="F137" s="58"/>
    </row>
    <row r="138">
      <c r="C138" s="58"/>
      <c r="D138" s="58"/>
      <c r="E138" s="58"/>
      <c r="F138" s="58"/>
    </row>
    <row r="139">
      <c r="C139" s="58"/>
      <c r="D139" s="58"/>
      <c r="E139" s="58"/>
      <c r="F139" s="58"/>
    </row>
    <row r="140">
      <c r="C140" s="58"/>
      <c r="D140" s="58"/>
      <c r="E140" s="58"/>
      <c r="F140" s="58"/>
    </row>
    <row r="141">
      <c r="C141" s="58"/>
      <c r="D141" s="58"/>
      <c r="E141" s="58"/>
      <c r="F141" s="58"/>
    </row>
    <row r="142">
      <c r="C142" s="58"/>
      <c r="D142" s="58"/>
      <c r="E142" s="58"/>
      <c r="F142" s="58"/>
    </row>
    <row r="143">
      <c r="C143" s="58"/>
      <c r="D143" s="58"/>
      <c r="E143" s="58"/>
      <c r="F143" s="58"/>
    </row>
    <row r="144">
      <c r="C144" s="58"/>
      <c r="D144" s="58"/>
      <c r="E144" s="58"/>
      <c r="F144" s="58"/>
    </row>
    <row r="145">
      <c r="C145" s="58"/>
      <c r="D145" s="58"/>
      <c r="E145" s="58"/>
      <c r="F145" s="58"/>
    </row>
    <row r="146">
      <c r="C146" s="58"/>
      <c r="D146" s="58"/>
      <c r="E146" s="58"/>
      <c r="F146" s="58"/>
    </row>
    <row r="147">
      <c r="C147" s="58"/>
      <c r="D147" s="58"/>
      <c r="E147" s="58"/>
      <c r="F147" s="58"/>
    </row>
    <row r="148">
      <c r="C148" s="58"/>
      <c r="D148" s="58"/>
      <c r="E148" s="58"/>
      <c r="F148" s="58"/>
    </row>
    <row r="149">
      <c r="C149" s="58"/>
      <c r="D149" s="58"/>
      <c r="E149" s="58"/>
      <c r="F149" s="58"/>
    </row>
    <row r="150">
      <c r="C150" s="58"/>
      <c r="D150" s="58"/>
      <c r="E150" s="58"/>
      <c r="F150" s="58"/>
    </row>
    <row r="151">
      <c r="C151" s="58"/>
      <c r="D151" s="58"/>
      <c r="E151" s="58"/>
      <c r="F151" s="58"/>
    </row>
    <row r="152">
      <c r="C152" s="58"/>
      <c r="D152" s="58"/>
      <c r="E152" s="58"/>
      <c r="F152" s="58"/>
    </row>
    <row r="153">
      <c r="C153" s="58"/>
      <c r="D153" s="58"/>
      <c r="E153" s="58"/>
      <c r="F153" s="58"/>
    </row>
    <row r="154">
      <c r="C154" s="58"/>
      <c r="D154" s="58"/>
      <c r="E154" s="58"/>
      <c r="F154" s="58"/>
    </row>
    <row r="155">
      <c r="C155" s="58"/>
      <c r="D155" s="58"/>
      <c r="E155" s="58"/>
      <c r="F155" s="58"/>
    </row>
    <row r="156">
      <c r="C156" s="58"/>
      <c r="D156" s="58"/>
      <c r="E156" s="58"/>
      <c r="F156" s="58"/>
    </row>
    <row r="157">
      <c r="C157" s="58"/>
      <c r="D157" s="58"/>
      <c r="E157" s="58"/>
      <c r="F157" s="58"/>
    </row>
    <row r="158">
      <c r="C158" s="58"/>
      <c r="D158" s="58"/>
      <c r="E158" s="58"/>
      <c r="F158" s="58"/>
    </row>
    <row r="159">
      <c r="C159" s="58"/>
      <c r="D159" s="58"/>
      <c r="E159" s="58"/>
      <c r="F159" s="58"/>
    </row>
    <row r="160">
      <c r="C160" s="58"/>
      <c r="D160" s="58"/>
      <c r="E160" s="58"/>
      <c r="F160" s="58"/>
    </row>
    <row r="161">
      <c r="C161" s="58"/>
      <c r="D161" s="58"/>
      <c r="E161" s="58"/>
      <c r="F161" s="58"/>
    </row>
    <row r="162">
      <c r="C162" s="58"/>
      <c r="D162" s="58"/>
      <c r="E162" s="58"/>
      <c r="F162" s="58"/>
    </row>
    <row r="163">
      <c r="C163" s="58"/>
      <c r="D163" s="58"/>
      <c r="E163" s="58"/>
      <c r="F163" s="58"/>
    </row>
    <row r="164">
      <c r="C164" s="58"/>
      <c r="D164" s="58"/>
      <c r="E164" s="58"/>
      <c r="F164" s="58"/>
    </row>
    <row r="165">
      <c r="C165" s="58"/>
      <c r="D165" s="58"/>
      <c r="E165" s="58"/>
      <c r="F165" s="58"/>
    </row>
    <row r="166">
      <c r="C166" s="58"/>
      <c r="D166" s="58"/>
      <c r="E166" s="58"/>
      <c r="F166" s="58"/>
    </row>
    <row r="167">
      <c r="C167" s="58"/>
      <c r="D167" s="58"/>
      <c r="E167" s="58"/>
      <c r="F167" s="58"/>
    </row>
    <row r="168">
      <c r="C168" s="58"/>
      <c r="D168" s="58"/>
      <c r="E168" s="58"/>
      <c r="F168" s="58"/>
    </row>
    <row r="169">
      <c r="C169" s="58"/>
      <c r="D169" s="58"/>
      <c r="E169" s="58"/>
      <c r="F169" s="58"/>
    </row>
    <row r="170">
      <c r="C170" s="58"/>
      <c r="D170" s="58"/>
      <c r="E170" s="58"/>
      <c r="F170" s="58"/>
    </row>
    <row r="171">
      <c r="C171" s="58"/>
      <c r="D171" s="58"/>
      <c r="E171" s="58"/>
      <c r="F171" s="58"/>
    </row>
    <row r="172">
      <c r="C172" s="58"/>
      <c r="D172" s="58"/>
      <c r="E172" s="58"/>
      <c r="F172" s="58"/>
    </row>
    <row r="173">
      <c r="C173" s="58"/>
      <c r="D173" s="58"/>
      <c r="E173" s="58"/>
      <c r="F173" s="58"/>
    </row>
    <row r="174">
      <c r="C174" s="58"/>
      <c r="D174" s="58"/>
      <c r="E174" s="58"/>
      <c r="F174" s="58"/>
    </row>
    <row r="175">
      <c r="C175" s="58"/>
      <c r="D175" s="58"/>
      <c r="E175" s="58"/>
      <c r="F175" s="58"/>
    </row>
    <row r="176">
      <c r="C176" s="58"/>
      <c r="D176" s="58"/>
      <c r="E176" s="58"/>
      <c r="F176" s="58"/>
    </row>
    <row r="177">
      <c r="C177" s="58"/>
      <c r="D177" s="58"/>
      <c r="E177" s="58"/>
      <c r="F177" s="58"/>
    </row>
    <row r="178">
      <c r="C178" s="58"/>
      <c r="D178" s="58"/>
      <c r="E178" s="58"/>
      <c r="F178" s="58"/>
    </row>
    <row r="179">
      <c r="C179" s="58"/>
      <c r="D179" s="58"/>
      <c r="E179" s="58"/>
      <c r="F179" s="58"/>
    </row>
    <row r="180">
      <c r="C180" s="58"/>
      <c r="D180" s="58"/>
      <c r="E180" s="58"/>
      <c r="F180" s="58"/>
    </row>
    <row r="181">
      <c r="C181" s="58"/>
      <c r="D181" s="58"/>
      <c r="E181" s="58"/>
      <c r="F181" s="58"/>
    </row>
    <row r="182">
      <c r="C182" s="58"/>
      <c r="D182" s="58"/>
      <c r="E182" s="58"/>
      <c r="F182" s="58"/>
    </row>
    <row r="183">
      <c r="C183" s="58"/>
      <c r="D183" s="58"/>
      <c r="E183" s="58"/>
      <c r="F183" s="58"/>
    </row>
    <row r="184">
      <c r="C184" s="58"/>
      <c r="D184" s="58"/>
      <c r="E184" s="58"/>
      <c r="F184" s="58"/>
    </row>
    <row r="185">
      <c r="C185" s="58"/>
      <c r="D185" s="58"/>
      <c r="E185" s="58"/>
      <c r="F185" s="58"/>
    </row>
    <row r="186">
      <c r="C186" s="58"/>
      <c r="D186" s="58"/>
      <c r="E186" s="58"/>
      <c r="F186" s="58"/>
    </row>
    <row r="187">
      <c r="C187" s="58"/>
      <c r="D187" s="58"/>
      <c r="E187" s="58"/>
      <c r="F187" s="58"/>
    </row>
    <row r="188">
      <c r="C188" s="58"/>
      <c r="D188" s="58"/>
      <c r="E188" s="58"/>
      <c r="F188" s="58"/>
    </row>
    <row r="189">
      <c r="C189" s="58"/>
      <c r="D189" s="58"/>
      <c r="E189" s="58"/>
      <c r="F189" s="58"/>
    </row>
    <row r="190">
      <c r="C190" s="58"/>
      <c r="D190" s="58"/>
      <c r="E190" s="58"/>
      <c r="F190" s="58"/>
    </row>
    <row r="191">
      <c r="C191" s="58"/>
      <c r="D191" s="58"/>
      <c r="E191" s="58"/>
      <c r="F191" s="58"/>
    </row>
    <row r="192">
      <c r="C192" s="58"/>
      <c r="D192" s="58"/>
      <c r="E192" s="58"/>
      <c r="F192" s="58"/>
    </row>
    <row r="193">
      <c r="C193" s="58"/>
      <c r="D193" s="58"/>
      <c r="E193" s="58"/>
      <c r="F193" s="58"/>
    </row>
    <row r="194">
      <c r="C194" s="58"/>
      <c r="D194" s="58"/>
      <c r="E194" s="58"/>
      <c r="F194" s="58"/>
    </row>
    <row r="195">
      <c r="C195" s="58"/>
      <c r="D195" s="58"/>
      <c r="E195" s="58"/>
      <c r="F195" s="58"/>
    </row>
    <row r="196">
      <c r="C196" s="58"/>
      <c r="D196" s="58"/>
      <c r="E196" s="58"/>
      <c r="F196" s="58"/>
    </row>
    <row r="197">
      <c r="C197" s="58"/>
      <c r="D197" s="58"/>
      <c r="E197" s="58"/>
      <c r="F197" s="58"/>
    </row>
    <row r="198">
      <c r="C198" s="58"/>
      <c r="D198" s="58"/>
      <c r="E198" s="58"/>
      <c r="F198" s="58"/>
    </row>
    <row r="199">
      <c r="C199" s="58"/>
      <c r="D199" s="58"/>
      <c r="E199" s="58"/>
      <c r="F199" s="58"/>
    </row>
    <row r="200">
      <c r="C200" s="58"/>
      <c r="D200" s="58"/>
      <c r="E200" s="58"/>
      <c r="F200" s="58"/>
    </row>
    <row r="201">
      <c r="C201" s="58"/>
      <c r="D201" s="58"/>
      <c r="E201" s="58"/>
      <c r="F201" s="58"/>
    </row>
    <row r="202">
      <c r="C202" s="58"/>
      <c r="D202" s="58"/>
      <c r="E202" s="58"/>
      <c r="F202" s="58"/>
    </row>
    <row r="203">
      <c r="C203" s="58"/>
      <c r="D203" s="58"/>
      <c r="E203" s="58"/>
      <c r="F203" s="58"/>
    </row>
    <row r="204">
      <c r="C204" s="58"/>
      <c r="D204" s="58"/>
      <c r="E204" s="58"/>
      <c r="F204" s="58"/>
    </row>
    <row r="205">
      <c r="C205" s="58"/>
      <c r="D205" s="58"/>
      <c r="E205" s="58"/>
      <c r="F205" s="58"/>
    </row>
    <row r="206">
      <c r="C206" s="58"/>
      <c r="D206" s="58"/>
      <c r="E206" s="58"/>
      <c r="F206" s="58"/>
    </row>
    <row r="207">
      <c r="C207" s="58"/>
      <c r="D207" s="58"/>
      <c r="E207" s="58"/>
      <c r="F207" s="58"/>
    </row>
    <row r="208">
      <c r="C208" s="58"/>
      <c r="D208" s="58"/>
      <c r="E208" s="58"/>
      <c r="F208" s="58"/>
    </row>
    <row r="209">
      <c r="C209" s="58"/>
      <c r="D209" s="58"/>
      <c r="E209" s="58"/>
      <c r="F209" s="58"/>
    </row>
    <row r="210">
      <c r="C210" s="58"/>
      <c r="D210" s="58"/>
      <c r="E210" s="58"/>
      <c r="F210" s="58"/>
    </row>
    <row r="211">
      <c r="C211" s="58"/>
      <c r="D211" s="58"/>
      <c r="E211" s="58"/>
      <c r="F211" s="58"/>
    </row>
    <row r="212">
      <c r="C212" s="58"/>
      <c r="D212" s="58"/>
      <c r="E212" s="58"/>
      <c r="F212" s="58"/>
    </row>
    <row r="213">
      <c r="C213" s="58"/>
      <c r="D213" s="58"/>
      <c r="E213" s="58"/>
      <c r="F213" s="58"/>
    </row>
    <row r="214">
      <c r="C214" s="58"/>
      <c r="D214" s="58"/>
      <c r="E214" s="58"/>
      <c r="F214" s="58"/>
    </row>
    <row r="215">
      <c r="C215" s="58"/>
      <c r="D215" s="58"/>
      <c r="E215" s="58"/>
      <c r="F215" s="58"/>
    </row>
    <row r="216">
      <c r="C216" s="58"/>
      <c r="D216" s="58"/>
      <c r="E216" s="58"/>
      <c r="F216" s="58"/>
    </row>
    <row r="217">
      <c r="C217" s="58"/>
      <c r="D217" s="58"/>
      <c r="E217" s="58"/>
      <c r="F217" s="58"/>
    </row>
    <row r="218">
      <c r="C218" s="58"/>
      <c r="D218" s="58"/>
      <c r="E218" s="58"/>
      <c r="F218" s="58"/>
    </row>
    <row r="219">
      <c r="C219" s="58"/>
      <c r="D219" s="58"/>
      <c r="E219" s="58"/>
      <c r="F219" s="58"/>
    </row>
    <row r="220">
      <c r="C220" s="58"/>
      <c r="D220" s="58"/>
      <c r="E220" s="58"/>
      <c r="F220" s="58"/>
    </row>
    <row r="221">
      <c r="C221" s="58"/>
      <c r="D221" s="58"/>
      <c r="E221" s="58"/>
      <c r="F221" s="58"/>
    </row>
    <row r="222">
      <c r="C222" s="58"/>
      <c r="D222" s="58"/>
      <c r="E222" s="58"/>
      <c r="F222" s="58"/>
    </row>
    <row r="223">
      <c r="C223" s="58"/>
      <c r="D223" s="58"/>
      <c r="E223" s="58"/>
      <c r="F223" s="58"/>
    </row>
    <row r="224">
      <c r="C224" s="58"/>
      <c r="D224" s="58"/>
      <c r="E224" s="58"/>
      <c r="F224" s="58"/>
    </row>
    <row r="225">
      <c r="C225" s="58"/>
      <c r="D225" s="58"/>
      <c r="E225" s="58"/>
      <c r="F225" s="58"/>
    </row>
    <row r="226">
      <c r="C226" s="58"/>
      <c r="D226" s="58"/>
      <c r="E226" s="58"/>
      <c r="F226" s="58"/>
    </row>
    <row r="227">
      <c r="C227" s="58"/>
      <c r="D227" s="58"/>
      <c r="E227" s="58"/>
      <c r="F227" s="58"/>
    </row>
    <row r="228">
      <c r="C228" s="58"/>
      <c r="D228" s="58"/>
      <c r="E228" s="58"/>
      <c r="F228" s="58"/>
    </row>
    <row r="229">
      <c r="C229" s="58"/>
      <c r="D229" s="58"/>
      <c r="E229" s="58"/>
      <c r="F229" s="58"/>
    </row>
    <row r="230">
      <c r="C230" s="58"/>
      <c r="D230" s="58"/>
      <c r="E230" s="58"/>
      <c r="F230" s="58"/>
    </row>
    <row r="231">
      <c r="C231" s="58"/>
      <c r="D231" s="58"/>
      <c r="E231" s="58"/>
      <c r="F231" s="58"/>
    </row>
    <row r="232">
      <c r="C232" s="58"/>
      <c r="D232" s="58"/>
      <c r="E232" s="58"/>
      <c r="F232" s="58"/>
    </row>
    <row r="233">
      <c r="C233" s="58"/>
      <c r="D233" s="58"/>
      <c r="E233" s="58"/>
      <c r="F233" s="58"/>
    </row>
    <row r="234">
      <c r="C234" s="58"/>
      <c r="D234" s="58"/>
      <c r="E234" s="58"/>
      <c r="F234" s="58"/>
    </row>
    <row r="235">
      <c r="C235" s="58"/>
      <c r="D235" s="58"/>
      <c r="E235" s="58"/>
      <c r="F235" s="58"/>
    </row>
    <row r="236">
      <c r="C236" s="58"/>
      <c r="D236" s="58"/>
      <c r="E236" s="58"/>
      <c r="F236" s="58"/>
    </row>
    <row r="237">
      <c r="C237" s="58"/>
      <c r="D237" s="58"/>
      <c r="E237" s="58"/>
      <c r="F237" s="58"/>
    </row>
    <row r="238">
      <c r="C238" s="58"/>
      <c r="D238" s="58"/>
      <c r="E238" s="58"/>
      <c r="F238" s="58"/>
    </row>
    <row r="239">
      <c r="C239" s="58"/>
      <c r="D239" s="58"/>
      <c r="E239" s="58"/>
      <c r="F239" s="58"/>
    </row>
    <row r="240">
      <c r="C240" s="58"/>
      <c r="D240" s="58"/>
      <c r="E240" s="58"/>
      <c r="F240" s="58"/>
    </row>
    <row r="241">
      <c r="C241" s="58"/>
      <c r="D241" s="58"/>
      <c r="E241" s="58"/>
      <c r="F241" s="58"/>
    </row>
    <row r="242">
      <c r="C242" s="58"/>
      <c r="D242" s="58"/>
      <c r="E242" s="58"/>
      <c r="F242" s="58"/>
    </row>
    <row r="243">
      <c r="C243" s="58"/>
      <c r="D243" s="58"/>
      <c r="E243" s="58"/>
      <c r="F243" s="58"/>
    </row>
    <row r="244">
      <c r="C244" s="58"/>
      <c r="D244" s="58"/>
      <c r="E244" s="58"/>
      <c r="F244" s="58"/>
    </row>
    <row r="245">
      <c r="C245" s="58"/>
      <c r="D245" s="58"/>
      <c r="E245" s="58"/>
      <c r="F245" s="58"/>
    </row>
    <row r="246">
      <c r="C246" s="58"/>
      <c r="D246" s="58"/>
      <c r="E246" s="58"/>
      <c r="F246" s="58"/>
    </row>
    <row r="247">
      <c r="C247" s="58"/>
      <c r="D247" s="58"/>
      <c r="E247" s="58"/>
      <c r="F247" s="58"/>
    </row>
    <row r="248">
      <c r="C248" s="58"/>
      <c r="D248" s="58"/>
      <c r="E248" s="58"/>
      <c r="F248" s="58"/>
    </row>
    <row r="249">
      <c r="C249" s="58"/>
      <c r="D249" s="58"/>
      <c r="E249" s="58"/>
      <c r="F249" s="58"/>
    </row>
    <row r="250">
      <c r="C250" s="58"/>
      <c r="D250" s="58"/>
      <c r="E250" s="58"/>
      <c r="F250" s="58"/>
    </row>
    <row r="251">
      <c r="C251" s="58"/>
      <c r="D251" s="58"/>
      <c r="E251" s="58"/>
      <c r="F251" s="58"/>
    </row>
    <row r="252">
      <c r="C252" s="58"/>
      <c r="D252" s="58"/>
      <c r="E252" s="58"/>
      <c r="F252" s="58"/>
    </row>
    <row r="253">
      <c r="C253" s="58"/>
      <c r="D253" s="58"/>
      <c r="E253" s="58"/>
      <c r="F253" s="58"/>
    </row>
    <row r="254">
      <c r="C254" s="58"/>
      <c r="D254" s="58"/>
      <c r="E254" s="58"/>
      <c r="F254" s="58"/>
    </row>
    <row r="255">
      <c r="C255" s="58"/>
      <c r="D255" s="58"/>
      <c r="E255" s="58"/>
      <c r="F255" s="58"/>
    </row>
    <row r="256">
      <c r="C256" s="58"/>
      <c r="D256" s="58"/>
      <c r="E256" s="58"/>
      <c r="F256" s="58"/>
    </row>
    <row r="257">
      <c r="C257" s="58"/>
      <c r="D257" s="58"/>
      <c r="E257" s="58"/>
      <c r="F257" s="58"/>
    </row>
    <row r="258">
      <c r="C258" s="58"/>
      <c r="D258" s="58"/>
      <c r="E258" s="58"/>
      <c r="F258" s="58"/>
    </row>
    <row r="259">
      <c r="C259" s="58"/>
      <c r="D259" s="58"/>
      <c r="E259" s="58"/>
      <c r="F259" s="58"/>
    </row>
    <row r="260">
      <c r="C260" s="58"/>
      <c r="D260" s="58"/>
      <c r="E260" s="58"/>
      <c r="F260" s="58"/>
    </row>
    <row r="261">
      <c r="C261" s="58"/>
      <c r="D261" s="58"/>
      <c r="E261" s="58"/>
      <c r="F261" s="58"/>
    </row>
    <row r="262">
      <c r="C262" s="58"/>
      <c r="D262" s="58"/>
      <c r="E262" s="58"/>
      <c r="F262" s="58"/>
    </row>
    <row r="263">
      <c r="C263" s="58"/>
      <c r="D263" s="58"/>
      <c r="E263" s="58"/>
      <c r="F263" s="58"/>
    </row>
    <row r="264">
      <c r="C264" s="58"/>
      <c r="D264" s="58"/>
      <c r="E264" s="58"/>
      <c r="F264" s="58"/>
    </row>
    <row r="265">
      <c r="C265" s="58"/>
      <c r="D265" s="58"/>
      <c r="E265" s="58"/>
      <c r="F265" s="58"/>
    </row>
    <row r="266">
      <c r="C266" s="58"/>
      <c r="D266" s="58"/>
      <c r="E266" s="58"/>
      <c r="F266" s="58"/>
    </row>
    <row r="267">
      <c r="C267" s="58"/>
      <c r="D267" s="58"/>
      <c r="E267" s="58"/>
      <c r="F267" s="58"/>
    </row>
    <row r="268">
      <c r="C268" s="58"/>
      <c r="D268" s="58"/>
      <c r="E268" s="58"/>
      <c r="F268" s="58"/>
    </row>
    <row r="269">
      <c r="C269" s="58"/>
      <c r="D269" s="58"/>
      <c r="E269" s="58"/>
      <c r="F269" s="58"/>
    </row>
    <row r="270">
      <c r="C270" s="58"/>
      <c r="D270" s="58"/>
      <c r="E270" s="58"/>
      <c r="F270" s="58"/>
    </row>
    <row r="271">
      <c r="C271" s="58"/>
      <c r="D271" s="58"/>
      <c r="E271" s="58"/>
      <c r="F271" s="58"/>
    </row>
    <row r="272">
      <c r="C272" s="58"/>
      <c r="D272" s="58"/>
      <c r="E272" s="58"/>
      <c r="F272" s="58"/>
    </row>
    <row r="273">
      <c r="C273" s="58"/>
      <c r="D273" s="58"/>
      <c r="E273" s="58"/>
      <c r="F273" s="58"/>
    </row>
    <row r="274">
      <c r="C274" s="58"/>
      <c r="D274" s="58"/>
      <c r="E274" s="58"/>
      <c r="F274" s="58"/>
    </row>
    <row r="275">
      <c r="C275" s="58"/>
      <c r="D275" s="58"/>
      <c r="E275" s="58"/>
      <c r="F275" s="58"/>
    </row>
    <row r="276">
      <c r="C276" s="58"/>
      <c r="D276" s="58"/>
      <c r="E276" s="58"/>
      <c r="F276" s="58"/>
    </row>
    <row r="277">
      <c r="C277" s="58"/>
      <c r="D277" s="58"/>
      <c r="E277" s="58"/>
      <c r="F277" s="58"/>
    </row>
    <row r="278">
      <c r="C278" s="58"/>
      <c r="D278" s="58"/>
      <c r="E278" s="58"/>
      <c r="F278" s="58"/>
    </row>
    <row r="279">
      <c r="C279" s="58"/>
      <c r="D279" s="58"/>
      <c r="E279" s="58"/>
      <c r="F279" s="58"/>
    </row>
    <row r="280">
      <c r="C280" s="58"/>
      <c r="D280" s="58"/>
      <c r="E280" s="58"/>
      <c r="F280" s="58"/>
    </row>
    <row r="281">
      <c r="C281" s="58"/>
      <c r="D281" s="58"/>
      <c r="E281" s="58"/>
      <c r="F281" s="58"/>
    </row>
    <row r="282">
      <c r="C282" s="58"/>
      <c r="D282" s="58"/>
      <c r="E282" s="58"/>
      <c r="F282" s="58"/>
    </row>
    <row r="283">
      <c r="C283" s="58"/>
      <c r="D283" s="58"/>
      <c r="E283" s="58"/>
      <c r="F283" s="58"/>
    </row>
    <row r="284">
      <c r="C284" s="58"/>
      <c r="D284" s="58"/>
      <c r="E284" s="58"/>
      <c r="F284" s="58"/>
    </row>
    <row r="285">
      <c r="C285" s="58"/>
      <c r="D285" s="58"/>
      <c r="E285" s="58"/>
      <c r="F285" s="58"/>
    </row>
    <row r="286">
      <c r="C286" s="58"/>
      <c r="D286" s="58"/>
      <c r="E286" s="58"/>
      <c r="F286" s="58"/>
    </row>
    <row r="287">
      <c r="C287" s="58"/>
      <c r="D287" s="58"/>
      <c r="E287" s="58"/>
      <c r="F287" s="58"/>
    </row>
    <row r="288">
      <c r="C288" s="58"/>
      <c r="D288" s="58"/>
      <c r="E288" s="58"/>
      <c r="F288" s="58"/>
    </row>
    <row r="289">
      <c r="C289" s="58"/>
      <c r="D289" s="58"/>
      <c r="E289" s="58"/>
      <c r="F289" s="58"/>
    </row>
    <row r="290">
      <c r="C290" s="58"/>
      <c r="D290" s="58"/>
      <c r="E290" s="58"/>
      <c r="F290" s="58"/>
    </row>
    <row r="291">
      <c r="C291" s="58"/>
      <c r="D291" s="58"/>
      <c r="E291" s="58"/>
      <c r="F291" s="58"/>
    </row>
    <row r="292">
      <c r="C292" s="58"/>
      <c r="D292" s="58"/>
      <c r="E292" s="58"/>
      <c r="F292" s="58"/>
    </row>
    <row r="293">
      <c r="C293" s="58"/>
      <c r="D293" s="58"/>
      <c r="E293" s="58"/>
      <c r="F293" s="58"/>
    </row>
    <row r="294">
      <c r="C294" s="58"/>
      <c r="D294" s="58"/>
      <c r="E294" s="58"/>
      <c r="F294" s="58"/>
    </row>
    <row r="295">
      <c r="C295" s="58"/>
      <c r="D295" s="58"/>
      <c r="E295" s="58"/>
      <c r="F295" s="58"/>
    </row>
    <row r="296">
      <c r="C296" s="58"/>
      <c r="D296" s="58"/>
      <c r="E296" s="58"/>
      <c r="F296" s="58"/>
    </row>
    <row r="297">
      <c r="C297" s="58"/>
      <c r="D297" s="58"/>
      <c r="E297" s="58"/>
      <c r="F297" s="58"/>
    </row>
    <row r="298">
      <c r="C298" s="58"/>
      <c r="D298" s="58"/>
      <c r="E298" s="58"/>
      <c r="F298" s="58"/>
    </row>
    <row r="299">
      <c r="C299" s="58"/>
      <c r="D299" s="58"/>
      <c r="E299" s="58"/>
      <c r="F299" s="58"/>
    </row>
    <row r="300">
      <c r="C300" s="58"/>
      <c r="D300" s="58"/>
      <c r="E300" s="58"/>
      <c r="F300" s="58"/>
    </row>
    <row r="301">
      <c r="C301" s="58"/>
      <c r="D301" s="58"/>
      <c r="E301" s="58"/>
      <c r="F301" s="58"/>
    </row>
    <row r="302">
      <c r="C302" s="58"/>
      <c r="D302" s="58"/>
      <c r="E302" s="58"/>
      <c r="F302" s="58"/>
    </row>
    <row r="303">
      <c r="C303" s="58"/>
      <c r="D303" s="58"/>
      <c r="E303" s="58"/>
      <c r="F303" s="58"/>
    </row>
    <row r="304">
      <c r="C304" s="58"/>
      <c r="D304" s="58"/>
      <c r="E304" s="58"/>
      <c r="F304" s="58"/>
    </row>
    <row r="305">
      <c r="C305" s="58"/>
      <c r="D305" s="58"/>
      <c r="E305" s="58"/>
      <c r="F305" s="58"/>
    </row>
    <row r="306">
      <c r="C306" s="58"/>
      <c r="D306" s="58"/>
      <c r="E306" s="58"/>
      <c r="F306" s="58"/>
    </row>
    <row r="307">
      <c r="C307" s="58"/>
      <c r="D307" s="58"/>
      <c r="E307" s="58"/>
      <c r="F307" s="58"/>
    </row>
    <row r="308">
      <c r="C308" s="58"/>
      <c r="D308" s="58"/>
      <c r="E308" s="58"/>
      <c r="F308" s="58"/>
    </row>
    <row r="309">
      <c r="C309" s="58"/>
      <c r="D309" s="58"/>
      <c r="E309" s="58"/>
      <c r="F309" s="58"/>
    </row>
    <row r="310">
      <c r="C310" s="58"/>
      <c r="D310" s="58"/>
      <c r="E310" s="58"/>
      <c r="F310" s="58"/>
    </row>
    <row r="311">
      <c r="C311" s="58"/>
      <c r="D311" s="58"/>
      <c r="E311" s="58"/>
      <c r="F311" s="58"/>
    </row>
    <row r="312">
      <c r="C312" s="58"/>
      <c r="D312" s="58"/>
      <c r="E312" s="58"/>
      <c r="F312" s="58"/>
    </row>
    <row r="313">
      <c r="C313" s="58"/>
      <c r="D313" s="58"/>
      <c r="E313" s="58"/>
      <c r="F313" s="58"/>
    </row>
    <row r="314">
      <c r="C314" s="58"/>
      <c r="D314" s="58"/>
      <c r="E314" s="58"/>
      <c r="F314" s="58"/>
    </row>
    <row r="315">
      <c r="C315" s="58"/>
      <c r="D315" s="58"/>
      <c r="E315" s="58"/>
      <c r="F315" s="58"/>
    </row>
    <row r="316">
      <c r="C316" s="58"/>
      <c r="D316" s="58"/>
      <c r="E316" s="58"/>
      <c r="F316" s="58"/>
    </row>
    <row r="317">
      <c r="C317" s="58"/>
      <c r="D317" s="58"/>
      <c r="E317" s="58"/>
      <c r="F317" s="58"/>
    </row>
    <row r="318">
      <c r="C318" s="58"/>
      <c r="D318" s="58"/>
      <c r="E318" s="58"/>
      <c r="F318" s="58"/>
    </row>
    <row r="319">
      <c r="C319" s="58"/>
      <c r="D319" s="58"/>
      <c r="E319" s="58"/>
      <c r="F319" s="58"/>
    </row>
    <row r="320">
      <c r="C320" s="58"/>
      <c r="D320" s="58"/>
      <c r="E320" s="58"/>
      <c r="F320" s="58"/>
    </row>
    <row r="321">
      <c r="C321" s="58"/>
      <c r="D321" s="58"/>
      <c r="E321" s="58"/>
      <c r="F321" s="58"/>
    </row>
    <row r="322">
      <c r="C322" s="58"/>
      <c r="D322" s="58"/>
      <c r="E322" s="58"/>
      <c r="F322" s="58"/>
    </row>
    <row r="323">
      <c r="C323" s="58"/>
      <c r="D323" s="58"/>
      <c r="E323" s="58"/>
      <c r="F323" s="58"/>
    </row>
    <row r="324">
      <c r="C324" s="58"/>
      <c r="D324" s="58"/>
      <c r="E324" s="58"/>
      <c r="F324" s="58"/>
    </row>
    <row r="325">
      <c r="C325" s="58"/>
      <c r="D325" s="58"/>
      <c r="E325" s="58"/>
      <c r="F325" s="58"/>
    </row>
    <row r="326">
      <c r="C326" s="58"/>
      <c r="D326" s="58"/>
      <c r="E326" s="58"/>
      <c r="F326" s="58"/>
    </row>
    <row r="327">
      <c r="C327" s="58"/>
      <c r="D327" s="58"/>
      <c r="E327" s="58"/>
      <c r="F327" s="58"/>
    </row>
    <row r="328">
      <c r="C328" s="58"/>
      <c r="D328" s="58"/>
      <c r="E328" s="58"/>
      <c r="F328" s="58"/>
    </row>
    <row r="329">
      <c r="C329" s="58"/>
      <c r="D329" s="58"/>
      <c r="E329" s="58"/>
      <c r="F329" s="58"/>
    </row>
    <row r="330">
      <c r="C330" s="58"/>
      <c r="D330" s="58"/>
      <c r="E330" s="58"/>
      <c r="F330" s="58"/>
    </row>
    <row r="331">
      <c r="C331" s="58"/>
      <c r="D331" s="58"/>
      <c r="E331" s="58"/>
      <c r="F331" s="58"/>
    </row>
    <row r="332">
      <c r="C332" s="58"/>
      <c r="D332" s="58"/>
      <c r="E332" s="58"/>
      <c r="F332" s="58"/>
    </row>
    <row r="333">
      <c r="C333" s="58"/>
      <c r="D333" s="58"/>
      <c r="E333" s="58"/>
      <c r="F333" s="58"/>
    </row>
    <row r="334">
      <c r="C334" s="58"/>
      <c r="D334" s="58"/>
      <c r="E334" s="58"/>
      <c r="F334" s="58"/>
    </row>
    <row r="335">
      <c r="C335" s="58"/>
      <c r="D335" s="58"/>
      <c r="E335" s="58"/>
      <c r="F335" s="58"/>
    </row>
    <row r="336">
      <c r="C336" s="58"/>
      <c r="D336" s="58"/>
      <c r="E336" s="58"/>
      <c r="F336" s="58"/>
    </row>
    <row r="337">
      <c r="C337" s="58"/>
      <c r="D337" s="58"/>
      <c r="E337" s="58"/>
      <c r="F337" s="58"/>
    </row>
    <row r="338">
      <c r="C338" s="58"/>
      <c r="D338" s="58"/>
      <c r="E338" s="58"/>
      <c r="F338" s="58"/>
    </row>
    <row r="339">
      <c r="C339" s="58"/>
      <c r="D339" s="58"/>
      <c r="E339" s="58"/>
      <c r="F339" s="58"/>
    </row>
    <row r="340">
      <c r="C340" s="58"/>
      <c r="D340" s="58"/>
      <c r="E340" s="58"/>
      <c r="F340" s="58"/>
    </row>
    <row r="341">
      <c r="C341" s="58"/>
      <c r="D341" s="58"/>
      <c r="E341" s="58"/>
      <c r="F341" s="58"/>
    </row>
    <row r="342">
      <c r="C342" s="58"/>
      <c r="D342" s="58"/>
      <c r="E342" s="58"/>
      <c r="F342" s="58"/>
    </row>
    <row r="343">
      <c r="C343" s="58"/>
      <c r="D343" s="58"/>
      <c r="E343" s="58"/>
      <c r="F343" s="58"/>
    </row>
    <row r="344">
      <c r="C344" s="58"/>
      <c r="D344" s="58"/>
      <c r="E344" s="58"/>
      <c r="F344" s="58"/>
    </row>
    <row r="345">
      <c r="C345" s="58"/>
      <c r="D345" s="58"/>
      <c r="E345" s="58"/>
      <c r="F345" s="58"/>
    </row>
    <row r="346">
      <c r="C346" s="58"/>
      <c r="D346" s="58"/>
      <c r="E346" s="58"/>
      <c r="F346" s="58"/>
    </row>
    <row r="347">
      <c r="C347" s="58"/>
      <c r="D347" s="58"/>
      <c r="E347" s="58"/>
      <c r="F347" s="58"/>
    </row>
    <row r="348">
      <c r="C348" s="58"/>
      <c r="D348" s="58"/>
      <c r="E348" s="58"/>
      <c r="F348" s="58"/>
    </row>
    <row r="349">
      <c r="C349" s="58"/>
      <c r="D349" s="58"/>
      <c r="E349" s="58"/>
      <c r="F349" s="58"/>
    </row>
    <row r="350">
      <c r="C350" s="58"/>
      <c r="D350" s="58"/>
      <c r="E350" s="58"/>
      <c r="F350" s="58"/>
    </row>
    <row r="351">
      <c r="C351" s="58"/>
      <c r="D351" s="58"/>
      <c r="E351" s="58"/>
      <c r="F351" s="58"/>
    </row>
    <row r="352">
      <c r="C352" s="58"/>
      <c r="D352" s="58"/>
      <c r="E352" s="58"/>
      <c r="F352" s="58"/>
    </row>
    <row r="353">
      <c r="C353" s="58"/>
      <c r="D353" s="58"/>
      <c r="E353" s="58"/>
      <c r="F353" s="58"/>
    </row>
    <row r="354">
      <c r="C354" s="58"/>
      <c r="D354" s="58"/>
      <c r="E354" s="58"/>
      <c r="F354" s="58"/>
    </row>
    <row r="355">
      <c r="C355" s="58"/>
      <c r="D355" s="58"/>
      <c r="E355" s="58"/>
      <c r="F355" s="58"/>
    </row>
    <row r="356">
      <c r="C356" s="58"/>
      <c r="D356" s="58"/>
      <c r="E356" s="58"/>
      <c r="F356" s="58"/>
    </row>
    <row r="357">
      <c r="C357" s="58"/>
      <c r="D357" s="58"/>
      <c r="E357" s="58"/>
      <c r="F357" s="58"/>
    </row>
    <row r="358">
      <c r="C358" s="58"/>
      <c r="D358" s="58"/>
      <c r="E358" s="58"/>
      <c r="F358" s="58"/>
    </row>
    <row r="359">
      <c r="C359" s="58"/>
      <c r="D359" s="58"/>
      <c r="E359" s="58"/>
      <c r="F359" s="58"/>
    </row>
    <row r="360">
      <c r="C360" s="58"/>
      <c r="D360" s="58"/>
      <c r="E360" s="58"/>
      <c r="F360" s="58"/>
    </row>
    <row r="361">
      <c r="C361" s="58"/>
      <c r="D361" s="58"/>
      <c r="E361" s="58"/>
      <c r="F361" s="58"/>
    </row>
    <row r="362">
      <c r="C362" s="58"/>
      <c r="D362" s="58"/>
      <c r="E362" s="58"/>
      <c r="F362" s="58"/>
    </row>
    <row r="363">
      <c r="C363" s="58"/>
      <c r="D363" s="58"/>
      <c r="E363" s="58"/>
      <c r="F363" s="58"/>
    </row>
    <row r="364">
      <c r="C364" s="58"/>
      <c r="D364" s="58"/>
      <c r="E364" s="58"/>
      <c r="F364" s="58"/>
    </row>
    <row r="365">
      <c r="C365" s="58"/>
      <c r="D365" s="58"/>
      <c r="E365" s="58"/>
      <c r="F365" s="58"/>
    </row>
    <row r="366">
      <c r="C366" s="58"/>
      <c r="D366" s="58"/>
      <c r="E366" s="58"/>
      <c r="F366" s="58"/>
    </row>
    <row r="367">
      <c r="C367" s="58"/>
      <c r="D367" s="58"/>
      <c r="E367" s="58"/>
      <c r="F367" s="58"/>
    </row>
    <row r="368">
      <c r="C368" s="58"/>
      <c r="D368" s="58"/>
      <c r="E368" s="58"/>
      <c r="F368" s="58"/>
    </row>
    <row r="369">
      <c r="C369" s="58"/>
      <c r="D369" s="58"/>
      <c r="E369" s="58"/>
      <c r="F369" s="58"/>
    </row>
    <row r="370">
      <c r="C370" s="58"/>
      <c r="D370" s="58"/>
      <c r="E370" s="58"/>
      <c r="F370" s="58"/>
    </row>
    <row r="371">
      <c r="C371" s="58"/>
      <c r="D371" s="58"/>
      <c r="E371" s="58"/>
      <c r="F371" s="58"/>
    </row>
    <row r="372">
      <c r="C372" s="58"/>
      <c r="D372" s="58"/>
      <c r="E372" s="58"/>
      <c r="F372" s="58"/>
    </row>
    <row r="373">
      <c r="C373" s="58"/>
      <c r="D373" s="58"/>
      <c r="E373" s="58"/>
      <c r="F373" s="58"/>
    </row>
    <row r="374">
      <c r="C374" s="58"/>
      <c r="D374" s="58"/>
      <c r="E374" s="58"/>
      <c r="F374" s="58"/>
    </row>
    <row r="375">
      <c r="C375" s="58"/>
      <c r="D375" s="58"/>
      <c r="E375" s="58"/>
      <c r="F375" s="58"/>
    </row>
    <row r="376">
      <c r="C376" s="58"/>
      <c r="D376" s="58"/>
      <c r="E376" s="58"/>
      <c r="F376" s="58"/>
    </row>
    <row r="377">
      <c r="C377" s="58"/>
      <c r="D377" s="58"/>
      <c r="E377" s="58"/>
      <c r="F377" s="58"/>
    </row>
    <row r="378">
      <c r="C378" s="58"/>
      <c r="D378" s="58"/>
      <c r="E378" s="58"/>
      <c r="F378" s="58"/>
    </row>
    <row r="379">
      <c r="C379" s="58"/>
      <c r="D379" s="58"/>
      <c r="E379" s="58"/>
      <c r="F379" s="58"/>
    </row>
    <row r="380">
      <c r="C380" s="58"/>
      <c r="D380" s="58"/>
      <c r="E380" s="58"/>
      <c r="F380" s="58"/>
    </row>
    <row r="381">
      <c r="C381" s="58"/>
      <c r="D381" s="58"/>
      <c r="E381" s="58"/>
      <c r="F381" s="58"/>
    </row>
    <row r="382">
      <c r="C382" s="58"/>
      <c r="D382" s="58"/>
      <c r="E382" s="58"/>
      <c r="F382" s="58"/>
    </row>
    <row r="383">
      <c r="C383" s="58"/>
      <c r="D383" s="58"/>
      <c r="E383" s="58"/>
      <c r="F383" s="58"/>
    </row>
    <row r="384">
      <c r="C384" s="58"/>
      <c r="D384" s="58"/>
      <c r="E384" s="58"/>
      <c r="F384" s="58"/>
    </row>
    <row r="385">
      <c r="C385" s="58"/>
      <c r="D385" s="58"/>
      <c r="E385" s="58"/>
      <c r="F385" s="58"/>
    </row>
    <row r="386">
      <c r="C386" s="58"/>
      <c r="D386" s="58"/>
      <c r="E386" s="58"/>
      <c r="F386" s="58"/>
    </row>
    <row r="387">
      <c r="C387" s="58"/>
      <c r="D387" s="58"/>
      <c r="E387" s="58"/>
      <c r="F387" s="58"/>
    </row>
    <row r="388">
      <c r="C388" s="58"/>
      <c r="D388" s="58"/>
      <c r="E388" s="58"/>
      <c r="F388" s="58"/>
    </row>
    <row r="389">
      <c r="C389" s="58"/>
      <c r="D389" s="58"/>
      <c r="E389" s="58"/>
      <c r="F389" s="58"/>
    </row>
    <row r="390">
      <c r="C390" s="58"/>
      <c r="D390" s="58"/>
      <c r="E390" s="58"/>
      <c r="F390" s="58"/>
    </row>
    <row r="391">
      <c r="C391" s="58"/>
      <c r="D391" s="58"/>
      <c r="E391" s="58"/>
      <c r="F391" s="58"/>
    </row>
    <row r="392">
      <c r="C392" s="58"/>
      <c r="D392" s="58"/>
      <c r="E392" s="58"/>
      <c r="F392" s="58"/>
    </row>
    <row r="393">
      <c r="C393" s="58"/>
      <c r="D393" s="58"/>
      <c r="E393" s="58"/>
      <c r="F393" s="58"/>
    </row>
    <row r="394">
      <c r="C394" s="58"/>
      <c r="D394" s="58"/>
      <c r="E394" s="58"/>
      <c r="F394" s="58"/>
    </row>
    <row r="395">
      <c r="C395" s="58"/>
      <c r="D395" s="58"/>
      <c r="E395" s="58"/>
      <c r="F395" s="58"/>
    </row>
    <row r="396">
      <c r="C396" s="58"/>
      <c r="D396" s="58"/>
      <c r="E396" s="58"/>
      <c r="F396" s="58"/>
    </row>
    <row r="397">
      <c r="C397" s="58"/>
      <c r="D397" s="58"/>
      <c r="E397" s="58"/>
      <c r="F397" s="58"/>
    </row>
    <row r="398">
      <c r="C398" s="58"/>
      <c r="D398" s="58"/>
      <c r="E398" s="58"/>
      <c r="F398" s="58"/>
    </row>
    <row r="399">
      <c r="C399" s="58"/>
      <c r="D399" s="58"/>
      <c r="E399" s="58"/>
      <c r="F399" s="58"/>
    </row>
    <row r="400">
      <c r="C400" s="58"/>
      <c r="D400" s="58"/>
      <c r="E400" s="58"/>
      <c r="F400" s="58"/>
    </row>
    <row r="401">
      <c r="C401" s="58"/>
      <c r="D401" s="58"/>
      <c r="E401" s="58"/>
      <c r="F401" s="58"/>
    </row>
    <row r="402">
      <c r="C402" s="58"/>
      <c r="D402" s="58"/>
      <c r="E402" s="58"/>
      <c r="F402" s="58"/>
    </row>
    <row r="403">
      <c r="C403" s="58"/>
      <c r="D403" s="58"/>
      <c r="E403" s="58"/>
      <c r="F403" s="58"/>
    </row>
    <row r="404">
      <c r="C404" s="58"/>
      <c r="D404" s="58"/>
      <c r="E404" s="58"/>
      <c r="F404" s="58"/>
    </row>
    <row r="405">
      <c r="C405" s="58"/>
      <c r="D405" s="58"/>
      <c r="E405" s="58"/>
      <c r="F405" s="58"/>
    </row>
    <row r="406">
      <c r="C406" s="58"/>
      <c r="D406" s="58"/>
      <c r="E406" s="58"/>
      <c r="F406" s="58"/>
    </row>
    <row r="407">
      <c r="C407" s="58"/>
      <c r="D407" s="58"/>
      <c r="E407" s="58"/>
      <c r="F407" s="58"/>
    </row>
    <row r="408">
      <c r="C408" s="58"/>
      <c r="D408" s="58"/>
      <c r="E408" s="58"/>
      <c r="F408" s="58"/>
    </row>
    <row r="409">
      <c r="C409" s="58"/>
      <c r="D409" s="58"/>
      <c r="E409" s="58"/>
      <c r="F409" s="58"/>
    </row>
    <row r="410">
      <c r="C410" s="58"/>
      <c r="D410" s="58"/>
      <c r="E410" s="58"/>
      <c r="F410" s="58"/>
    </row>
    <row r="411">
      <c r="C411" s="58"/>
      <c r="D411" s="58"/>
      <c r="E411" s="58"/>
      <c r="F411" s="58"/>
    </row>
    <row r="412">
      <c r="C412" s="58"/>
      <c r="D412" s="58"/>
      <c r="E412" s="58"/>
      <c r="F412" s="58"/>
    </row>
    <row r="413">
      <c r="C413" s="58"/>
      <c r="D413" s="58"/>
      <c r="E413" s="58"/>
      <c r="F413" s="58"/>
    </row>
    <row r="414">
      <c r="C414" s="58"/>
      <c r="D414" s="58"/>
      <c r="E414" s="58"/>
      <c r="F414" s="58"/>
    </row>
    <row r="415">
      <c r="C415" s="58"/>
      <c r="D415" s="58"/>
      <c r="E415" s="58"/>
      <c r="F415" s="58"/>
    </row>
    <row r="416">
      <c r="C416" s="58"/>
      <c r="D416" s="58"/>
      <c r="E416" s="58"/>
      <c r="F416" s="58"/>
    </row>
    <row r="417">
      <c r="C417" s="58"/>
      <c r="D417" s="58"/>
      <c r="E417" s="58"/>
      <c r="F417" s="58"/>
    </row>
    <row r="418">
      <c r="C418" s="58"/>
      <c r="D418" s="58"/>
      <c r="E418" s="58"/>
      <c r="F418" s="58"/>
    </row>
    <row r="419">
      <c r="C419" s="58"/>
      <c r="D419" s="58"/>
      <c r="E419" s="58"/>
      <c r="F419" s="58"/>
    </row>
    <row r="420">
      <c r="C420" s="58"/>
      <c r="D420" s="58"/>
      <c r="E420" s="58"/>
      <c r="F420" s="58"/>
    </row>
    <row r="421">
      <c r="C421" s="58"/>
      <c r="D421" s="58"/>
      <c r="E421" s="58"/>
      <c r="F421" s="58"/>
    </row>
    <row r="422">
      <c r="C422" s="58"/>
      <c r="D422" s="58"/>
      <c r="E422" s="58"/>
      <c r="F422" s="58"/>
    </row>
    <row r="423">
      <c r="C423" s="58"/>
      <c r="D423" s="58"/>
      <c r="E423" s="58"/>
      <c r="F423" s="58"/>
    </row>
    <row r="424">
      <c r="C424" s="58"/>
      <c r="D424" s="58"/>
      <c r="E424" s="58"/>
      <c r="F424" s="58"/>
    </row>
    <row r="425">
      <c r="C425" s="58"/>
      <c r="D425" s="58"/>
      <c r="E425" s="58"/>
      <c r="F425" s="58"/>
    </row>
    <row r="426">
      <c r="C426" s="58"/>
      <c r="D426" s="58"/>
      <c r="E426" s="58"/>
      <c r="F426" s="58"/>
    </row>
    <row r="427">
      <c r="C427" s="58"/>
      <c r="D427" s="58"/>
      <c r="E427" s="58"/>
      <c r="F427" s="58"/>
    </row>
    <row r="428">
      <c r="C428" s="58"/>
      <c r="D428" s="58"/>
      <c r="E428" s="58"/>
      <c r="F428" s="58"/>
    </row>
    <row r="429">
      <c r="C429" s="58"/>
      <c r="D429" s="58"/>
      <c r="E429" s="58"/>
      <c r="F429" s="58"/>
    </row>
    <row r="430">
      <c r="C430" s="58"/>
      <c r="D430" s="58"/>
      <c r="E430" s="58"/>
      <c r="F430" s="58"/>
    </row>
    <row r="431">
      <c r="C431" s="58"/>
      <c r="D431" s="58"/>
      <c r="E431" s="58"/>
      <c r="F431" s="58"/>
    </row>
    <row r="432">
      <c r="C432" s="58"/>
      <c r="D432" s="58"/>
      <c r="E432" s="58"/>
      <c r="F432" s="58"/>
    </row>
    <row r="433">
      <c r="C433" s="58"/>
      <c r="D433" s="58"/>
      <c r="E433" s="58"/>
      <c r="F433" s="58"/>
    </row>
    <row r="434">
      <c r="C434" s="58"/>
      <c r="D434" s="58"/>
      <c r="E434" s="58"/>
      <c r="F434" s="58"/>
    </row>
    <row r="435">
      <c r="C435" s="58"/>
      <c r="D435" s="58"/>
      <c r="E435" s="58"/>
      <c r="F435" s="58"/>
    </row>
    <row r="436">
      <c r="C436" s="58"/>
      <c r="D436" s="58"/>
      <c r="E436" s="58"/>
      <c r="F436" s="58"/>
    </row>
    <row r="437">
      <c r="C437" s="58"/>
      <c r="D437" s="58"/>
      <c r="E437" s="58"/>
      <c r="F437" s="58"/>
    </row>
    <row r="438">
      <c r="C438" s="58"/>
      <c r="D438" s="58"/>
      <c r="E438" s="58"/>
      <c r="F438" s="58"/>
    </row>
    <row r="439">
      <c r="C439" s="58"/>
      <c r="D439" s="58"/>
      <c r="E439" s="58"/>
      <c r="F439" s="58"/>
    </row>
    <row r="440">
      <c r="C440" s="58"/>
      <c r="D440" s="58"/>
      <c r="E440" s="58"/>
      <c r="F440" s="58"/>
    </row>
    <row r="441">
      <c r="C441" s="58"/>
      <c r="D441" s="58"/>
      <c r="E441" s="58"/>
      <c r="F441" s="58"/>
    </row>
    <row r="442">
      <c r="C442" s="58"/>
      <c r="D442" s="58"/>
      <c r="E442" s="58"/>
      <c r="F442" s="58"/>
    </row>
    <row r="443">
      <c r="C443" s="58"/>
      <c r="D443" s="58"/>
      <c r="E443" s="58"/>
      <c r="F443" s="58"/>
    </row>
    <row r="444">
      <c r="C444" s="58"/>
      <c r="D444" s="58"/>
      <c r="E444" s="58"/>
      <c r="F444" s="58"/>
    </row>
    <row r="445">
      <c r="C445" s="58"/>
      <c r="D445" s="58"/>
      <c r="E445" s="58"/>
      <c r="F445" s="58"/>
    </row>
    <row r="446">
      <c r="C446" s="58"/>
      <c r="D446" s="58"/>
      <c r="E446" s="58"/>
      <c r="F446" s="58"/>
    </row>
    <row r="447">
      <c r="C447" s="58"/>
      <c r="D447" s="58"/>
      <c r="E447" s="58"/>
      <c r="F447" s="58"/>
    </row>
    <row r="448">
      <c r="C448" s="58"/>
      <c r="D448" s="58"/>
      <c r="E448" s="58"/>
      <c r="F448" s="58"/>
    </row>
    <row r="449">
      <c r="C449" s="58"/>
      <c r="D449" s="58"/>
      <c r="E449" s="58"/>
      <c r="F449" s="58"/>
    </row>
    <row r="450">
      <c r="C450" s="58"/>
      <c r="D450" s="58"/>
      <c r="E450" s="58"/>
      <c r="F450" s="58"/>
    </row>
    <row r="451">
      <c r="C451" s="58"/>
      <c r="D451" s="58"/>
      <c r="E451" s="58"/>
      <c r="F451" s="58"/>
    </row>
    <row r="452">
      <c r="C452" s="58"/>
      <c r="D452" s="58"/>
      <c r="E452" s="58"/>
      <c r="F452" s="58"/>
    </row>
    <row r="453">
      <c r="C453" s="58"/>
      <c r="D453" s="58"/>
      <c r="E453" s="58"/>
      <c r="F453" s="58"/>
    </row>
    <row r="454">
      <c r="C454" s="58"/>
      <c r="D454" s="58"/>
      <c r="E454" s="58"/>
      <c r="F454" s="58"/>
    </row>
    <row r="455">
      <c r="C455" s="58"/>
      <c r="D455" s="58"/>
      <c r="E455" s="58"/>
      <c r="F455" s="58"/>
    </row>
    <row r="456">
      <c r="C456" s="58"/>
      <c r="D456" s="58"/>
      <c r="E456" s="58"/>
      <c r="F456" s="58"/>
    </row>
    <row r="457">
      <c r="C457" s="58"/>
      <c r="D457" s="58"/>
      <c r="E457" s="58"/>
      <c r="F457" s="58"/>
    </row>
    <row r="458">
      <c r="C458" s="58"/>
      <c r="D458" s="58"/>
      <c r="E458" s="58"/>
      <c r="F458" s="58"/>
    </row>
    <row r="459">
      <c r="C459" s="58"/>
      <c r="D459" s="58"/>
      <c r="E459" s="58"/>
      <c r="F459" s="58"/>
    </row>
    <row r="460">
      <c r="C460" s="58"/>
      <c r="D460" s="58"/>
      <c r="E460" s="58"/>
      <c r="F460" s="58"/>
    </row>
    <row r="461">
      <c r="C461" s="58"/>
      <c r="D461" s="58"/>
      <c r="E461" s="58"/>
      <c r="F461" s="58"/>
    </row>
    <row r="462">
      <c r="C462" s="58"/>
      <c r="D462" s="58"/>
      <c r="E462" s="58"/>
      <c r="F462" s="58"/>
    </row>
    <row r="463">
      <c r="C463" s="58"/>
      <c r="D463" s="58"/>
      <c r="E463" s="58"/>
      <c r="F463" s="58"/>
    </row>
    <row r="464">
      <c r="C464" s="58"/>
      <c r="D464" s="58"/>
      <c r="E464" s="58"/>
      <c r="F464" s="58"/>
    </row>
    <row r="465">
      <c r="C465" s="58"/>
      <c r="D465" s="58"/>
      <c r="E465" s="58"/>
      <c r="F465" s="58"/>
    </row>
    <row r="466">
      <c r="C466" s="58"/>
      <c r="D466" s="58"/>
      <c r="E466" s="58"/>
      <c r="F466" s="58"/>
    </row>
    <row r="467">
      <c r="C467" s="58"/>
      <c r="D467" s="58"/>
      <c r="E467" s="58"/>
      <c r="F467" s="58"/>
    </row>
    <row r="468">
      <c r="C468" s="58"/>
      <c r="D468" s="58"/>
      <c r="E468" s="58"/>
      <c r="F468" s="58"/>
    </row>
    <row r="469">
      <c r="C469" s="58"/>
      <c r="D469" s="58"/>
      <c r="E469" s="58"/>
      <c r="F469" s="58"/>
    </row>
    <row r="470">
      <c r="C470" s="58"/>
      <c r="D470" s="58"/>
      <c r="E470" s="58"/>
      <c r="F470" s="58"/>
    </row>
    <row r="471">
      <c r="C471" s="58"/>
      <c r="D471" s="58"/>
      <c r="E471" s="58"/>
      <c r="F471" s="58"/>
    </row>
    <row r="472">
      <c r="C472" s="58"/>
      <c r="D472" s="58"/>
      <c r="E472" s="58"/>
      <c r="F472" s="58"/>
    </row>
    <row r="473">
      <c r="C473" s="58"/>
      <c r="D473" s="58"/>
      <c r="E473" s="58"/>
      <c r="F473" s="58"/>
    </row>
    <row r="474">
      <c r="C474" s="58"/>
      <c r="D474" s="58"/>
      <c r="E474" s="58"/>
      <c r="F474" s="58"/>
    </row>
    <row r="475">
      <c r="C475" s="58"/>
      <c r="D475" s="58"/>
      <c r="E475" s="58"/>
      <c r="F475" s="58"/>
    </row>
    <row r="476">
      <c r="C476" s="58"/>
      <c r="D476" s="58"/>
      <c r="E476" s="58"/>
      <c r="F476" s="58"/>
    </row>
    <row r="477">
      <c r="C477" s="58"/>
      <c r="D477" s="58"/>
      <c r="E477" s="58"/>
      <c r="F477" s="58"/>
    </row>
    <row r="478">
      <c r="C478" s="58"/>
      <c r="D478" s="58"/>
      <c r="E478" s="58"/>
      <c r="F478" s="58"/>
    </row>
    <row r="479">
      <c r="C479" s="58"/>
      <c r="D479" s="58"/>
      <c r="E479" s="58"/>
      <c r="F479" s="58"/>
    </row>
    <row r="480">
      <c r="C480" s="58"/>
      <c r="D480" s="58"/>
      <c r="E480" s="58"/>
      <c r="F480" s="58"/>
    </row>
    <row r="481">
      <c r="C481" s="58"/>
      <c r="D481" s="58"/>
      <c r="E481" s="58"/>
      <c r="F481" s="58"/>
    </row>
    <row r="482">
      <c r="C482" s="58"/>
      <c r="D482" s="58"/>
      <c r="E482" s="58"/>
      <c r="F482" s="58"/>
    </row>
    <row r="483">
      <c r="C483" s="58"/>
      <c r="D483" s="58"/>
      <c r="E483" s="58"/>
      <c r="F483" s="58"/>
    </row>
    <row r="484">
      <c r="C484" s="58"/>
      <c r="D484" s="58"/>
      <c r="E484" s="58"/>
      <c r="F484" s="58"/>
    </row>
    <row r="485">
      <c r="C485" s="58"/>
      <c r="D485" s="58"/>
      <c r="E485" s="58"/>
      <c r="F485" s="58"/>
    </row>
    <row r="486">
      <c r="C486" s="58"/>
      <c r="D486" s="58"/>
      <c r="E486" s="58"/>
      <c r="F486" s="58"/>
    </row>
    <row r="487">
      <c r="C487" s="58"/>
      <c r="D487" s="58"/>
      <c r="E487" s="58"/>
      <c r="F487" s="58"/>
    </row>
    <row r="488">
      <c r="C488" s="58"/>
      <c r="D488" s="58"/>
      <c r="E488" s="58"/>
      <c r="F488" s="58"/>
    </row>
    <row r="489">
      <c r="C489" s="58"/>
      <c r="D489" s="58"/>
      <c r="E489" s="58"/>
      <c r="F489" s="58"/>
    </row>
    <row r="490">
      <c r="C490" s="58"/>
      <c r="D490" s="58"/>
      <c r="E490" s="58"/>
      <c r="F490" s="58"/>
    </row>
    <row r="491">
      <c r="C491" s="58"/>
      <c r="D491" s="58"/>
      <c r="E491" s="58"/>
      <c r="F491" s="58"/>
    </row>
    <row r="492">
      <c r="C492" s="58"/>
      <c r="D492" s="58"/>
      <c r="E492" s="58"/>
      <c r="F492" s="58"/>
    </row>
    <row r="493">
      <c r="C493" s="58"/>
      <c r="D493" s="58"/>
      <c r="E493" s="58"/>
      <c r="F493" s="58"/>
    </row>
    <row r="494">
      <c r="C494" s="58"/>
      <c r="D494" s="58"/>
      <c r="E494" s="58"/>
      <c r="F494" s="58"/>
    </row>
    <row r="495">
      <c r="C495" s="58"/>
      <c r="D495" s="58"/>
      <c r="E495" s="58"/>
      <c r="F495" s="58"/>
    </row>
    <row r="496">
      <c r="C496" s="58"/>
      <c r="D496" s="58"/>
      <c r="E496" s="58"/>
      <c r="F496" s="58"/>
    </row>
    <row r="497">
      <c r="C497" s="58"/>
      <c r="D497" s="58"/>
      <c r="E497" s="58"/>
      <c r="F497" s="58"/>
    </row>
    <row r="498">
      <c r="C498" s="58"/>
      <c r="D498" s="58"/>
      <c r="E498" s="58"/>
      <c r="F498" s="58"/>
    </row>
    <row r="499">
      <c r="C499" s="58"/>
      <c r="D499" s="58"/>
      <c r="E499" s="58"/>
      <c r="F499" s="58"/>
    </row>
    <row r="500">
      <c r="C500" s="58"/>
      <c r="D500" s="58"/>
      <c r="E500" s="58"/>
      <c r="F500" s="58"/>
    </row>
    <row r="501">
      <c r="C501" s="58"/>
      <c r="D501" s="58"/>
      <c r="E501" s="58"/>
      <c r="F501" s="58"/>
    </row>
    <row r="502">
      <c r="C502" s="58"/>
      <c r="D502" s="58"/>
      <c r="E502" s="58"/>
      <c r="F502" s="58"/>
    </row>
    <row r="503">
      <c r="C503" s="58"/>
      <c r="D503" s="58"/>
      <c r="E503" s="58"/>
      <c r="F503" s="58"/>
    </row>
    <row r="504">
      <c r="C504" s="58"/>
      <c r="D504" s="58"/>
      <c r="E504" s="58"/>
      <c r="F504" s="58"/>
    </row>
    <row r="505">
      <c r="C505" s="58"/>
      <c r="D505" s="58"/>
      <c r="E505" s="58"/>
      <c r="F505" s="58"/>
    </row>
    <row r="506">
      <c r="C506" s="58"/>
      <c r="D506" s="58"/>
      <c r="E506" s="58"/>
      <c r="F506" s="58"/>
    </row>
    <row r="507">
      <c r="C507" s="58"/>
      <c r="D507" s="58"/>
      <c r="E507" s="58"/>
      <c r="F507" s="58"/>
    </row>
    <row r="508">
      <c r="C508" s="58"/>
      <c r="D508" s="58"/>
      <c r="E508" s="58"/>
      <c r="F508" s="58"/>
    </row>
    <row r="509">
      <c r="C509" s="58"/>
      <c r="D509" s="58"/>
      <c r="E509" s="58"/>
      <c r="F509" s="58"/>
    </row>
    <row r="510">
      <c r="C510" s="58"/>
      <c r="D510" s="58"/>
      <c r="E510" s="58"/>
      <c r="F510" s="58"/>
    </row>
    <row r="511">
      <c r="C511" s="58"/>
      <c r="D511" s="58"/>
      <c r="E511" s="58"/>
      <c r="F511" s="58"/>
    </row>
    <row r="512">
      <c r="C512" s="58"/>
      <c r="D512" s="58"/>
      <c r="E512" s="58"/>
      <c r="F512" s="58"/>
    </row>
    <row r="513">
      <c r="C513" s="58"/>
      <c r="D513" s="58"/>
      <c r="E513" s="58"/>
      <c r="F513" s="58"/>
    </row>
    <row r="514">
      <c r="C514" s="58"/>
      <c r="D514" s="58"/>
      <c r="E514" s="58"/>
      <c r="F514" s="58"/>
    </row>
    <row r="515">
      <c r="C515" s="58"/>
      <c r="D515" s="58"/>
      <c r="E515" s="58"/>
      <c r="F515" s="58"/>
    </row>
    <row r="516">
      <c r="C516" s="58"/>
      <c r="D516" s="58"/>
      <c r="E516" s="58"/>
      <c r="F516" s="58"/>
    </row>
    <row r="517">
      <c r="C517" s="58"/>
      <c r="D517" s="58"/>
      <c r="E517" s="58"/>
      <c r="F517" s="58"/>
    </row>
    <row r="518">
      <c r="C518" s="58"/>
      <c r="D518" s="58"/>
      <c r="E518" s="58"/>
      <c r="F518" s="58"/>
    </row>
    <row r="519">
      <c r="C519" s="58"/>
      <c r="D519" s="58"/>
      <c r="E519" s="58"/>
      <c r="F519" s="58"/>
    </row>
    <row r="520">
      <c r="C520" s="58"/>
      <c r="D520" s="58"/>
      <c r="E520" s="58"/>
      <c r="F520" s="58"/>
    </row>
    <row r="521">
      <c r="C521" s="58"/>
      <c r="D521" s="58"/>
      <c r="E521" s="58"/>
      <c r="F521" s="58"/>
    </row>
    <row r="522">
      <c r="C522" s="58"/>
      <c r="D522" s="58"/>
      <c r="E522" s="58"/>
      <c r="F522" s="58"/>
    </row>
    <row r="523">
      <c r="C523" s="58"/>
      <c r="D523" s="58"/>
      <c r="E523" s="58"/>
      <c r="F523" s="58"/>
    </row>
    <row r="524">
      <c r="C524" s="58"/>
      <c r="D524" s="58"/>
      <c r="E524" s="58"/>
      <c r="F524" s="58"/>
    </row>
    <row r="525">
      <c r="C525" s="58"/>
      <c r="D525" s="58"/>
      <c r="E525" s="58"/>
      <c r="F525" s="58"/>
    </row>
    <row r="526">
      <c r="C526" s="58"/>
      <c r="D526" s="58"/>
      <c r="E526" s="58"/>
      <c r="F526" s="58"/>
    </row>
    <row r="527">
      <c r="C527" s="58"/>
      <c r="D527" s="58"/>
      <c r="E527" s="58"/>
      <c r="F527" s="58"/>
    </row>
    <row r="528">
      <c r="C528" s="58"/>
      <c r="D528" s="58"/>
      <c r="E528" s="58"/>
      <c r="F528" s="58"/>
    </row>
    <row r="529">
      <c r="C529" s="58"/>
      <c r="D529" s="58"/>
      <c r="E529" s="58"/>
      <c r="F529" s="58"/>
    </row>
    <row r="530">
      <c r="C530" s="58"/>
      <c r="D530" s="58"/>
      <c r="E530" s="58"/>
      <c r="F530" s="58"/>
    </row>
    <row r="531">
      <c r="C531" s="58"/>
      <c r="D531" s="58"/>
      <c r="E531" s="58"/>
      <c r="F531" s="58"/>
    </row>
    <row r="532">
      <c r="C532" s="58"/>
      <c r="D532" s="58"/>
      <c r="E532" s="58"/>
      <c r="F532" s="58"/>
    </row>
    <row r="533">
      <c r="C533" s="58"/>
      <c r="D533" s="58"/>
      <c r="E533" s="58"/>
      <c r="F533" s="58"/>
    </row>
    <row r="534">
      <c r="C534" s="58"/>
      <c r="D534" s="58"/>
      <c r="E534" s="58"/>
      <c r="F534" s="58"/>
    </row>
    <row r="535">
      <c r="C535" s="58"/>
      <c r="D535" s="58"/>
      <c r="E535" s="58"/>
      <c r="F535" s="58"/>
    </row>
    <row r="536">
      <c r="C536" s="58"/>
      <c r="D536" s="58"/>
      <c r="E536" s="58"/>
      <c r="F536" s="58"/>
    </row>
    <row r="537">
      <c r="C537" s="58"/>
      <c r="D537" s="58"/>
      <c r="E537" s="58"/>
      <c r="F537" s="58"/>
    </row>
    <row r="538">
      <c r="C538" s="58"/>
      <c r="D538" s="58"/>
      <c r="E538" s="58"/>
      <c r="F538" s="58"/>
    </row>
    <row r="539">
      <c r="C539" s="58"/>
      <c r="D539" s="58"/>
      <c r="E539" s="58"/>
      <c r="F539" s="58"/>
    </row>
    <row r="540">
      <c r="C540" s="58"/>
      <c r="D540" s="58"/>
      <c r="E540" s="58"/>
      <c r="F540" s="58"/>
    </row>
    <row r="541">
      <c r="C541" s="58"/>
      <c r="D541" s="58"/>
      <c r="E541" s="58"/>
      <c r="F541" s="58"/>
    </row>
    <row r="542">
      <c r="C542" s="58"/>
      <c r="D542" s="58"/>
      <c r="E542" s="58"/>
      <c r="F542" s="58"/>
    </row>
    <row r="543">
      <c r="C543" s="58"/>
      <c r="D543" s="58"/>
      <c r="E543" s="58"/>
      <c r="F543" s="58"/>
    </row>
    <row r="544">
      <c r="C544" s="58"/>
      <c r="D544" s="58"/>
      <c r="E544" s="58"/>
      <c r="F544" s="58"/>
    </row>
    <row r="545">
      <c r="C545" s="58"/>
      <c r="D545" s="58"/>
      <c r="E545" s="58"/>
      <c r="F545" s="58"/>
    </row>
    <row r="546">
      <c r="C546" s="58"/>
      <c r="D546" s="58"/>
      <c r="E546" s="58"/>
      <c r="F546" s="58"/>
    </row>
    <row r="547">
      <c r="C547" s="58"/>
      <c r="D547" s="58"/>
      <c r="E547" s="58"/>
      <c r="F547" s="58"/>
    </row>
    <row r="548">
      <c r="C548" s="58"/>
      <c r="D548" s="58"/>
      <c r="E548" s="58"/>
      <c r="F548" s="58"/>
    </row>
    <row r="549">
      <c r="C549" s="58"/>
      <c r="D549" s="58"/>
      <c r="E549" s="58"/>
      <c r="F549" s="58"/>
    </row>
    <row r="550">
      <c r="C550" s="58"/>
      <c r="D550" s="58"/>
      <c r="E550" s="58"/>
      <c r="F550" s="58"/>
    </row>
    <row r="551">
      <c r="C551" s="58"/>
      <c r="D551" s="58"/>
      <c r="E551" s="58"/>
      <c r="F551" s="58"/>
    </row>
    <row r="552">
      <c r="C552" s="58"/>
      <c r="D552" s="58"/>
      <c r="E552" s="58"/>
      <c r="F552" s="58"/>
    </row>
    <row r="553">
      <c r="C553" s="58"/>
      <c r="D553" s="58"/>
      <c r="E553" s="58"/>
      <c r="F553" s="58"/>
    </row>
    <row r="554">
      <c r="C554" s="58"/>
      <c r="D554" s="58"/>
      <c r="E554" s="58"/>
      <c r="F554" s="58"/>
    </row>
    <row r="555">
      <c r="C555" s="58"/>
      <c r="D555" s="58"/>
      <c r="E555" s="58"/>
      <c r="F555" s="58"/>
    </row>
    <row r="556">
      <c r="C556" s="58"/>
      <c r="D556" s="58"/>
      <c r="E556" s="58"/>
      <c r="F556" s="58"/>
    </row>
    <row r="557">
      <c r="C557" s="58"/>
      <c r="D557" s="58"/>
      <c r="E557" s="58"/>
      <c r="F557" s="58"/>
    </row>
    <row r="558">
      <c r="C558" s="58"/>
      <c r="D558" s="58"/>
      <c r="E558" s="58"/>
      <c r="F558" s="58"/>
    </row>
    <row r="559">
      <c r="C559" s="58"/>
      <c r="D559" s="58"/>
      <c r="E559" s="58"/>
      <c r="F559" s="58"/>
    </row>
    <row r="560">
      <c r="C560" s="58"/>
      <c r="D560" s="58"/>
      <c r="E560" s="58"/>
      <c r="F560" s="58"/>
    </row>
    <row r="561">
      <c r="C561" s="58"/>
      <c r="D561" s="58"/>
      <c r="E561" s="58"/>
      <c r="F561" s="58"/>
    </row>
    <row r="562">
      <c r="C562" s="58"/>
      <c r="D562" s="58"/>
      <c r="E562" s="58"/>
      <c r="F562" s="58"/>
    </row>
    <row r="563">
      <c r="C563" s="58"/>
      <c r="D563" s="58"/>
      <c r="E563" s="58"/>
      <c r="F563" s="58"/>
    </row>
    <row r="564">
      <c r="C564" s="58"/>
      <c r="D564" s="58"/>
      <c r="E564" s="58"/>
      <c r="F564" s="58"/>
    </row>
    <row r="565">
      <c r="C565" s="58"/>
      <c r="D565" s="58"/>
      <c r="E565" s="58"/>
      <c r="F565" s="58"/>
    </row>
    <row r="566">
      <c r="C566" s="58"/>
      <c r="D566" s="58"/>
      <c r="E566" s="58"/>
      <c r="F566" s="58"/>
    </row>
    <row r="567">
      <c r="C567" s="58"/>
      <c r="D567" s="58"/>
      <c r="E567" s="58"/>
      <c r="F567" s="58"/>
    </row>
    <row r="568">
      <c r="C568" s="58"/>
      <c r="D568" s="58"/>
      <c r="E568" s="58"/>
      <c r="F568" s="58"/>
    </row>
    <row r="569">
      <c r="C569" s="58"/>
      <c r="D569" s="58"/>
      <c r="E569" s="58"/>
      <c r="F569" s="58"/>
    </row>
    <row r="570">
      <c r="C570" s="58"/>
      <c r="D570" s="58"/>
      <c r="E570" s="58"/>
      <c r="F570" s="58"/>
    </row>
    <row r="571">
      <c r="C571" s="58"/>
      <c r="D571" s="58"/>
      <c r="E571" s="58"/>
      <c r="F571" s="58"/>
    </row>
    <row r="572">
      <c r="C572" s="58"/>
      <c r="D572" s="58"/>
      <c r="E572" s="58"/>
      <c r="F572" s="58"/>
    </row>
    <row r="573">
      <c r="C573" s="58"/>
      <c r="D573" s="58"/>
      <c r="E573" s="58"/>
      <c r="F573" s="58"/>
    </row>
    <row r="574">
      <c r="C574" s="58"/>
      <c r="D574" s="58"/>
      <c r="E574" s="58"/>
      <c r="F574" s="58"/>
    </row>
    <row r="575">
      <c r="C575" s="58"/>
      <c r="D575" s="58"/>
      <c r="E575" s="58"/>
      <c r="F575" s="58"/>
    </row>
    <row r="576">
      <c r="C576" s="58"/>
      <c r="D576" s="58"/>
      <c r="E576" s="58"/>
      <c r="F576" s="58"/>
    </row>
    <row r="577">
      <c r="C577" s="58"/>
      <c r="D577" s="58"/>
      <c r="E577" s="58"/>
      <c r="F577" s="58"/>
    </row>
    <row r="578">
      <c r="C578" s="58"/>
      <c r="D578" s="58"/>
      <c r="E578" s="58"/>
      <c r="F578" s="58"/>
    </row>
    <row r="579">
      <c r="C579" s="58"/>
      <c r="D579" s="58"/>
      <c r="E579" s="58"/>
      <c r="F579" s="58"/>
    </row>
    <row r="580">
      <c r="C580" s="58"/>
      <c r="D580" s="58"/>
      <c r="E580" s="58"/>
      <c r="F580" s="58"/>
    </row>
    <row r="581">
      <c r="C581" s="58"/>
      <c r="D581" s="58"/>
      <c r="E581" s="58"/>
      <c r="F581" s="58"/>
    </row>
    <row r="582">
      <c r="C582" s="58"/>
      <c r="D582" s="58"/>
      <c r="E582" s="58"/>
      <c r="F582" s="58"/>
    </row>
    <row r="583">
      <c r="C583" s="58"/>
      <c r="D583" s="58"/>
      <c r="E583" s="58"/>
      <c r="F583" s="58"/>
    </row>
    <row r="584">
      <c r="C584" s="58"/>
      <c r="D584" s="58"/>
      <c r="E584" s="58"/>
      <c r="F584" s="58"/>
    </row>
    <row r="585">
      <c r="C585" s="58"/>
      <c r="D585" s="58"/>
      <c r="E585" s="58"/>
      <c r="F585" s="58"/>
    </row>
    <row r="586">
      <c r="C586" s="58"/>
      <c r="D586" s="58"/>
      <c r="E586" s="58"/>
      <c r="F586" s="58"/>
    </row>
    <row r="587">
      <c r="C587" s="58"/>
      <c r="D587" s="58"/>
      <c r="E587" s="58"/>
      <c r="F587" s="58"/>
    </row>
    <row r="588">
      <c r="C588" s="58"/>
      <c r="D588" s="58"/>
      <c r="E588" s="58"/>
      <c r="F588" s="58"/>
    </row>
    <row r="589">
      <c r="C589" s="58"/>
      <c r="D589" s="58"/>
      <c r="E589" s="58"/>
      <c r="F589" s="58"/>
    </row>
    <row r="590">
      <c r="C590" s="58"/>
      <c r="D590" s="58"/>
      <c r="E590" s="58"/>
      <c r="F590" s="58"/>
    </row>
    <row r="591">
      <c r="C591" s="58"/>
      <c r="D591" s="58"/>
      <c r="E591" s="58"/>
      <c r="F591" s="58"/>
    </row>
    <row r="592">
      <c r="C592" s="58"/>
      <c r="D592" s="58"/>
      <c r="E592" s="58"/>
      <c r="F592" s="58"/>
    </row>
    <row r="593">
      <c r="C593" s="58"/>
      <c r="D593" s="58"/>
      <c r="E593" s="58"/>
      <c r="F593" s="58"/>
    </row>
    <row r="594">
      <c r="C594" s="58"/>
      <c r="D594" s="58"/>
      <c r="E594" s="58"/>
      <c r="F594" s="58"/>
    </row>
    <row r="595">
      <c r="C595" s="58"/>
      <c r="D595" s="58"/>
      <c r="E595" s="58"/>
      <c r="F595" s="58"/>
    </row>
    <row r="596">
      <c r="C596" s="58"/>
      <c r="D596" s="58"/>
      <c r="E596" s="58"/>
      <c r="F596" s="58"/>
    </row>
    <row r="597">
      <c r="C597" s="58"/>
      <c r="D597" s="58"/>
      <c r="E597" s="58"/>
      <c r="F597" s="58"/>
    </row>
    <row r="598">
      <c r="C598" s="58"/>
      <c r="D598" s="58"/>
      <c r="E598" s="58"/>
      <c r="F598" s="58"/>
    </row>
    <row r="599">
      <c r="C599" s="58"/>
      <c r="D599" s="58"/>
      <c r="E599" s="58"/>
      <c r="F599" s="58"/>
    </row>
    <row r="600">
      <c r="C600" s="58"/>
      <c r="D600" s="58"/>
      <c r="E600" s="58"/>
      <c r="F600" s="58"/>
    </row>
    <row r="601">
      <c r="C601" s="58"/>
      <c r="D601" s="58"/>
      <c r="E601" s="58"/>
      <c r="F601" s="58"/>
    </row>
    <row r="602">
      <c r="C602" s="58"/>
      <c r="D602" s="58"/>
      <c r="E602" s="58"/>
      <c r="F602" s="58"/>
    </row>
    <row r="603">
      <c r="C603" s="58"/>
      <c r="D603" s="58"/>
      <c r="E603" s="58"/>
      <c r="F603" s="58"/>
    </row>
    <row r="604">
      <c r="C604" s="58"/>
      <c r="D604" s="58"/>
      <c r="E604" s="58"/>
      <c r="F604" s="58"/>
    </row>
    <row r="605">
      <c r="C605" s="58"/>
      <c r="D605" s="58"/>
      <c r="E605" s="58"/>
      <c r="F605" s="58"/>
    </row>
    <row r="606">
      <c r="C606" s="58"/>
      <c r="D606" s="58"/>
      <c r="E606" s="58"/>
      <c r="F606" s="58"/>
    </row>
    <row r="607">
      <c r="C607" s="58"/>
      <c r="D607" s="58"/>
      <c r="E607" s="58"/>
      <c r="F607" s="58"/>
    </row>
    <row r="608">
      <c r="C608" s="58"/>
      <c r="D608" s="58"/>
      <c r="E608" s="58"/>
      <c r="F608" s="58"/>
    </row>
    <row r="609">
      <c r="C609" s="58"/>
      <c r="D609" s="58"/>
      <c r="E609" s="58"/>
      <c r="F609" s="58"/>
    </row>
    <row r="610">
      <c r="C610" s="58"/>
      <c r="D610" s="58"/>
      <c r="E610" s="58"/>
      <c r="F610" s="58"/>
    </row>
    <row r="611">
      <c r="C611" s="58"/>
      <c r="D611" s="58"/>
      <c r="E611" s="58"/>
      <c r="F611" s="58"/>
    </row>
    <row r="612">
      <c r="C612" s="58"/>
      <c r="D612" s="58"/>
      <c r="E612" s="58"/>
      <c r="F612" s="58"/>
    </row>
    <row r="613">
      <c r="C613" s="58"/>
      <c r="D613" s="58"/>
      <c r="E613" s="58"/>
      <c r="F613" s="58"/>
    </row>
    <row r="614">
      <c r="C614" s="58"/>
      <c r="D614" s="58"/>
      <c r="E614" s="58"/>
      <c r="F614" s="58"/>
    </row>
    <row r="615">
      <c r="C615" s="58"/>
      <c r="D615" s="58"/>
      <c r="E615" s="58"/>
      <c r="F615" s="58"/>
    </row>
    <row r="616">
      <c r="C616" s="58"/>
      <c r="D616" s="58"/>
      <c r="E616" s="58"/>
      <c r="F616" s="58"/>
    </row>
    <row r="617">
      <c r="C617" s="58"/>
      <c r="D617" s="58"/>
      <c r="E617" s="58"/>
      <c r="F617" s="58"/>
    </row>
    <row r="618">
      <c r="C618" s="58"/>
      <c r="D618" s="58"/>
      <c r="E618" s="58"/>
      <c r="F618" s="58"/>
    </row>
    <row r="619">
      <c r="C619" s="58"/>
      <c r="D619" s="58"/>
      <c r="E619" s="58"/>
      <c r="F619" s="58"/>
    </row>
    <row r="620">
      <c r="C620" s="58"/>
      <c r="D620" s="58"/>
      <c r="E620" s="58"/>
      <c r="F620" s="58"/>
    </row>
    <row r="621">
      <c r="C621" s="58"/>
      <c r="D621" s="58"/>
      <c r="E621" s="58"/>
      <c r="F621" s="58"/>
    </row>
    <row r="622">
      <c r="C622" s="58"/>
      <c r="D622" s="58"/>
      <c r="E622" s="58"/>
      <c r="F622" s="58"/>
    </row>
    <row r="623">
      <c r="C623" s="58"/>
      <c r="D623" s="58"/>
      <c r="E623" s="58"/>
      <c r="F623" s="58"/>
    </row>
    <row r="624">
      <c r="C624" s="58"/>
      <c r="D624" s="58"/>
      <c r="E624" s="58"/>
      <c r="F624" s="58"/>
    </row>
    <row r="625">
      <c r="C625" s="58"/>
      <c r="D625" s="58"/>
      <c r="E625" s="58"/>
      <c r="F625" s="58"/>
    </row>
    <row r="626">
      <c r="C626" s="58"/>
      <c r="D626" s="58"/>
      <c r="E626" s="58"/>
      <c r="F626" s="58"/>
    </row>
    <row r="627">
      <c r="C627" s="58"/>
      <c r="D627" s="58"/>
      <c r="E627" s="58"/>
      <c r="F627" s="58"/>
    </row>
    <row r="628">
      <c r="C628" s="58"/>
      <c r="D628" s="58"/>
      <c r="E628" s="58"/>
      <c r="F628" s="58"/>
    </row>
    <row r="629">
      <c r="C629" s="58"/>
      <c r="D629" s="58"/>
      <c r="E629" s="58"/>
      <c r="F629" s="58"/>
    </row>
    <row r="630">
      <c r="C630" s="58"/>
      <c r="D630" s="58"/>
      <c r="E630" s="58"/>
      <c r="F630" s="58"/>
    </row>
    <row r="631">
      <c r="C631" s="58"/>
      <c r="D631" s="58"/>
      <c r="E631" s="58"/>
      <c r="F631" s="58"/>
    </row>
    <row r="632">
      <c r="C632" s="58"/>
      <c r="D632" s="58"/>
      <c r="E632" s="58"/>
      <c r="F632" s="58"/>
    </row>
    <row r="633">
      <c r="C633" s="58"/>
      <c r="D633" s="58"/>
      <c r="E633" s="58"/>
      <c r="F633" s="58"/>
    </row>
    <row r="634">
      <c r="C634" s="58"/>
      <c r="D634" s="58"/>
      <c r="E634" s="58"/>
      <c r="F634" s="58"/>
    </row>
    <row r="635">
      <c r="C635" s="58"/>
      <c r="D635" s="58"/>
      <c r="E635" s="58"/>
      <c r="F635" s="58"/>
    </row>
    <row r="636">
      <c r="C636" s="58"/>
      <c r="D636" s="58"/>
      <c r="E636" s="58"/>
      <c r="F636" s="58"/>
    </row>
    <row r="637">
      <c r="C637" s="58"/>
      <c r="D637" s="58"/>
      <c r="E637" s="58"/>
      <c r="F637" s="58"/>
    </row>
    <row r="638">
      <c r="C638" s="58"/>
      <c r="D638" s="58"/>
      <c r="E638" s="58"/>
      <c r="F638" s="58"/>
    </row>
    <row r="639">
      <c r="C639" s="58"/>
      <c r="D639" s="58"/>
      <c r="E639" s="58"/>
      <c r="F639" s="58"/>
    </row>
    <row r="640">
      <c r="C640" s="58"/>
      <c r="D640" s="58"/>
      <c r="E640" s="58"/>
      <c r="F640" s="58"/>
    </row>
    <row r="641">
      <c r="C641" s="58"/>
      <c r="D641" s="58"/>
      <c r="E641" s="58"/>
      <c r="F641" s="58"/>
    </row>
    <row r="642">
      <c r="C642" s="58"/>
      <c r="D642" s="58"/>
      <c r="E642" s="58"/>
      <c r="F642" s="58"/>
    </row>
    <row r="643">
      <c r="C643" s="58"/>
      <c r="D643" s="58"/>
      <c r="E643" s="58"/>
      <c r="F643" s="58"/>
    </row>
    <row r="644">
      <c r="C644" s="58"/>
      <c r="D644" s="58"/>
      <c r="E644" s="58"/>
      <c r="F644" s="58"/>
    </row>
    <row r="645">
      <c r="C645" s="58"/>
      <c r="D645" s="58"/>
      <c r="E645" s="58"/>
      <c r="F645" s="58"/>
    </row>
    <row r="646">
      <c r="C646" s="58"/>
      <c r="D646" s="58"/>
      <c r="E646" s="58"/>
      <c r="F646" s="58"/>
    </row>
    <row r="647">
      <c r="C647" s="58"/>
      <c r="D647" s="58"/>
      <c r="E647" s="58"/>
      <c r="F647" s="58"/>
    </row>
    <row r="648">
      <c r="C648" s="58"/>
      <c r="D648" s="58"/>
      <c r="E648" s="58"/>
      <c r="F648" s="58"/>
    </row>
    <row r="649">
      <c r="C649" s="58"/>
      <c r="D649" s="58"/>
      <c r="E649" s="58"/>
      <c r="F649" s="58"/>
    </row>
    <row r="650">
      <c r="C650" s="58"/>
      <c r="D650" s="58"/>
      <c r="E650" s="58"/>
      <c r="F650" s="58"/>
    </row>
    <row r="651">
      <c r="C651" s="58"/>
      <c r="D651" s="58"/>
      <c r="E651" s="58"/>
      <c r="F651" s="58"/>
    </row>
    <row r="652">
      <c r="C652" s="58"/>
      <c r="D652" s="58"/>
      <c r="E652" s="58"/>
      <c r="F652" s="58"/>
    </row>
    <row r="653">
      <c r="C653" s="58"/>
      <c r="D653" s="58"/>
      <c r="E653" s="58"/>
      <c r="F653" s="58"/>
    </row>
    <row r="654">
      <c r="C654" s="58"/>
      <c r="D654" s="58"/>
      <c r="E654" s="58"/>
      <c r="F654" s="58"/>
    </row>
    <row r="655">
      <c r="C655" s="58"/>
      <c r="D655" s="58"/>
      <c r="E655" s="58"/>
      <c r="F655" s="58"/>
    </row>
    <row r="656">
      <c r="C656" s="58"/>
      <c r="D656" s="58"/>
      <c r="E656" s="58"/>
      <c r="F656" s="58"/>
    </row>
    <row r="657">
      <c r="C657" s="58"/>
      <c r="D657" s="58"/>
      <c r="E657" s="58"/>
      <c r="F657" s="58"/>
    </row>
    <row r="658">
      <c r="C658" s="58"/>
      <c r="D658" s="58"/>
      <c r="E658" s="58"/>
      <c r="F658" s="58"/>
    </row>
    <row r="659">
      <c r="C659" s="58"/>
      <c r="D659" s="58"/>
      <c r="E659" s="58"/>
      <c r="F659" s="58"/>
    </row>
    <row r="660">
      <c r="C660" s="58"/>
      <c r="D660" s="58"/>
      <c r="E660" s="58"/>
      <c r="F660" s="58"/>
    </row>
    <row r="661">
      <c r="C661" s="58"/>
      <c r="D661" s="58"/>
      <c r="E661" s="58"/>
      <c r="F661" s="58"/>
    </row>
    <row r="662">
      <c r="C662" s="58"/>
      <c r="D662" s="58"/>
      <c r="E662" s="58"/>
      <c r="F662" s="58"/>
    </row>
    <row r="663">
      <c r="C663" s="58"/>
      <c r="D663" s="58"/>
      <c r="E663" s="58"/>
      <c r="F663" s="58"/>
    </row>
    <row r="664">
      <c r="C664" s="58"/>
      <c r="D664" s="58"/>
      <c r="E664" s="58"/>
      <c r="F664" s="58"/>
    </row>
    <row r="665">
      <c r="C665" s="58"/>
      <c r="D665" s="58"/>
      <c r="E665" s="58"/>
      <c r="F665" s="58"/>
    </row>
    <row r="666">
      <c r="C666" s="58"/>
      <c r="D666" s="58"/>
      <c r="E666" s="58"/>
      <c r="F666" s="58"/>
    </row>
    <row r="667">
      <c r="C667" s="58"/>
      <c r="D667" s="58"/>
      <c r="E667" s="58"/>
      <c r="F667" s="58"/>
    </row>
    <row r="668">
      <c r="C668" s="58"/>
      <c r="D668" s="58"/>
      <c r="E668" s="58"/>
      <c r="F668" s="58"/>
    </row>
    <row r="669">
      <c r="C669" s="58"/>
      <c r="D669" s="58"/>
      <c r="E669" s="58"/>
      <c r="F669" s="58"/>
    </row>
    <row r="670">
      <c r="C670" s="58"/>
      <c r="D670" s="58"/>
      <c r="E670" s="58"/>
      <c r="F670" s="58"/>
    </row>
    <row r="671">
      <c r="C671" s="58"/>
      <c r="D671" s="58"/>
      <c r="E671" s="58"/>
      <c r="F671" s="58"/>
    </row>
    <row r="672">
      <c r="C672" s="58"/>
      <c r="D672" s="58"/>
      <c r="E672" s="58"/>
      <c r="F672" s="58"/>
    </row>
    <row r="673">
      <c r="C673" s="58"/>
      <c r="D673" s="58"/>
      <c r="E673" s="58"/>
      <c r="F673" s="58"/>
    </row>
    <row r="674">
      <c r="C674" s="58"/>
      <c r="D674" s="58"/>
      <c r="E674" s="58"/>
      <c r="F674" s="58"/>
    </row>
    <row r="675">
      <c r="C675" s="58"/>
      <c r="D675" s="58"/>
      <c r="E675" s="58"/>
      <c r="F675" s="58"/>
    </row>
    <row r="676">
      <c r="C676" s="58"/>
      <c r="D676" s="58"/>
      <c r="E676" s="58"/>
      <c r="F676" s="58"/>
    </row>
    <row r="677">
      <c r="C677" s="58"/>
      <c r="D677" s="58"/>
      <c r="E677" s="58"/>
      <c r="F677" s="58"/>
    </row>
    <row r="678">
      <c r="C678" s="58"/>
      <c r="D678" s="58"/>
      <c r="E678" s="58"/>
      <c r="F678" s="58"/>
    </row>
    <row r="679">
      <c r="C679" s="58"/>
      <c r="D679" s="58"/>
      <c r="E679" s="58"/>
      <c r="F679" s="58"/>
    </row>
    <row r="680">
      <c r="C680" s="58"/>
      <c r="D680" s="58"/>
      <c r="E680" s="58"/>
      <c r="F680" s="58"/>
    </row>
    <row r="681">
      <c r="C681" s="58"/>
      <c r="D681" s="58"/>
      <c r="E681" s="58"/>
      <c r="F681" s="58"/>
    </row>
    <row r="682">
      <c r="C682" s="58"/>
      <c r="D682" s="58"/>
      <c r="E682" s="58"/>
      <c r="F682" s="58"/>
    </row>
    <row r="683">
      <c r="C683" s="58"/>
      <c r="D683" s="58"/>
      <c r="E683" s="58"/>
      <c r="F683" s="58"/>
    </row>
    <row r="684">
      <c r="C684" s="58"/>
      <c r="D684" s="58"/>
      <c r="E684" s="58"/>
      <c r="F684" s="58"/>
    </row>
    <row r="685">
      <c r="C685" s="58"/>
      <c r="D685" s="58"/>
      <c r="E685" s="58"/>
      <c r="F685" s="58"/>
    </row>
    <row r="686">
      <c r="C686" s="58"/>
      <c r="D686" s="58"/>
      <c r="E686" s="58"/>
      <c r="F686" s="58"/>
    </row>
    <row r="687">
      <c r="C687" s="58"/>
      <c r="D687" s="58"/>
      <c r="E687" s="58"/>
      <c r="F687" s="58"/>
    </row>
    <row r="688">
      <c r="C688" s="58"/>
      <c r="D688" s="58"/>
      <c r="E688" s="58"/>
      <c r="F688" s="58"/>
    </row>
    <row r="689">
      <c r="C689" s="58"/>
      <c r="D689" s="58"/>
      <c r="E689" s="58"/>
      <c r="F689" s="58"/>
    </row>
    <row r="690">
      <c r="C690" s="58"/>
      <c r="D690" s="58"/>
      <c r="E690" s="58"/>
      <c r="F690" s="58"/>
    </row>
    <row r="691">
      <c r="C691" s="58"/>
      <c r="D691" s="58"/>
      <c r="E691" s="58"/>
      <c r="F691" s="58"/>
    </row>
    <row r="692">
      <c r="C692" s="58"/>
      <c r="D692" s="58"/>
      <c r="E692" s="58"/>
      <c r="F692" s="58"/>
    </row>
    <row r="693">
      <c r="C693" s="58"/>
      <c r="D693" s="58"/>
      <c r="E693" s="58"/>
      <c r="F693" s="58"/>
    </row>
    <row r="694">
      <c r="C694" s="58"/>
      <c r="D694" s="58"/>
      <c r="E694" s="58"/>
      <c r="F694" s="58"/>
    </row>
    <row r="695">
      <c r="C695" s="58"/>
      <c r="D695" s="58"/>
      <c r="E695" s="58"/>
      <c r="F695" s="58"/>
    </row>
    <row r="696">
      <c r="C696" s="58"/>
      <c r="D696" s="58"/>
      <c r="E696" s="58"/>
      <c r="F696" s="58"/>
    </row>
    <row r="697">
      <c r="C697" s="58"/>
      <c r="D697" s="58"/>
      <c r="E697" s="58"/>
      <c r="F697" s="58"/>
    </row>
    <row r="698">
      <c r="C698" s="58"/>
      <c r="D698" s="58"/>
      <c r="E698" s="58"/>
      <c r="F698" s="58"/>
    </row>
    <row r="699">
      <c r="C699" s="58"/>
      <c r="D699" s="58"/>
      <c r="E699" s="58"/>
      <c r="F699" s="58"/>
    </row>
    <row r="700">
      <c r="C700" s="58"/>
      <c r="D700" s="58"/>
      <c r="E700" s="58"/>
      <c r="F700" s="58"/>
    </row>
    <row r="701">
      <c r="C701" s="58"/>
      <c r="D701" s="58"/>
      <c r="E701" s="58"/>
      <c r="F701" s="58"/>
    </row>
    <row r="702">
      <c r="C702" s="58"/>
      <c r="D702" s="58"/>
      <c r="E702" s="58"/>
      <c r="F702" s="58"/>
    </row>
    <row r="703">
      <c r="C703" s="58"/>
      <c r="D703" s="58"/>
      <c r="E703" s="58"/>
      <c r="F703" s="58"/>
    </row>
    <row r="704">
      <c r="C704" s="58"/>
      <c r="D704" s="58"/>
      <c r="E704" s="58"/>
      <c r="F704" s="58"/>
    </row>
    <row r="705">
      <c r="C705" s="58"/>
      <c r="D705" s="58"/>
      <c r="E705" s="58"/>
      <c r="F705" s="58"/>
    </row>
    <row r="706">
      <c r="C706" s="58"/>
      <c r="D706" s="58"/>
      <c r="E706" s="58"/>
      <c r="F706" s="58"/>
    </row>
    <row r="707">
      <c r="C707" s="58"/>
      <c r="D707" s="58"/>
      <c r="E707" s="58"/>
      <c r="F707" s="58"/>
    </row>
    <row r="708">
      <c r="C708" s="58"/>
      <c r="D708" s="58"/>
      <c r="E708" s="58"/>
      <c r="F708" s="58"/>
    </row>
    <row r="709">
      <c r="C709" s="58"/>
      <c r="D709" s="58"/>
      <c r="E709" s="58"/>
      <c r="F709" s="58"/>
    </row>
    <row r="710">
      <c r="C710" s="58"/>
      <c r="D710" s="58"/>
      <c r="E710" s="58"/>
      <c r="F710" s="58"/>
    </row>
    <row r="711">
      <c r="C711" s="58"/>
      <c r="D711" s="58"/>
      <c r="E711" s="58"/>
      <c r="F711" s="58"/>
    </row>
    <row r="712">
      <c r="C712" s="58"/>
      <c r="D712" s="58"/>
      <c r="E712" s="58"/>
      <c r="F712" s="58"/>
    </row>
    <row r="713">
      <c r="C713" s="58"/>
      <c r="D713" s="58"/>
      <c r="E713" s="58"/>
      <c r="F713" s="58"/>
    </row>
    <row r="714">
      <c r="C714" s="58"/>
      <c r="D714" s="58"/>
      <c r="E714" s="58"/>
      <c r="F714" s="58"/>
    </row>
    <row r="715">
      <c r="C715" s="58"/>
      <c r="D715" s="58"/>
      <c r="E715" s="58"/>
      <c r="F715" s="58"/>
    </row>
    <row r="716">
      <c r="C716" s="58"/>
      <c r="D716" s="58"/>
      <c r="E716" s="58"/>
      <c r="F716" s="58"/>
    </row>
    <row r="717">
      <c r="C717" s="58"/>
      <c r="D717" s="58"/>
      <c r="E717" s="58"/>
      <c r="F717" s="58"/>
    </row>
    <row r="718">
      <c r="C718" s="58"/>
      <c r="D718" s="58"/>
      <c r="E718" s="58"/>
      <c r="F718" s="58"/>
    </row>
    <row r="719">
      <c r="C719" s="58"/>
      <c r="D719" s="58"/>
      <c r="E719" s="58"/>
      <c r="F719" s="58"/>
    </row>
    <row r="720">
      <c r="C720" s="58"/>
      <c r="D720" s="58"/>
      <c r="E720" s="58"/>
      <c r="F720" s="58"/>
    </row>
    <row r="721">
      <c r="C721" s="58"/>
      <c r="D721" s="58"/>
      <c r="E721" s="58"/>
      <c r="F721" s="58"/>
    </row>
    <row r="722">
      <c r="C722" s="58"/>
      <c r="D722" s="58"/>
      <c r="E722" s="58"/>
      <c r="F722" s="58"/>
    </row>
    <row r="723">
      <c r="C723" s="58"/>
      <c r="D723" s="58"/>
      <c r="E723" s="58"/>
      <c r="F723" s="58"/>
    </row>
    <row r="724">
      <c r="C724" s="58"/>
      <c r="D724" s="58"/>
      <c r="E724" s="58"/>
      <c r="F724" s="58"/>
    </row>
    <row r="725">
      <c r="C725" s="58"/>
      <c r="D725" s="58"/>
      <c r="E725" s="58"/>
      <c r="F725" s="58"/>
    </row>
    <row r="726">
      <c r="C726" s="58"/>
      <c r="D726" s="58"/>
      <c r="E726" s="58"/>
      <c r="F726" s="58"/>
    </row>
    <row r="727">
      <c r="C727" s="58"/>
      <c r="D727" s="58"/>
      <c r="E727" s="58"/>
      <c r="F727" s="58"/>
    </row>
    <row r="728">
      <c r="C728" s="58"/>
      <c r="D728" s="58"/>
      <c r="E728" s="58"/>
      <c r="F728" s="58"/>
    </row>
    <row r="729">
      <c r="C729" s="58"/>
      <c r="D729" s="58"/>
      <c r="E729" s="58"/>
      <c r="F729" s="58"/>
    </row>
    <row r="730">
      <c r="C730" s="58"/>
      <c r="D730" s="58"/>
      <c r="E730" s="58"/>
      <c r="F730" s="58"/>
    </row>
    <row r="731">
      <c r="C731" s="58"/>
      <c r="D731" s="58"/>
      <c r="E731" s="58"/>
      <c r="F731" s="58"/>
    </row>
    <row r="732">
      <c r="C732" s="58"/>
      <c r="D732" s="58"/>
      <c r="E732" s="58"/>
      <c r="F732" s="58"/>
    </row>
    <row r="733">
      <c r="C733" s="58"/>
      <c r="D733" s="58"/>
      <c r="E733" s="58"/>
      <c r="F733" s="58"/>
    </row>
    <row r="734">
      <c r="C734" s="58"/>
      <c r="D734" s="58"/>
      <c r="E734" s="58"/>
      <c r="F734" s="58"/>
    </row>
    <row r="735">
      <c r="C735" s="58"/>
      <c r="D735" s="58"/>
      <c r="E735" s="58"/>
      <c r="F735" s="58"/>
    </row>
    <row r="736">
      <c r="C736" s="58"/>
      <c r="D736" s="58"/>
      <c r="E736" s="58"/>
      <c r="F736" s="58"/>
    </row>
    <row r="737">
      <c r="C737" s="58"/>
      <c r="D737" s="58"/>
      <c r="E737" s="58"/>
      <c r="F737" s="58"/>
    </row>
    <row r="738">
      <c r="C738" s="58"/>
      <c r="D738" s="58"/>
      <c r="E738" s="58"/>
      <c r="F738" s="58"/>
    </row>
    <row r="739">
      <c r="C739" s="58"/>
      <c r="D739" s="58"/>
      <c r="E739" s="58"/>
      <c r="F739" s="58"/>
    </row>
    <row r="740">
      <c r="C740" s="58"/>
      <c r="D740" s="58"/>
      <c r="E740" s="58"/>
      <c r="F740" s="58"/>
    </row>
    <row r="741">
      <c r="C741" s="58"/>
      <c r="D741" s="58"/>
      <c r="E741" s="58"/>
      <c r="F741" s="58"/>
    </row>
    <row r="742">
      <c r="C742" s="58"/>
      <c r="D742" s="58"/>
      <c r="E742" s="58"/>
      <c r="F742" s="58"/>
    </row>
    <row r="743">
      <c r="C743" s="58"/>
      <c r="D743" s="58"/>
      <c r="E743" s="58"/>
      <c r="F743" s="58"/>
    </row>
    <row r="744">
      <c r="C744" s="58"/>
      <c r="D744" s="58"/>
      <c r="E744" s="58"/>
      <c r="F744" s="58"/>
    </row>
    <row r="745">
      <c r="C745" s="58"/>
      <c r="D745" s="58"/>
      <c r="E745" s="58"/>
      <c r="F745" s="58"/>
    </row>
    <row r="746">
      <c r="C746" s="58"/>
      <c r="D746" s="58"/>
      <c r="E746" s="58"/>
      <c r="F746" s="58"/>
    </row>
    <row r="747">
      <c r="C747" s="58"/>
      <c r="D747" s="58"/>
      <c r="E747" s="58"/>
      <c r="F747" s="58"/>
    </row>
    <row r="748">
      <c r="C748" s="58"/>
      <c r="D748" s="58"/>
      <c r="E748" s="58"/>
      <c r="F748" s="58"/>
    </row>
    <row r="749">
      <c r="C749" s="58"/>
      <c r="D749" s="58"/>
      <c r="E749" s="58"/>
      <c r="F749" s="58"/>
    </row>
    <row r="750">
      <c r="C750" s="58"/>
      <c r="D750" s="58"/>
      <c r="E750" s="58"/>
      <c r="F750" s="58"/>
    </row>
    <row r="751">
      <c r="C751" s="58"/>
      <c r="D751" s="58"/>
      <c r="E751" s="58"/>
      <c r="F751" s="58"/>
    </row>
    <row r="752">
      <c r="C752" s="58"/>
      <c r="D752" s="58"/>
      <c r="E752" s="58"/>
      <c r="F752" s="58"/>
    </row>
    <row r="753">
      <c r="C753" s="58"/>
      <c r="D753" s="58"/>
      <c r="E753" s="58"/>
      <c r="F753" s="58"/>
    </row>
    <row r="754">
      <c r="C754" s="58"/>
      <c r="D754" s="58"/>
      <c r="E754" s="58"/>
      <c r="F754" s="58"/>
    </row>
    <row r="755">
      <c r="C755" s="58"/>
      <c r="D755" s="58"/>
      <c r="E755" s="58"/>
      <c r="F755" s="58"/>
    </row>
    <row r="756">
      <c r="C756" s="58"/>
      <c r="D756" s="58"/>
      <c r="E756" s="58"/>
      <c r="F756" s="58"/>
    </row>
    <row r="757">
      <c r="C757" s="58"/>
      <c r="D757" s="58"/>
      <c r="E757" s="58"/>
      <c r="F757" s="58"/>
    </row>
    <row r="758">
      <c r="C758" s="58"/>
      <c r="D758" s="58"/>
      <c r="E758" s="58"/>
      <c r="F758" s="58"/>
    </row>
    <row r="759">
      <c r="C759" s="58"/>
      <c r="D759" s="58"/>
      <c r="E759" s="58"/>
      <c r="F759" s="58"/>
    </row>
    <row r="760">
      <c r="C760" s="58"/>
      <c r="D760" s="58"/>
      <c r="E760" s="58"/>
      <c r="F760" s="58"/>
    </row>
    <row r="761">
      <c r="C761" s="58"/>
      <c r="D761" s="58"/>
      <c r="E761" s="58"/>
      <c r="F761" s="58"/>
    </row>
    <row r="762">
      <c r="C762" s="58"/>
      <c r="D762" s="58"/>
      <c r="E762" s="58"/>
      <c r="F762" s="58"/>
    </row>
    <row r="763">
      <c r="C763" s="58"/>
      <c r="D763" s="58"/>
      <c r="E763" s="58"/>
      <c r="F763" s="58"/>
    </row>
    <row r="764">
      <c r="C764" s="58"/>
      <c r="D764" s="58"/>
      <c r="E764" s="58"/>
      <c r="F764" s="58"/>
    </row>
    <row r="765">
      <c r="C765" s="58"/>
      <c r="D765" s="58"/>
      <c r="E765" s="58"/>
      <c r="F765" s="58"/>
    </row>
    <row r="766">
      <c r="C766" s="58"/>
      <c r="D766" s="58"/>
      <c r="E766" s="58"/>
      <c r="F766" s="58"/>
    </row>
    <row r="767">
      <c r="C767" s="58"/>
      <c r="D767" s="58"/>
      <c r="E767" s="58"/>
      <c r="F767" s="58"/>
    </row>
    <row r="768">
      <c r="C768" s="58"/>
      <c r="D768" s="58"/>
      <c r="E768" s="58"/>
      <c r="F768" s="58"/>
    </row>
    <row r="769">
      <c r="C769" s="58"/>
      <c r="D769" s="58"/>
      <c r="E769" s="58"/>
      <c r="F769" s="58"/>
    </row>
    <row r="770">
      <c r="C770" s="58"/>
      <c r="D770" s="58"/>
      <c r="E770" s="58"/>
      <c r="F770" s="58"/>
    </row>
    <row r="771">
      <c r="C771" s="58"/>
      <c r="D771" s="58"/>
      <c r="E771" s="58"/>
      <c r="F771" s="58"/>
    </row>
    <row r="772">
      <c r="C772" s="58"/>
      <c r="D772" s="58"/>
      <c r="E772" s="58"/>
      <c r="F772" s="58"/>
    </row>
    <row r="773">
      <c r="C773" s="58"/>
      <c r="D773" s="58"/>
      <c r="E773" s="58"/>
      <c r="F773" s="58"/>
    </row>
    <row r="774">
      <c r="C774" s="58"/>
      <c r="D774" s="58"/>
      <c r="E774" s="58"/>
      <c r="F774" s="58"/>
    </row>
    <row r="775">
      <c r="C775" s="58"/>
      <c r="D775" s="58"/>
      <c r="E775" s="58"/>
      <c r="F775" s="58"/>
    </row>
    <row r="776">
      <c r="C776" s="58"/>
      <c r="D776" s="58"/>
      <c r="E776" s="58"/>
      <c r="F776" s="58"/>
    </row>
    <row r="777">
      <c r="C777" s="58"/>
      <c r="D777" s="58"/>
      <c r="E777" s="58"/>
      <c r="F777" s="58"/>
    </row>
    <row r="778">
      <c r="C778" s="58"/>
      <c r="D778" s="58"/>
      <c r="E778" s="58"/>
      <c r="F778" s="58"/>
    </row>
    <row r="779">
      <c r="C779" s="58"/>
      <c r="D779" s="58"/>
      <c r="E779" s="58"/>
      <c r="F779" s="58"/>
    </row>
    <row r="780">
      <c r="C780" s="58"/>
      <c r="D780" s="58"/>
      <c r="E780" s="58"/>
      <c r="F780" s="58"/>
    </row>
    <row r="781">
      <c r="C781" s="58"/>
      <c r="D781" s="58"/>
      <c r="E781" s="58"/>
      <c r="F781" s="58"/>
    </row>
    <row r="782">
      <c r="C782" s="58"/>
      <c r="D782" s="58"/>
      <c r="E782" s="58"/>
      <c r="F782" s="58"/>
    </row>
    <row r="783">
      <c r="C783" s="58"/>
      <c r="D783" s="58"/>
      <c r="E783" s="58"/>
      <c r="F783" s="58"/>
    </row>
    <row r="784">
      <c r="C784" s="58"/>
      <c r="D784" s="58"/>
      <c r="E784" s="58"/>
      <c r="F784" s="58"/>
    </row>
    <row r="785">
      <c r="C785" s="58"/>
      <c r="D785" s="58"/>
      <c r="E785" s="58"/>
      <c r="F785" s="58"/>
    </row>
    <row r="786">
      <c r="C786" s="58"/>
      <c r="D786" s="58"/>
      <c r="E786" s="58"/>
      <c r="F786" s="58"/>
    </row>
    <row r="787">
      <c r="C787" s="58"/>
      <c r="D787" s="58"/>
      <c r="E787" s="58"/>
      <c r="F787" s="58"/>
    </row>
    <row r="788">
      <c r="C788" s="58"/>
      <c r="D788" s="58"/>
      <c r="E788" s="58"/>
      <c r="F788" s="58"/>
    </row>
    <row r="789">
      <c r="C789" s="58"/>
      <c r="D789" s="58"/>
      <c r="E789" s="58"/>
      <c r="F789" s="58"/>
    </row>
    <row r="790">
      <c r="C790" s="58"/>
      <c r="D790" s="58"/>
      <c r="E790" s="58"/>
      <c r="F790" s="58"/>
    </row>
    <row r="791">
      <c r="C791" s="58"/>
      <c r="D791" s="58"/>
      <c r="E791" s="58"/>
      <c r="F791" s="58"/>
    </row>
    <row r="792">
      <c r="C792" s="58"/>
      <c r="D792" s="58"/>
      <c r="E792" s="58"/>
      <c r="F792" s="58"/>
    </row>
    <row r="793">
      <c r="C793" s="58"/>
      <c r="D793" s="58"/>
      <c r="E793" s="58"/>
      <c r="F793" s="58"/>
    </row>
    <row r="794">
      <c r="C794" s="58"/>
      <c r="D794" s="58"/>
      <c r="E794" s="58"/>
      <c r="F794" s="58"/>
    </row>
    <row r="795">
      <c r="C795" s="58"/>
      <c r="D795" s="58"/>
      <c r="E795" s="58"/>
      <c r="F795" s="58"/>
    </row>
    <row r="796">
      <c r="C796" s="58"/>
      <c r="D796" s="58"/>
      <c r="E796" s="58"/>
      <c r="F796" s="58"/>
    </row>
    <row r="797">
      <c r="C797" s="58"/>
      <c r="D797" s="58"/>
      <c r="E797" s="58"/>
      <c r="F797" s="58"/>
    </row>
    <row r="798">
      <c r="C798" s="58"/>
      <c r="D798" s="58"/>
      <c r="E798" s="58"/>
      <c r="F798" s="58"/>
    </row>
    <row r="799">
      <c r="C799" s="58"/>
      <c r="D799" s="58"/>
      <c r="E799" s="58"/>
      <c r="F799" s="58"/>
    </row>
    <row r="800">
      <c r="C800" s="58"/>
      <c r="D800" s="58"/>
      <c r="E800" s="58"/>
      <c r="F800" s="58"/>
    </row>
    <row r="801">
      <c r="C801" s="58"/>
      <c r="D801" s="58"/>
      <c r="E801" s="58"/>
      <c r="F801" s="58"/>
    </row>
    <row r="802">
      <c r="C802" s="58"/>
      <c r="D802" s="58"/>
      <c r="E802" s="58"/>
      <c r="F802" s="58"/>
    </row>
    <row r="803">
      <c r="C803" s="58"/>
      <c r="D803" s="58"/>
      <c r="E803" s="58"/>
      <c r="F803" s="58"/>
    </row>
    <row r="804">
      <c r="C804" s="58"/>
      <c r="D804" s="58"/>
      <c r="E804" s="58"/>
      <c r="F804" s="58"/>
    </row>
    <row r="805">
      <c r="C805" s="58"/>
      <c r="D805" s="58"/>
      <c r="E805" s="58"/>
      <c r="F805" s="58"/>
    </row>
    <row r="806">
      <c r="C806" s="58"/>
      <c r="D806" s="58"/>
      <c r="E806" s="58"/>
      <c r="F806" s="58"/>
    </row>
    <row r="807">
      <c r="C807" s="58"/>
      <c r="D807" s="58"/>
      <c r="E807" s="58"/>
      <c r="F807" s="58"/>
    </row>
    <row r="808">
      <c r="C808" s="58"/>
      <c r="D808" s="58"/>
      <c r="E808" s="58"/>
      <c r="F808" s="58"/>
    </row>
    <row r="809">
      <c r="C809" s="58"/>
      <c r="D809" s="58"/>
      <c r="E809" s="58"/>
      <c r="F809" s="58"/>
    </row>
    <row r="810">
      <c r="C810" s="58"/>
      <c r="D810" s="58"/>
      <c r="E810" s="58"/>
      <c r="F810" s="58"/>
    </row>
    <row r="811">
      <c r="C811" s="58"/>
      <c r="D811" s="58"/>
      <c r="E811" s="58"/>
      <c r="F811" s="58"/>
    </row>
    <row r="812">
      <c r="C812" s="58"/>
      <c r="D812" s="58"/>
      <c r="E812" s="58"/>
      <c r="F812" s="58"/>
    </row>
    <row r="813">
      <c r="C813" s="58"/>
      <c r="D813" s="58"/>
      <c r="E813" s="58"/>
      <c r="F813" s="58"/>
    </row>
    <row r="814">
      <c r="C814" s="58"/>
      <c r="D814" s="58"/>
      <c r="E814" s="58"/>
      <c r="F814" s="58"/>
    </row>
    <row r="815">
      <c r="C815" s="58"/>
      <c r="D815" s="58"/>
      <c r="E815" s="58"/>
      <c r="F815" s="58"/>
    </row>
    <row r="816">
      <c r="C816" s="58"/>
      <c r="D816" s="58"/>
      <c r="E816" s="58"/>
      <c r="F816" s="58"/>
    </row>
    <row r="817">
      <c r="C817" s="58"/>
      <c r="D817" s="58"/>
      <c r="E817" s="58"/>
      <c r="F817" s="58"/>
    </row>
    <row r="818">
      <c r="C818" s="58"/>
      <c r="D818" s="58"/>
      <c r="E818" s="58"/>
      <c r="F818" s="58"/>
    </row>
    <row r="819">
      <c r="C819" s="58"/>
      <c r="D819" s="58"/>
      <c r="E819" s="58"/>
      <c r="F819" s="58"/>
    </row>
    <row r="820">
      <c r="C820" s="58"/>
      <c r="D820" s="58"/>
      <c r="E820" s="58"/>
      <c r="F820" s="58"/>
    </row>
    <row r="821">
      <c r="C821" s="58"/>
      <c r="D821" s="58"/>
      <c r="E821" s="58"/>
      <c r="F821" s="58"/>
    </row>
    <row r="822">
      <c r="C822" s="58"/>
      <c r="D822" s="58"/>
      <c r="E822" s="58"/>
      <c r="F822" s="58"/>
    </row>
    <row r="823">
      <c r="C823" s="58"/>
      <c r="D823" s="58"/>
      <c r="E823" s="58"/>
      <c r="F823" s="58"/>
    </row>
    <row r="824">
      <c r="C824" s="58"/>
      <c r="D824" s="58"/>
      <c r="E824" s="58"/>
      <c r="F824" s="58"/>
    </row>
    <row r="825">
      <c r="C825" s="58"/>
      <c r="D825" s="58"/>
      <c r="E825" s="58"/>
      <c r="F825" s="58"/>
    </row>
    <row r="826">
      <c r="C826" s="58"/>
      <c r="D826" s="58"/>
      <c r="E826" s="58"/>
      <c r="F826" s="58"/>
    </row>
    <row r="827">
      <c r="C827" s="58"/>
      <c r="D827" s="58"/>
      <c r="E827" s="58"/>
      <c r="F827" s="58"/>
    </row>
    <row r="828">
      <c r="C828" s="58"/>
      <c r="D828" s="58"/>
      <c r="E828" s="58"/>
      <c r="F828" s="58"/>
    </row>
    <row r="829">
      <c r="C829" s="58"/>
      <c r="D829" s="58"/>
      <c r="E829" s="58"/>
      <c r="F829" s="58"/>
    </row>
    <row r="830">
      <c r="C830" s="58"/>
      <c r="D830" s="58"/>
      <c r="E830" s="58"/>
      <c r="F830" s="58"/>
    </row>
    <row r="831">
      <c r="C831" s="58"/>
      <c r="D831" s="58"/>
      <c r="E831" s="58"/>
      <c r="F831" s="58"/>
    </row>
    <row r="832">
      <c r="C832" s="58"/>
      <c r="D832" s="58"/>
      <c r="E832" s="58"/>
      <c r="F832" s="58"/>
    </row>
    <row r="833">
      <c r="C833" s="58"/>
      <c r="D833" s="58"/>
      <c r="E833" s="58"/>
      <c r="F833" s="58"/>
    </row>
    <row r="834">
      <c r="C834" s="58"/>
      <c r="D834" s="58"/>
      <c r="E834" s="58"/>
      <c r="F834" s="58"/>
    </row>
    <row r="835">
      <c r="C835" s="58"/>
      <c r="D835" s="58"/>
      <c r="E835" s="58"/>
      <c r="F835" s="58"/>
    </row>
    <row r="836">
      <c r="C836" s="58"/>
      <c r="D836" s="58"/>
      <c r="E836" s="58"/>
      <c r="F836" s="58"/>
    </row>
    <row r="837">
      <c r="C837" s="58"/>
      <c r="D837" s="58"/>
      <c r="E837" s="58"/>
      <c r="F837" s="58"/>
    </row>
    <row r="838">
      <c r="C838" s="58"/>
      <c r="D838" s="58"/>
      <c r="E838" s="58"/>
      <c r="F838" s="58"/>
    </row>
    <row r="839">
      <c r="C839" s="58"/>
      <c r="D839" s="58"/>
      <c r="E839" s="58"/>
      <c r="F839" s="58"/>
    </row>
    <row r="840">
      <c r="C840" s="58"/>
      <c r="D840" s="58"/>
      <c r="E840" s="58"/>
      <c r="F840" s="58"/>
    </row>
    <row r="841">
      <c r="C841" s="58"/>
      <c r="D841" s="58"/>
      <c r="E841" s="58"/>
      <c r="F841" s="58"/>
    </row>
    <row r="842">
      <c r="C842" s="58"/>
      <c r="D842" s="58"/>
      <c r="E842" s="58"/>
      <c r="F842" s="58"/>
    </row>
    <row r="843">
      <c r="C843" s="58"/>
      <c r="D843" s="58"/>
      <c r="E843" s="58"/>
      <c r="F843" s="58"/>
    </row>
    <row r="844">
      <c r="C844" s="58"/>
      <c r="D844" s="58"/>
      <c r="E844" s="58"/>
      <c r="F844" s="58"/>
    </row>
    <row r="845">
      <c r="C845" s="58"/>
      <c r="D845" s="58"/>
      <c r="E845" s="58"/>
      <c r="F845" s="58"/>
    </row>
    <row r="846">
      <c r="C846" s="58"/>
      <c r="D846" s="58"/>
      <c r="E846" s="58"/>
      <c r="F846" s="58"/>
    </row>
    <row r="847">
      <c r="C847" s="58"/>
      <c r="D847" s="58"/>
      <c r="E847" s="58"/>
      <c r="F847" s="58"/>
    </row>
    <row r="848">
      <c r="C848" s="58"/>
      <c r="D848" s="58"/>
      <c r="E848" s="58"/>
      <c r="F848" s="58"/>
    </row>
    <row r="849">
      <c r="C849" s="58"/>
      <c r="D849" s="58"/>
      <c r="E849" s="58"/>
      <c r="F849" s="58"/>
    </row>
    <row r="850">
      <c r="C850" s="58"/>
      <c r="D850" s="58"/>
      <c r="E850" s="58"/>
      <c r="F850" s="58"/>
    </row>
    <row r="851">
      <c r="C851" s="58"/>
      <c r="D851" s="58"/>
      <c r="E851" s="58"/>
      <c r="F851" s="58"/>
    </row>
    <row r="852">
      <c r="C852" s="58"/>
      <c r="D852" s="58"/>
      <c r="E852" s="58"/>
      <c r="F852" s="58"/>
    </row>
    <row r="853">
      <c r="C853" s="58"/>
      <c r="D853" s="58"/>
      <c r="E853" s="58"/>
      <c r="F853" s="58"/>
    </row>
    <row r="854">
      <c r="C854" s="58"/>
      <c r="D854" s="58"/>
      <c r="E854" s="58"/>
      <c r="F854" s="58"/>
    </row>
    <row r="855">
      <c r="C855" s="58"/>
      <c r="D855" s="58"/>
      <c r="E855" s="58"/>
      <c r="F855" s="58"/>
    </row>
    <row r="856">
      <c r="C856" s="58"/>
      <c r="D856" s="58"/>
      <c r="E856" s="58"/>
      <c r="F856" s="58"/>
    </row>
    <row r="857">
      <c r="C857" s="58"/>
      <c r="D857" s="58"/>
      <c r="E857" s="58"/>
      <c r="F857" s="58"/>
    </row>
    <row r="858">
      <c r="C858" s="58"/>
      <c r="D858" s="58"/>
      <c r="E858" s="58"/>
      <c r="F858" s="58"/>
    </row>
    <row r="859">
      <c r="C859" s="58"/>
      <c r="D859" s="58"/>
      <c r="E859" s="58"/>
      <c r="F859" s="58"/>
    </row>
    <row r="860">
      <c r="C860" s="58"/>
      <c r="D860" s="58"/>
      <c r="E860" s="58"/>
      <c r="F860" s="58"/>
    </row>
    <row r="861">
      <c r="C861" s="58"/>
      <c r="D861" s="58"/>
      <c r="E861" s="58"/>
      <c r="F861" s="58"/>
    </row>
    <row r="862">
      <c r="C862" s="58"/>
      <c r="D862" s="58"/>
      <c r="E862" s="58"/>
      <c r="F862" s="58"/>
    </row>
    <row r="863">
      <c r="C863" s="58"/>
      <c r="D863" s="58"/>
      <c r="E863" s="58"/>
      <c r="F863" s="58"/>
    </row>
    <row r="864">
      <c r="C864" s="58"/>
      <c r="D864" s="58"/>
      <c r="E864" s="58"/>
      <c r="F864" s="58"/>
    </row>
    <row r="865">
      <c r="C865" s="58"/>
      <c r="D865" s="58"/>
      <c r="E865" s="58"/>
      <c r="F865" s="58"/>
    </row>
    <row r="866">
      <c r="C866" s="58"/>
      <c r="D866" s="58"/>
      <c r="E866" s="58"/>
      <c r="F866" s="58"/>
    </row>
    <row r="867">
      <c r="C867" s="58"/>
      <c r="D867" s="58"/>
      <c r="E867" s="58"/>
      <c r="F867" s="58"/>
    </row>
    <row r="868">
      <c r="C868" s="58"/>
      <c r="D868" s="58"/>
      <c r="E868" s="58"/>
      <c r="F868" s="58"/>
    </row>
    <row r="869">
      <c r="C869" s="58"/>
      <c r="D869" s="58"/>
      <c r="E869" s="58"/>
      <c r="F869" s="58"/>
    </row>
    <row r="870">
      <c r="C870" s="58"/>
      <c r="D870" s="58"/>
      <c r="E870" s="58"/>
      <c r="F870" s="58"/>
    </row>
    <row r="871">
      <c r="C871" s="58"/>
      <c r="D871" s="58"/>
      <c r="E871" s="58"/>
      <c r="F871" s="58"/>
    </row>
    <row r="872">
      <c r="C872" s="58"/>
      <c r="D872" s="58"/>
      <c r="E872" s="58"/>
      <c r="F872" s="58"/>
    </row>
    <row r="873">
      <c r="C873" s="58"/>
      <c r="D873" s="58"/>
      <c r="E873" s="58"/>
      <c r="F873" s="58"/>
    </row>
    <row r="874">
      <c r="C874" s="58"/>
      <c r="D874" s="58"/>
      <c r="E874" s="58"/>
      <c r="F874" s="58"/>
    </row>
    <row r="875">
      <c r="C875" s="58"/>
      <c r="D875" s="58"/>
      <c r="E875" s="58"/>
      <c r="F875" s="58"/>
    </row>
    <row r="876">
      <c r="C876" s="58"/>
      <c r="D876" s="58"/>
      <c r="E876" s="58"/>
      <c r="F876" s="58"/>
    </row>
    <row r="877">
      <c r="C877" s="58"/>
      <c r="D877" s="58"/>
      <c r="E877" s="58"/>
      <c r="F877" s="58"/>
    </row>
    <row r="878">
      <c r="C878" s="58"/>
      <c r="D878" s="58"/>
      <c r="E878" s="58"/>
      <c r="F878" s="58"/>
    </row>
    <row r="879">
      <c r="C879" s="58"/>
      <c r="D879" s="58"/>
      <c r="E879" s="58"/>
      <c r="F879" s="58"/>
    </row>
    <row r="880">
      <c r="C880" s="58"/>
      <c r="D880" s="58"/>
      <c r="E880" s="58"/>
      <c r="F880" s="58"/>
    </row>
    <row r="881">
      <c r="C881" s="58"/>
      <c r="D881" s="58"/>
      <c r="E881" s="58"/>
      <c r="F881" s="58"/>
    </row>
    <row r="882">
      <c r="C882" s="58"/>
      <c r="D882" s="58"/>
      <c r="E882" s="58"/>
      <c r="F882" s="58"/>
    </row>
    <row r="883">
      <c r="C883" s="58"/>
      <c r="D883" s="58"/>
      <c r="E883" s="58"/>
      <c r="F883" s="58"/>
    </row>
    <row r="884">
      <c r="C884" s="58"/>
      <c r="D884" s="58"/>
      <c r="E884" s="58"/>
      <c r="F884" s="58"/>
    </row>
    <row r="885">
      <c r="C885" s="58"/>
      <c r="D885" s="58"/>
      <c r="E885" s="58"/>
      <c r="F885" s="58"/>
    </row>
    <row r="886">
      <c r="C886" s="58"/>
      <c r="D886" s="58"/>
      <c r="E886" s="58"/>
      <c r="F886" s="58"/>
    </row>
    <row r="887">
      <c r="C887" s="58"/>
      <c r="D887" s="58"/>
      <c r="E887" s="58"/>
      <c r="F887" s="58"/>
    </row>
    <row r="888">
      <c r="C888" s="58"/>
      <c r="D888" s="58"/>
      <c r="E888" s="58"/>
      <c r="F888" s="58"/>
    </row>
    <row r="889">
      <c r="C889" s="58"/>
      <c r="D889" s="58"/>
      <c r="E889" s="58"/>
      <c r="F889" s="58"/>
    </row>
    <row r="890">
      <c r="C890" s="58"/>
      <c r="D890" s="58"/>
      <c r="E890" s="58"/>
      <c r="F890" s="58"/>
    </row>
    <row r="891">
      <c r="C891" s="58"/>
      <c r="D891" s="58"/>
      <c r="E891" s="58"/>
      <c r="F891" s="58"/>
    </row>
    <row r="892">
      <c r="C892" s="58"/>
      <c r="D892" s="58"/>
      <c r="E892" s="58"/>
      <c r="F892" s="58"/>
    </row>
    <row r="893">
      <c r="C893" s="58"/>
      <c r="D893" s="58"/>
      <c r="E893" s="58"/>
      <c r="F893" s="58"/>
    </row>
    <row r="894">
      <c r="C894" s="58"/>
      <c r="D894" s="58"/>
      <c r="E894" s="58"/>
      <c r="F894" s="58"/>
    </row>
    <row r="895">
      <c r="C895" s="58"/>
      <c r="D895" s="58"/>
      <c r="E895" s="58"/>
      <c r="F895" s="58"/>
    </row>
    <row r="896">
      <c r="C896" s="58"/>
      <c r="D896" s="58"/>
      <c r="E896" s="58"/>
      <c r="F896" s="58"/>
    </row>
    <row r="897">
      <c r="C897" s="58"/>
      <c r="D897" s="58"/>
      <c r="E897" s="58"/>
      <c r="F897" s="58"/>
    </row>
    <row r="898">
      <c r="C898" s="58"/>
      <c r="D898" s="58"/>
      <c r="E898" s="58"/>
      <c r="F898" s="58"/>
    </row>
    <row r="899">
      <c r="C899" s="58"/>
      <c r="D899" s="58"/>
      <c r="E899" s="58"/>
      <c r="F899" s="58"/>
    </row>
    <row r="900">
      <c r="C900" s="58"/>
      <c r="D900" s="58"/>
      <c r="E900" s="58"/>
      <c r="F900" s="58"/>
    </row>
    <row r="901">
      <c r="C901" s="58"/>
      <c r="D901" s="58"/>
      <c r="E901" s="58"/>
      <c r="F901" s="58"/>
    </row>
    <row r="902">
      <c r="C902" s="58"/>
      <c r="D902" s="58"/>
      <c r="E902" s="58"/>
      <c r="F902" s="58"/>
    </row>
    <row r="903">
      <c r="C903" s="58"/>
      <c r="D903" s="58"/>
      <c r="E903" s="58"/>
      <c r="F903" s="58"/>
    </row>
    <row r="904">
      <c r="C904" s="58"/>
      <c r="D904" s="58"/>
      <c r="E904" s="58"/>
      <c r="F904" s="58"/>
    </row>
    <row r="905">
      <c r="C905" s="58"/>
      <c r="D905" s="58"/>
      <c r="E905" s="58"/>
      <c r="F905" s="58"/>
    </row>
    <row r="906">
      <c r="C906" s="58"/>
      <c r="D906" s="58"/>
      <c r="E906" s="58"/>
      <c r="F906" s="58"/>
    </row>
    <row r="907">
      <c r="C907" s="58"/>
      <c r="D907" s="58"/>
      <c r="E907" s="58"/>
      <c r="F907" s="58"/>
    </row>
    <row r="908">
      <c r="C908" s="58"/>
      <c r="D908" s="58"/>
      <c r="E908" s="58"/>
      <c r="F908" s="58"/>
    </row>
    <row r="909">
      <c r="C909" s="58"/>
      <c r="D909" s="58"/>
      <c r="E909" s="58"/>
      <c r="F909" s="58"/>
    </row>
    <row r="910">
      <c r="C910" s="58"/>
      <c r="D910" s="58"/>
      <c r="E910" s="58"/>
      <c r="F910" s="58"/>
    </row>
    <row r="911">
      <c r="C911" s="58"/>
      <c r="D911" s="58"/>
      <c r="E911" s="58"/>
      <c r="F911" s="58"/>
    </row>
    <row r="912">
      <c r="C912" s="58"/>
      <c r="D912" s="58"/>
      <c r="E912" s="58"/>
      <c r="F912" s="58"/>
    </row>
    <row r="913">
      <c r="C913" s="58"/>
      <c r="D913" s="58"/>
      <c r="E913" s="58"/>
      <c r="F913" s="58"/>
    </row>
    <row r="914">
      <c r="C914" s="58"/>
      <c r="D914" s="58"/>
      <c r="E914" s="58"/>
      <c r="F914" s="58"/>
    </row>
    <row r="915">
      <c r="C915" s="58"/>
      <c r="D915" s="58"/>
      <c r="E915" s="58"/>
      <c r="F915" s="58"/>
    </row>
    <row r="916">
      <c r="C916" s="58"/>
      <c r="D916" s="58"/>
      <c r="E916" s="58"/>
      <c r="F916" s="58"/>
    </row>
    <row r="917">
      <c r="C917" s="58"/>
      <c r="D917" s="58"/>
      <c r="E917" s="58"/>
      <c r="F917" s="58"/>
    </row>
    <row r="918">
      <c r="C918" s="58"/>
      <c r="D918" s="58"/>
      <c r="E918" s="58"/>
      <c r="F918" s="58"/>
    </row>
    <row r="919">
      <c r="C919" s="58"/>
      <c r="D919" s="58"/>
      <c r="E919" s="58"/>
      <c r="F919" s="58"/>
    </row>
    <row r="920">
      <c r="C920" s="58"/>
      <c r="D920" s="58"/>
      <c r="E920" s="58"/>
      <c r="F920" s="58"/>
    </row>
    <row r="921">
      <c r="C921" s="58"/>
      <c r="D921" s="58"/>
      <c r="E921" s="58"/>
      <c r="F921" s="58"/>
    </row>
    <row r="922">
      <c r="C922" s="58"/>
      <c r="D922" s="58"/>
      <c r="E922" s="58"/>
      <c r="F922" s="58"/>
    </row>
    <row r="923">
      <c r="C923" s="58"/>
      <c r="D923" s="58"/>
      <c r="E923" s="58"/>
      <c r="F923" s="58"/>
    </row>
    <row r="924">
      <c r="C924" s="58"/>
      <c r="D924" s="58"/>
      <c r="E924" s="58"/>
      <c r="F924" s="58"/>
    </row>
    <row r="925">
      <c r="C925" s="58"/>
      <c r="D925" s="58"/>
      <c r="E925" s="58"/>
      <c r="F925" s="58"/>
    </row>
    <row r="926">
      <c r="C926" s="58"/>
      <c r="D926" s="58"/>
      <c r="E926" s="58"/>
      <c r="F926" s="58"/>
    </row>
    <row r="927">
      <c r="C927" s="58"/>
      <c r="D927" s="58"/>
      <c r="E927" s="58"/>
      <c r="F927" s="58"/>
    </row>
    <row r="928">
      <c r="C928" s="58"/>
      <c r="D928" s="58"/>
      <c r="E928" s="58"/>
      <c r="F928" s="58"/>
    </row>
    <row r="929">
      <c r="C929" s="58"/>
      <c r="D929" s="58"/>
      <c r="E929" s="58"/>
      <c r="F929" s="58"/>
    </row>
    <row r="930">
      <c r="C930" s="58"/>
      <c r="D930" s="58"/>
      <c r="E930" s="58"/>
      <c r="F930" s="58"/>
    </row>
    <row r="931">
      <c r="C931" s="58"/>
      <c r="D931" s="58"/>
      <c r="E931" s="58"/>
      <c r="F931" s="58"/>
    </row>
    <row r="932">
      <c r="C932" s="58"/>
      <c r="D932" s="58"/>
      <c r="E932" s="58"/>
      <c r="F932" s="58"/>
    </row>
    <row r="933">
      <c r="C933" s="58"/>
      <c r="D933" s="58"/>
      <c r="E933" s="58"/>
      <c r="F933" s="58"/>
    </row>
    <row r="934">
      <c r="C934" s="58"/>
      <c r="D934" s="58"/>
      <c r="E934" s="58"/>
      <c r="F934" s="58"/>
    </row>
    <row r="935">
      <c r="C935" s="58"/>
      <c r="D935" s="58"/>
      <c r="E935" s="58"/>
      <c r="F935" s="58"/>
    </row>
    <row r="936">
      <c r="C936" s="58"/>
      <c r="D936" s="58"/>
      <c r="E936" s="58"/>
      <c r="F936" s="58"/>
    </row>
    <row r="937">
      <c r="C937" s="58"/>
      <c r="D937" s="58"/>
      <c r="E937" s="58"/>
      <c r="F937" s="58"/>
    </row>
    <row r="938">
      <c r="C938" s="58"/>
      <c r="D938" s="58"/>
      <c r="E938" s="58"/>
      <c r="F938" s="58"/>
    </row>
    <row r="939">
      <c r="C939" s="58"/>
      <c r="D939" s="58"/>
      <c r="E939" s="58"/>
      <c r="F939" s="58"/>
    </row>
    <row r="940">
      <c r="C940" s="58"/>
      <c r="D940" s="58"/>
      <c r="E940" s="58"/>
      <c r="F940" s="58"/>
    </row>
    <row r="941">
      <c r="C941" s="58"/>
      <c r="D941" s="58"/>
      <c r="E941" s="58"/>
      <c r="F941" s="58"/>
    </row>
    <row r="942">
      <c r="C942" s="58"/>
      <c r="D942" s="58"/>
      <c r="E942" s="58"/>
      <c r="F942" s="58"/>
    </row>
    <row r="943">
      <c r="C943" s="58"/>
      <c r="D943" s="58"/>
      <c r="E943" s="58"/>
      <c r="F943" s="58"/>
    </row>
    <row r="944">
      <c r="C944" s="58"/>
      <c r="D944" s="58"/>
      <c r="E944" s="58"/>
      <c r="F944" s="58"/>
    </row>
    <row r="945">
      <c r="C945" s="58"/>
      <c r="D945" s="58"/>
      <c r="E945" s="58"/>
      <c r="F945" s="58"/>
    </row>
    <row r="946">
      <c r="C946" s="58"/>
      <c r="D946" s="58"/>
      <c r="E946" s="58"/>
      <c r="F946" s="58"/>
    </row>
    <row r="947">
      <c r="C947" s="58"/>
      <c r="D947" s="58"/>
      <c r="E947" s="58"/>
      <c r="F947" s="58"/>
    </row>
    <row r="948">
      <c r="C948" s="58"/>
      <c r="D948" s="58"/>
      <c r="E948" s="58"/>
      <c r="F948" s="58"/>
    </row>
    <row r="949">
      <c r="C949" s="58"/>
      <c r="D949" s="58"/>
      <c r="E949" s="58"/>
      <c r="F949" s="58"/>
    </row>
    <row r="950">
      <c r="C950" s="58"/>
      <c r="D950" s="58"/>
      <c r="E950" s="58"/>
      <c r="F950" s="58"/>
    </row>
    <row r="951">
      <c r="C951" s="58"/>
      <c r="D951" s="58"/>
      <c r="E951" s="58"/>
      <c r="F951" s="58"/>
    </row>
    <row r="952">
      <c r="C952" s="58"/>
      <c r="D952" s="58"/>
      <c r="E952" s="58"/>
      <c r="F952" s="58"/>
    </row>
    <row r="953">
      <c r="C953" s="58"/>
      <c r="D953" s="58"/>
      <c r="E953" s="58"/>
      <c r="F953" s="58"/>
    </row>
    <row r="954">
      <c r="C954" s="58"/>
      <c r="D954" s="58"/>
      <c r="E954" s="58"/>
      <c r="F954" s="58"/>
    </row>
    <row r="955">
      <c r="C955" s="58"/>
      <c r="D955" s="58"/>
      <c r="E955" s="58"/>
      <c r="F955" s="58"/>
    </row>
    <row r="956">
      <c r="C956" s="58"/>
      <c r="D956" s="58"/>
      <c r="E956" s="58"/>
      <c r="F956" s="58"/>
    </row>
    <row r="957">
      <c r="C957" s="58"/>
      <c r="D957" s="58"/>
      <c r="E957" s="58"/>
      <c r="F957" s="58"/>
    </row>
    <row r="958">
      <c r="C958" s="58"/>
      <c r="D958" s="58"/>
      <c r="E958" s="58"/>
      <c r="F958" s="58"/>
    </row>
    <row r="959">
      <c r="C959" s="58"/>
      <c r="D959" s="58"/>
      <c r="E959" s="58"/>
      <c r="F959" s="58"/>
    </row>
    <row r="960">
      <c r="C960" s="58"/>
      <c r="D960" s="58"/>
      <c r="E960" s="58"/>
      <c r="F960" s="58"/>
    </row>
    <row r="961">
      <c r="C961" s="58"/>
      <c r="D961" s="58"/>
      <c r="E961" s="58"/>
      <c r="F961" s="58"/>
    </row>
    <row r="962">
      <c r="C962" s="58"/>
      <c r="D962" s="58"/>
      <c r="E962" s="58"/>
      <c r="F962" s="58"/>
    </row>
    <row r="963">
      <c r="C963" s="58"/>
      <c r="D963" s="58"/>
      <c r="E963" s="58"/>
      <c r="F963" s="58"/>
    </row>
    <row r="964">
      <c r="C964" s="58"/>
      <c r="D964" s="58"/>
      <c r="E964" s="58"/>
      <c r="F964" s="58"/>
    </row>
    <row r="965">
      <c r="C965" s="58"/>
      <c r="D965" s="58"/>
      <c r="E965" s="58"/>
      <c r="F965" s="58"/>
    </row>
    <row r="966">
      <c r="C966" s="58"/>
      <c r="D966" s="58"/>
      <c r="E966" s="58"/>
      <c r="F966" s="58"/>
    </row>
    <row r="967">
      <c r="C967" s="58"/>
      <c r="D967" s="58"/>
      <c r="E967" s="58"/>
      <c r="F967" s="58"/>
    </row>
    <row r="968">
      <c r="C968" s="58"/>
      <c r="D968" s="58"/>
      <c r="E968" s="58"/>
      <c r="F968" s="58"/>
    </row>
    <row r="969">
      <c r="C969" s="58"/>
      <c r="D969" s="58"/>
      <c r="E969" s="58"/>
      <c r="F969" s="58"/>
    </row>
    <row r="970">
      <c r="C970" s="58"/>
      <c r="D970" s="58"/>
      <c r="E970" s="58"/>
      <c r="F970" s="58"/>
    </row>
    <row r="971">
      <c r="C971" s="58"/>
      <c r="D971" s="58"/>
      <c r="E971" s="58"/>
      <c r="F971" s="58"/>
    </row>
    <row r="972">
      <c r="C972" s="58"/>
      <c r="D972" s="58"/>
      <c r="E972" s="58"/>
      <c r="F972" s="58"/>
    </row>
    <row r="973">
      <c r="C973" s="58"/>
      <c r="D973" s="58"/>
      <c r="E973" s="58"/>
      <c r="F973" s="58"/>
    </row>
    <row r="974">
      <c r="C974" s="58"/>
      <c r="D974" s="58"/>
      <c r="E974" s="58"/>
      <c r="F974" s="58"/>
    </row>
    <row r="975">
      <c r="C975" s="58"/>
      <c r="D975" s="58"/>
      <c r="E975" s="58"/>
      <c r="F975" s="58"/>
    </row>
    <row r="976">
      <c r="C976" s="58"/>
      <c r="D976" s="58"/>
      <c r="E976" s="58"/>
      <c r="F976" s="58"/>
    </row>
    <row r="977">
      <c r="C977" s="58"/>
      <c r="D977" s="58"/>
      <c r="E977" s="58"/>
      <c r="F977" s="58"/>
    </row>
    <row r="978">
      <c r="C978" s="58"/>
      <c r="D978" s="58"/>
      <c r="E978" s="58"/>
      <c r="F978" s="58"/>
    </row>
    <row r="979">
      <c r="C979" s="58"/>
      <c r="D979" s="58"/>
      <c r="E979" s="58"/>
      <c r="F979" s="58"/>
    </row>
    <row r="980">
      <c r="C980" s="58"/>
      <c r="D980" s="58"/>
      <c r="E980" s="58"/>
      <c r="F980" s="58"/>
    </row>
    <row r="981">
      <c r="C981" s="58"/>
      <c r="D981" s="58"/>
      <c r="E981" s="58"/>
      <c r="F981" s="58"/>
    </row>
    <row r="982">
      <c r="C982" s="58"/>
      <c r="D982" s="58"/>
      <c r="E982" s="58"/>
      <c r="F982" s="58"/>
    </row>
    <row r="983">
      <c r="C983" s="58"/>
      <c r="D983" s="58"/>
      <c r="E983" s="58"/>
      <c r="F983" s="58"/>
    </row>
    <row r="984">
      <c r="C984" s="58"/>
      <c r="D984" s="58"/>
      <c r="E984" s="58"/>
      <c r="F984" s="58"/>
    </row>
    <row r="985">
      <c r="C985" s="58"/>
      <c r="D985" s="58"/>
      <c r="E985" s="58"/>
      <c r="F985" s="58"/>
    </row>
    <row r="986">
      <c r="C986" s="58"/>
      <c r="D986" s="58"/>
      <c r="E986" s="58"/>
      <c r="F986" s="58"/>
    </row>
    <row r="987">
      <c r="C987" s="58"/>
      <c r="D987" s="58"/>
      <c r="E987" s="58"/>
      <c r="F987" s="58"/>
    </row>
    <row r="988">
      <c r="C988" s="58"/>
      <c r="D988" s="58"/>
      <c r="E988" s="58"/>
      <c r="F988" s="58"/>
    </row>
    <row r="989">
      <c r="C989" s="58"/>
      <c r="D989" s="58"/>
      <c r="E989" s="58"/>
      <c r="F989" s="58"/>
    </row>
    <row r="990">
      <c r="C990" s="58"/>
      <c r="D990" s="58"/>
      <c r="E990" s="58"/>
      <c r="F990" s="58"/>
    </row>
    <row r="991">
      <c r="C991" s="58"/>
      <c r="D991" s="58"/>
      <c r="E991" s="58"/>
      <c r="F991" s="58"/>
    </row>
    <row r="992">
      <c r="C992" s="58"/>
      <c r="D992" s="58"/>
      <c r="E992" s="58"/>
      <c r="F992" s="58"/>
    </row>
    <row r="993">
      <c r="C993" s="58"/>
      <c r="D993" s="58"/>
      <c r="E993" s="58"/>
      <c r="F993" s="58"/>
    </row>
    <row r="994">
      <c r="C994" s="58"/>
      <c r="D994" s="58"/>
      <c r="E994" s="58"/>
      <c r="F994" s="58"/>
    </row>
    <row r="995">
      <c r="C995" s="58"/>
      <c r="D995" s="58"/>
      <c r="E995" s="58"/>
      <c r="F995" s="58"/>
    </row>
    <row r="996">
      <c r="C996" s="58"/>
      <c r="D996" s="58"/>
      <c r="E996" s="58"/>
      <c r="F996" s="58"/>
    </row>
    <row r="997">
      <c r="C997" s="58"/>
      <c r="D997" s="58"/>
      <c r="E997" s="58"/>
      <c r="F997" s="58"/>
    </row>
    <row r="998">
      <c r="C998" s="58"/>
      <c r="D998" s="58"/>
      <c r="E998" s="58"/>
      <c r="F998" s="58"/>
    </row>
    <row r="999">
      <c r="C999" s="58"/>
      <c r="D999" s="58"/>
      <c r="E999" s="58"/>
      <c r="F999" s="58"/>
    </row>
    <row r="1000">
      <c r="C1000" s="58"/>
      <c r="D1000" s="58"/>
      <c r="E1000" s="58"/>
      <c r="F1000" s="58"/>
    </row>
    <row r="1001">
      <c r="C1001" s="58"/>
      <c r="D1001" s="58"/>
      <c r="E1001" s="58"/>
      <c r="F1001" s="58"/>
    </row>
    <row r="1002">
      <c r="C1002" s="58"/>
      <c r="D1002" s="58"/>
      <c r="E1002" s="58"/>
      <c r="F1002" s="58"/>
    </row>
    <row r="1003">
      <c r="C1003" s="58"/>
      <c r="D1003" s="58"/>
      <c r="E1003" s="58"/>
      <c r="F1003" s="58"/>
    </row>
    <row r="1004">
      <c r="C1004" s="58"/>
      <c r="D1004" s="58"/>
      <c r="E1004" s="58"/>
      <c r="F1004" s="58"/>
    </row>
    <row r="1005">
      <c r="C1005" s="58"/>
      <c r="D1005" s="58"/>
      <c r="E1005" s="58"/>
      <c r="F1005" s="58"/>
    </row>
    <row r="1006">
      <c r="C1006" s="58"/>
      <c r="D1006" s="58"/>
      <c r="E1006" s="58"/>
      <c r="F1006" s="58"/>
    </row>
    <row r="1007">
      <c r="C1007" s="58"/>
      <c r="D1007" s="58"/>
      <c r="E1007" s="58"/>
      <c r="F1007" s="58"/>
    </row>
    <row r="1008">
      <c r="C1008" s="58"/>
      <c r="D1008" s="58"/>
      <c r="E1008" s="58"/>
      <c r="F1008" s="58"/>
    </row>
    <row r="1009">
      <c r="C1009" s="58"/>
      <c r="D1009" s="58"/>
      <c r="E1009" s="58"/>
      <c r="F1009" s="58"/>
    </row>
    <row r="1010">
      <c r="C1010" s="58"/>
      <c r="D1010" s="58"/>
      <c r="E1010" s="58"/>
      <c r="F1010" s="58"/>
    </row>
    <row r="1011">
      <c r="C1011" s="58"/>
      <c r="D1011" s="58"/>
      <c r="E1011" s="58"/>
      <c r="F1011" s="58"/>
    </row>
    <row r="1012">
      <c r="C1012" s="58"/>
      <c r="D1012" s="58"/>
      <c r="E1012" s="58"/>
      <c r="F1012" s="58"/>
    </row>
    <row r="1013">
      <c r="C1013" s="58"/>
      <c r="D1013" s="58"/>
      <c r="E1013" s="58"/>
      <c r="F1013" s="58"/>
    </row>
  </sheetData>
  <hyperlinks>
    <hyperlink r:id="rId1" ref="B1"/>
    <hyperlink r:id="rId2" ref="F1"/>
    <hyperlink r:id="rId3" ref="J1"/>
    <hyperlink r:id="rId4" ref="N1"/>
    <hyperlink r:id="rId5" ref="R1"/>
    <hyperlink r:id="rId6" ref="V1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21.25"/>
    <col hidden="1" min="2" max="5" width="12.63"/>
  </cols>
  <sheetData>
    <row r="1">
      <c r="A1" s="3"/>
      <c r="B1" s="114"/>
      <c r="C1" s="114"/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16" t="s">
        <v>1</v>
      </c>
      <c r="J1" s="17"/>
      <c r="K1" s="17"/>
      <c r="L1" s="17"/>
      <c r="M1" s="17"/>
      <c r="N1" s="17"/>
    </row>
    <row r="2">
      <c r="A2" s="1" t="s">
        <v>6</v>
      </c>
      <c r="B2" s="109" t="s">
        <v>7</v>
      </c>
      <c r="C2" s="109" t="s">
        <v>8</v>
      </c>
      <c r="D2" s="7" t="s">
        <v>9</v>
      </c>
      <c r="E2" s="7" t="s">
        <v>3</v>
      </c>
      <c r="F2" s="7" t="s">
        <v>9</v>
      </c>
      <c r="G2" s="7" t="s">
        <v>3</v>
      </c>
      <c r="H2" s="7" t="s">
        <v>10</v>
      </c>
      <c r="I2" s="20" t="s">
        <v>11</v>
      </c>
      <c r="J2" s="7" t="s">
        <v>12</v>
      </c>
      <c r="K2" s="7" t="s">
        <v>18</v>
      </c>
      <c r="L2" s="7" t="s">
        <v>51</v>
      </c>
      <c r="M2" s="7" t="s">
        <v>13</v>
      </c>
      <c r="N2" s="7" t="s">
        <v>14</v>
      </c>
    </row>
    <row r="3">
      <c r="A3" s="21" t="s">
        <v>16</v>
      </c>
      <c r="B3" s="52">
        <f t="shared" ref="B3:J3" si="1">sum(B4,B10)</f>
        <v>0</v>
      </c>
      <c r="C3" s="52">
        <f t="shared" si="1"/>
        <v>0</v>
      </c>
      <c r="D3" s="23">
        <f t="shared" si="1"/>
        <v>49974</v>
      </c>
      <c r="E3" s="23">
        <f t="shared" si="1"/>
        <v>62050</v>
      </c>
      <c r="F3" s="23">
        <f t="shared" si="1"/>
        <v>50154</v>
      </c>
      <c r="G3" s="23">
        <f t="shared" si="1"/>
        <v>62050</v>
      </c>
      <c r="H3" s="23">
        <f t="shared" si="1"/>
        <v>29344</v>
      </c>
      <c r="I3" s="23">
        <f t="shared" si="1"/>
        <v>27776</v>
      </c>
      <c r="J3" s="23">
        <f t="shared" si="1"/>
        <v>0</v>
      </c>
      <c r="K3" s="23"/>
      <c r="L3" s="23"/>
      <c r="M3" s="23"/>
      <c r="N3" s="23"/>
    </row>
    <row r="4">
      <c r="A4" s="21" t="s">
        <v>20</v>
      </c>
      <c r="B4" s="52">
        <f t="shared" ref="B4:I4" si="2">sum(B5:B9)</f>
        <v>0</v>
      </c>
      <c r="C4" s="52">
        <f t="shared" si="2"/>
        <v>0</v>
      </c>
      <c r="D4" s="23">
        <f t="shared" si="2"/>
        <v>19180</v>
      </c>
      <c r="E4" s="23">
        <f t="shared" si="2"/>
        <v>9450</v>
      </c>
      <c r="F4" s="23">
        <f t="shared" si="2"/>
        <v>19180</v>
      </c>
      <c r="G4" s="23">
        <f t="shared" si="2"/>
        <v>9450</v>
      </c>
      <c r="H4" s="23">
        <f t="shared" si="2"/>
        <v>5294</v>
      </c>
      <c r="I4" s="23">
        <f t="shared" si="2"/>
        <v>14580</v>
      </c>
      <c r="J4" s="22"/>
      <c r="K4" s="27"/>
      <c r="L4" s="27"/>
      <c r="M4" s="27"/>
      <c r="N4" s="22"/>
    </row>
    <row r="5">
      <c r="A5" s="28" t="s">
        <v>21</v>
      </c>
      <c r="B5" s="122">
        <v>0.0</v>
      </c>
      <c r="C5" s="86">
        <v>0.0</v>
      </c>
      <c r="D5" s="22">
        <v>19180.0</v>
      </c>
      <c r="E5" s="29">
        <v>3450.0</v>
      </c>
      <c r="F5" s="29">
        <v>19180.0</v>
      </c>
      <c r="G5" s="29">
        <v>3450.0</v>
      </c>
      <c r="H5" s="29">
        <v>5294.0</v>
      </c>
      <c r="I5" s="30">
        <v>14580.0</v>
      </c>
      <c r="J5" s="22"/>
      <c r="K5" s="27"/>
      <c r="L5" s="27"/>
      <c r="M5" s="27"/>
      <c r="N5" s="22"/>
    </row>
    <row r="6">
      <c r="A6" s="28" t="s">
        <v>22</v>
      </c>
      <c r="B6" s="122">
        <v>0.0</v>
      </c>
      <c r="C6" s="86">
        <v>0.0</v>
      </c>
      <c r="D6" s="22">
        <v>0.0</v>
      </c>
      <c r="E6" s="29">
        <v>6000.0</v>
      </c>
      <c r="F6" s="29">
        <v>0.0</v>
      </c>
      <c r="G6" s="29">
        <v>6000.0</v>
      </c>
      <c r="H6" s="29">
        <v>0.0</v>
      </c>
      <c r="I6" s="30">
        <v>0.0</v>
      </c>
      <c r="J6" s="22"/>
      <c r="K6" s="27"/>
      <c r="L6" s="27"/>
      <c r="M6" s="27"/>
      <c r="N6" s="22"/>
    </row>
    <row r="7">
      <c r="A7" s="28" t="s">
        <v>23</v>
      </c>
      <c r="B7" s="122">
        <v>0.0</v>
      </c>
      <c r="C7" s="86">
        <v>0.0</v>
      </c>
      <c r="D7" s="22">
        <v>0.0</v>
      </c>
      <c r="E7" s="29">
        <v>0.0</v>
      </c>
      <c r="F7" s="29">
        <v>0.0</v>
      </c>
      <c r="G7" s="29">
        <v>0.0</v>
      </c>
      <c r="H7" s="29">
        <v>0.0</v>
      </c>
      <c r="I7" s="30">
        <v>0.0</v>
      </c>
      <c r="J7" s="22"/>
      <c r="K7" s="27"/>
      <c r="L7" s="27"/>
      <c r="M7" s="27"/>
      <c r="N7" s="22"/>
    </row>
    <row r="8">
      <c r="A8" s="28" t="s">
        <v>24</v>
      </c>
      <c r="B8" s="122">
        <v>0.0</v>
      </c>
      <c r="C8" s="86">
        <v>0.0</v>
      </c>
      <c r="D8" s="22">
        <v>0.0</v>
      </c>
      <c r="E8" s="22">
        <v>0.0</v>
      </c>
      <c r="F8" s="22">
        <v>0.0</v>
      </c>
      <c r="G8" s="22">
        <v>0.0</v>
      </c>
      <c r="H8" s="22">
        <v>0.0</v>
      </c>
      <c r="I8" s="30">
        <v>0.0</v>
      </c>
      <c r="J8" s="31"/>
      <c r="K8" s="31"/>
      <c r="L8" s="31"/>
      <c r="M8" s="31"/>
      <c r="N8" s="31"/>
    </row>
    <row r="9">
      <c r="A9" s="28" t="s">
        <v>25</v>
      </c>
      <c r="B9" s="95">
        <v>0.0</v>
      </c>
      <c r="C9" s="86">
        <v>0.0</v>
      </c>
      <c r="D9" s="22">
        <v>0.0</v>
      </c>
      <c r="E9" s="29">
        <v>0.0</v>
      </c>
      <c r="F9" s="29">
        <v>0.0</v>
      </c>
      <c r="G9" s="29">
        <v>0.0</v>
      </c>
      <c r="H9" s="29">
        <v>0.0</v>
      </c>
      <c r="I9" s="30">
        <v>0.0</v>
      </c>
      <c r="J9" s="22"/>
      <c r="K9" s="27"/>
      <c r="L9" s="27"/>
      <c r="M9" s="27"/>
      <c r="N9" s="22"/>
    </row>
    <row r="10">
      <c r="A10" s="21" t="s">
        <v>26</v>
      </c>
      <c r="B10" s="52">
        <f t="shared" ref="B10:I10" si="3">sum(B11:B12)</f>
        <v>0</v>
      </c>
      <c r="C10" s="52">
        <f t="shared" si="3"/>
        <v>0</v>
      </c>
      <c r="D10" s="23">
        <f t="shared" si="3"/>
        <v>30794</v>
      </c>
      <c r="E10" s="23">
        <f t="shared" si="3"/>
        <v>52600</v>
      </c>
      <c r="F10" s="23">
        <f t="shared" si="3"/>
        <v>30974</v>
      </c>
      <c r="G10" s="23">
        <f t="shared" si="3"/>
        <v>52600</v>
      </c>
      <c r="H10" s="23">
        <f t="shared" si="3"/>
        <v>24050</v>
      </c>
      <c r="I10" s="23">
        <f t="shared" si="3"/>
        <v>13196</v>
      </c>
      <c r="J10" s="22"/>
      <c r="K10" s="27"/>
      <c r="L10" s="27"/>
      <c r="M10" s="27"/>
      <c r="N10" s="22"/>
    </row>
    <row r="11">
      <c r="A11" s="28" t="s">
        <v>27</v>
      </c>
      <c r="B11" s="122">
        <v>0.0</v>
      </c>
      <c r="C11" s="86">
        <v>0.0</v>
      </c>
      <c r="D11" s="22">
        <v>30794.0</v>
      </c>
      <c r="E11" s="29">
        <v>52600.0</v>
      </c>
      <c r="F11" s="29">
        <v>30974.0</v>
      </c>
      <c r="G11" s="29">
        <v>52600.0</v>
      </c>
      <c r="H11" s="29">
        <v>24050.0</v>
      </c>
      <c r="I11" s="30">
        <v>13196.0</v>
      </c>
      <c r="J11" s="22"/>
      <c r="K11" s="27"/>
      <c r="L11" s="27"/>
      <c r="M11" s="27"/>
      <c r="N11" s="22"/>
    </row>
    <row r="12">
      <c r="A12" s="28" t="s">
        <v>28</v>
      </c>
      <c r="B12" s="122">
        <v>0.0</v>
      </c>
      <c r="C12" s="86">
        <v>0.0</v>
      </c>
      <c r="D12" s="33">
        <v>0.0</v>
      </c>
      <c r="E12" s="29">
        <v>0.0</v>
      </c>
      <c r="F12" s="29">
        <v>0.0</v>
      </c>
      <c r="G12" s="29">
        <v>0.0</v>
      </c>
      <c r="H12" s="29">
        <v>0.0</v>
      </c>
      <c r="I12" s="30">
        <v>0.0</v>
      </c>
      <c r="J12" s="22"/>
      <c r="K12" s="27"/>
      <c r="L12" s="27"/>
      <c r="M12" s="27"/>
      <c r="N12" s="22"/>
    </row>
    <row r="13">
      <c r="A13" s="21" t="s">
        <v>29</v>
      </c>
      <c r="B13" s="23">
        <f t="shared" ref="B13:I13" si="4">sum(B14:B16)</f>
        <v>0</v>
      </c>
      <c r="C13" s="23">
        <f t="shared" si="4"/>
        <v>0</v>
      </c>
      <c r="D13" s="23">
        <f t="shared" si="4"/>
        <v>0</v>
      </c>
      <c r="E13" s="23">
        <f t="shared" si="4"/>
        <v>20000</v>
      </c>
      <c r="F13" s="23">
        <f t="shared" si="4"/>
        <v>0</v>
      </c>
      <c r="G13" s="23">
        <f t="shared" si="4"/>
        <v>20000</v>
      </c>
      <c r="H13" s="23">
        <f t="shared" si="4"/>
        <v>85267</v>
      </c>
      <c r="I13" s="23">
        <f t="shared" si="4"/>
        <v>19875</v>
      </c>
      <c r="J13" s="29"/>
      <c r="K13" s="27"/>
      <c r="L13" s="27"/>
      <c r="M13" s="27"/>
      <c r="N13" s="22"/>
    </row>
    <row r="14">
      <c r="A14" s="28" t="s">
        <v>30</v>
      </c>
      <c r="B14" s="122">
        <v>0.0</v>
      </c>
      <c r="C14" s="122">
        <v>0.0</v>
      </c>
      <c r="D14" s="29">
        <v>0.0</v>
      </c>
      <c r="E14" s="29">
        <v>20000.0</v>
      </c>
      <c r="F14" s="34">
        <v>0.0</v>
      </c>
      <c r="G14" s="29">
        <v>20000.0</v>
      </c>
      <c r="H14" s="29">
        <v>25000.0</v>
      </c>
      <c r="I14" s="30">
        <v>19875.0</v>
      </c>
      <c r="J14" s="23"/>
      <c r="K14" s="23"/>
      <c r="L14" s="23"/>
      <c r="M14" s="23"/>
      <c r="N14" s="23"/>
    </row>
    <row r="15">
      <c r="A15" s="28" t="s">
        <v>31</v>
      </c>
      <c r="B15" s="122">
        <v>0.0</v>
      </c>
      <c r="C15" s="122">
        <v>0.0</v>
      </c>
      <c r="D15" s="29">
        <v>0.0</v>
      </c>
      <c r="E15" s="29">
        <v>0.0</v>
      </c>
      <c r="F15" s="29">
        <v>0.0</v>
      </c>
      <c r="G15" s="29">
        <v>0.0</v>
      </c>
      <c r="H15" s="29">
        <v>60267.0</v>
      </c>
      <c r="I15" s="30">
        <v>0.0</v>
      </c>
      <c r="J15" s="22"/>
      <c r="K15" s="27"/>
      <c r="L15" s="27"/>
      <c r="M15" s="27"/>
      <c r="N15" s="22"/>
    </row>
    <row r="16">
      <c r="A16" s="35" t="s">
        <v>33</v>
      </c>
      <c r="B16" s="87">
        <v>0.0</v>
      </c>
      <c r="C16" s="86">
        <v>0.0</v>
      </c>
      <c r="D16" s="22">
        <v>0.0</v>
      </c>
      <c r="E16" s="22">
        <v>0.0</v>
      </c>
      <c r="F16" s="22">
        <v>0.0</v>
      </c>
      <c r="G16" s="22">
        <v>0.0</v>
      </c>
      <c r="H16" s="22">
        <v>0.0</v>
      </c>
      <c r="I16" s="30">
        <v>0.0</v>
      </c>
      <c r="J16" s="22"/>
      <c r="K16" s="27"/>
      <c r="L16" s="27"/>
      <c r="M16" s="27"/>
      <c r="N16" s="22"/>
    </row>
    <row r="17">
      <c r="A17" s="21" t="s">
        <v>34</v>
      </c>
      <c r="B17" s="88">
        <v>0.0</v>
      </c>
      <c r="C17" s="130">
        <v>0.0</v>
      </c>
      <c r="D17" s="31">
        <v>0.0</v>
      </c>
      <c r="E17" s="31">
        <v>0.0</v>
      </c>
      <c r="F17" s="31">
        <v>0.0</v>
      </c>
      <c r="G17" s="31">
        <v>0.0</v>
      </c>
      <c r="H17" s="31">
        <v>0.0</v>
      </c>
      <c r="I17" s="23">
        <v>0.0</v>
      </c>
      <c r="J17" s="22"/>
      <c r="K17" s="27"/>
      <c r="L17" s="27"/>
      <c r="M17" s="27"/>
      <c r="N17" s="22"/>
    </row>
    <row r="18">
      <c r="A18" s="38" t="s">
        <v>35</v>
      </c>
      <c r="B18" s="52">
        <f t="shared" ref="B18:I18" si="5">sum(B19,B20)</f>
        <v>0</v>
      </c>
      <c r="C18" s="52">
        <f t="shared" si="5"/>
        <v>0</v>
      </c>
      <c r="D18" s="23">
        <f t="shared" si="5"/>
        <v>0</v>
      </c>
      <c r="E18" s="23">
        <f t="shared" si="5"/>
        <v>9800</v>
      </c>
      <c r="F18" s="23">
        <f t="shared" si="5"/>
        <v>0</v>
      </c>
      <c r="G18" s="23">
        <f t="shared" si="5"/>
        <v>9800</v>
      </c>
      <c r="H18" s="23">
        <f t="shared" si="5"/>
        <v>0</v>
      </c>
      <c r="I18" s="23">
        <f t="shared" si="5"/>
        <v>0</v>
      </c>
      <c r="J18" s="22"/>
      <c r="K18" s="27"/>
      <c r="L18" s="27"/>
      <c r="M18" s="27"/>
      <c r="N18" s="22"/>
    </row>
    <row r="19">
      <c r="A19" s="28" t="s">
        <v>36</v>
      </c>
      <c r="B19" s="122">
        <v>0.0</v>
      </c>
      <c r="C19" s="122">
        <v>0.0</v>
      </c>
      <c r="D19" s="33">
        <v>0.0</v>
      </c>
      <c r="E19" s="29">
        <v>9800.0</v>
      </c>
      <c r="F19" s="29">
        <v>0.0</v>
      </c>
      <c r="G19" s="29">
        <v>9800.0</v>
      </c>
      <c r="H19" s="29">
        <v>0.0</v>
      </c>
      <c r="I19" s="30">
        <v>0.0</v>
      </c>
      <c r="J19" s="22"/>
      <c r="K19" s="27"/>
      <c r="L19" s="27"/>
      <c r="M19" s="27"/>
      <c r="N19" s="22"/>
    </row>
    <row r="20">
      <c r="A20" s="28" t="s">
        <v>37</v>
      </c>
      <c r="B20" s="122">
        <v>0.0</v>
      </c>
      <c r="C20" s="86">
        <v>0.0</v>
      </c>
      <c r="D20" s="22">
        <v>0.0</v>
      </c>
      <c r="E20" s="29">
        <v>0.0</v>
      </c>
      <c r="F20" s="29">
        <v>0.0</v>
      </c>
      <c r="G20" s="29">
        <v>0.0</v>
      </c>
      <c r="H20" s="29">
        <v>0.0</v>
      </c>
      <c r="I20" s="30">
        <v>0.0</v>
      </c>
      <c r="J20" s="31"/>
      <c r="K20" s="39"/>
      <c r="L20" s="39"/>
      <c r="M20" s="39"/>
      <c r="N20" s="31"/>
    </row>
    <row r="21">
      <c r="A21" s="40" t="s">
        <v>38</v>
      </c>
      <c r="B21" s="52">
        <f t="shared" ref="B21:I21" si="6">sum(B22:B24)</f>
        <v>0</v>
      </c>
      <c r="C21" s="52">
        <f t="shared" si="6"/>
        <v>0</v>
      </c>
      <c r="D21" s="23">
        <f t="shared" si="6"/>
        <v>0</v>
      </c>
      <c r="E21" s="23">
        <f t="shared" si="6"/>
        <v>0</v>
      </c>
      <c r="F21" s="23">
        <f t="shared" si="6"/>
        <v>0</v>
      </c>
      <c r="G21" s="23">
        <f t="shared" si="6"/>
        <v>0</v>
      </c>
      <c r="H21" s="23">
        <f t="shared" si="6"/>
        <v>0</v>
      </c>
      <c r="I21" s="23">
        <f t="shared" si="6"/>
        <v>0</v>
      </c>
      <c r="J21" s="22"/>
      <c r="K21" s="27"/>
      <c r="L21" s="27"/>
      <c r="M21" s="27"/>
      <c r="N21" s="22"/>
    </row>
    <row r="22">
      <c r="A22" s="28" t="s">
        <v>40</v>
      </c>
      <c r="B22" s="122">
        <v>0.0</v>
      </c>
      <c r="C22" s="86">
        <v>0.0</v>
      </c>
      <c r="D22" s="22">
        <v>0.0</v>
      </c>
      <c r="E22" s="29">
        <v>0.0</v>
      </c>
      <c r="F22" s="29">
        <v>0.0</v>
      </c>
      <c r="G22" s="29">
        <v>0.0</v>
      </c>
      <c r="H22" s="29">
        <v>0.0</v>
      </c>
      <c r="I22" s="30">
        <v>0.0</v>
      </c>
      <c r="J22" s="22"/>
      <c r="K22" s="27"/>
      <c r="L22" s="27"/>
      <c r="M22" s="27"/>
      <c r="N22" s="22"/>
    </row>
    <row r="23">
      <c r="A23" s="28" t="s">
        <v>41</v>
      </c>
      <c r="B23" s="95">
        <v>0.0</v>
      </c>
      <c r="C23" s="86">
        <v>0.0</v>
      </c>
      <c r="D23" s="22">
        <v>0.0</v>
      </c>
      <c r="E23" s="29">
        <v>0.0</v>
      </c>
      <c r="F23" s="29">
        <v>0.0</v>
      </c>
      <c r="G23" s="29">
        <v>0.0</v>
      </c>
      <c r="H23" s="29">
        <v>0.0</v>
      </c>
      <c r="I23" s="30">
        <v>0.0</v>
      </c>
      <c r="J23" s="22"/>
      <c r="K23" s="27"/>
      <c r="L23" s="27"/>
      <c r="M23" s="27"/>
      <c r="N23" s="22"/>
    </row>
    <row r="24">
      <c r="A24" s="28" t="s">
        <v>42</v>
      </c>
      <c r="B24" s="122">
        <v>0.0</v>
      </c>
      <c r="C24" s="86">
        <v>0.0</v>
      </c>
      <c r="D24" s="22">
        <v>0.0</v>
      </c>
      <c r="E24" s="29">
        <v>0.0</v>
      </c>
      <c r="F24" s="29">
        <v>0.0</v>
      </c>
      <c r="G24" s="29">
        <v>0.0</v>
      </c>
      <c r="H24" s="29">
        <v>0.0</v>
      </c>
      <c r="I24" s="30">
        <v>0.0</v>
      </c>
      <c r="J24" s="22"/>
      <c r="K24" s="27"/>
      <c r="L24" s="27"/>
      <c r="M24" s="27"/>
      <c r="N24" s="22"/>
    </row>
    <row r="25">
      <c r="A25" s="42" t="s">
        <v>44</v>
      </c>
      <c r="B25" s="60">
        <v>0.0</v>
      </c>
      <c r="C25" s="60">
        <v>0.0</v>
      </c>
      <c r="D25" s="34">
        <v>0.0</v>
      </c>
      <c r="E25" s="43">
        <v>0.0</v>
      </c>
      <c r="F25" s="43">
        <v>0.0</v>
      </c>
      <c r="G25" s="43">
        <v>0.0</v>
      </c>
      <c r="H25" s="43">
        <v>0.0</v>
      </c>
      <c r="I25" s="23">
        <v>0.0</v>
      </c>
      <c r="J25" s="44"/>
      <c r="K25" s="44"/>
      <c r="L25" s="44"/>
      <c r="M25" s="44"/>
      <c r="N25" s="44"/>
    </row>
    <row r="26">
      <c r="A26" s="46" t="s">
        <v>45</v>
      </c>
      <c r="B26" s="48">
        <f t="shared" ref="B26:I26" si="7">B3+B13+B17+B18+B21+B25</f>
        <v>0</v>
      </c>
      <c r="C26" s="48">
        <f t="shared" si="7"/>
        <v>0</v>
      </c>
      <c r="D26" s="48">
        <f t="shared" si="7"/>
        <v>49974</v>
      </c>
      <c r="E26" s="48">
        <f t="shared" si="7"/>
        <v>91850</v>
      </c>
      <c r="F26" s="48">
        <f t="shared" si="7"/>
        <v>50154</v>
      </c>
      <c r="G26" s="48">
        <f t="shared" si="7"/>
        <v>91850</v>
      </c>
      <c r="H26" s="48">
        <f t="shared" si="7"/>
        <v>114611</v>
      </c>
      <c r="I26" s="48">
        <f t="shared" si="7"/>
        <v>47651</v>
      </c>
      <c r="J26" s="49"/>
      <c r="K26" s="50"/>
      <c r="L26" s="50"/>
      <c r="M26" s="50"/>
      <c r="N26" s="49"/>
    </row>
    <row r="27">
      <c r="A27" s="51" t="s">
        <v>47</v>
      </c>
      <c r="B27" s="52">
        <f t="shared" ref="B27:I27" si="8">B26-(B26/1.18)</f>
        <v>0</v>
      </c>
      <c r="C27" s="52">
        <f t="shared" si="8"/>
        <v>0</v>
      </c>
      <c r="D27" s="52">
        <f t="shared" si="8"/>
        <v>7623.152542</v>
      </c>
      <c r="E27" s="52">
        <f t="shared" si="8"/>
        <v>14011.01695</v>
      </c>
      <c r="F27" s="52">
        <f t="shared" si="8"/>
        <v>7650.610169</v>
      </c>
      <c r="G27" s="52">
        <f t="shared" si="8"/>
        <v>14011.01695</v>
      </c>
      <c r="H27" s="52">
        <f t="shared" si="8"/>
        <v>17483.0339</v>
      </c>
      <c r="I27" s="52">
        <f t="shared" si="8"/>
        <v>7268.79661</v>
      </c>
      <c r="J27" s="54"/>
      <c r="K27" s="54"/>
      <c r="L27" s="54"/>
      <c r="M27" s="54"/>
      <c r="N27" s="54"/>
    </row>
    <row r="28">
      <c r="A28" s="55" t="s">
        <v>49</v>
      </c>
      <c r="B28" s="52">
        <f t="shared" ref="B28:I28" si="9">B26-B27</f>
        <v>0</v>
      </c>
      <c r="C28" s="52">
        <f t="shared" si="9"/>
        <v>0</v>
      </c>
      <c r="D28" s="52">
        <f t="shared" si="9"/>
        <v>42350.84746</v>
      </c>
      <c r="E28" s="52">
        <f t="shared" si="9"/>
        <v>77838.98305</v>
      </c>
      <c r="F28" s="52">
        <f t="shared" si="9"/>
        <v>42503.38983</v>
      </c>
      <c r="G28" s="52">
        <f t="shared" si="9"/>
        <v>77838.98305</v>
      </c>
      <c r="H28" s="52">
        <f t="shared" si="9"/>
        <v>97127.9661</v>
      </c>
      <c r="I28" s="52">
        <f t="shared" si="9"/>
        <v>40382.20339</v>
      </c>
      <c r="J28" s="54"/>
      <c r="K28" s="54"/>
      <c r="L28" s="54"/>
      <c r="M28" s="54"/>
      <c r="N28" s="54"/>
    </row>
  </sheetData>
  <hyperlinks>
    <hyperlink r:id="rId1" ref="D1"/>
    <hyperlink r:id="rId2" ref="E1"/>
    <hyperlink r:id="rId3" ref="F1"/>
    <hyperlink r:id="rId4" ref="G1"/>
    <hyperlink r:id="rId5" ref="H1"/>
    <hyperlink r:id="rId6" ref="I1"/>
  </hyperlinks>
  <drawing r:id="rId7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21.25"/>
  </cols>
  <sheetData>
    <row r="1">
      <c r="A1" s="133"/>
      <c r="B1" s="16" t="s">
        <v>1</v>
      </c>
      <c r="C1" s="133"/>
      <c r="D1" s="133"/>
      <c r="E1" s="133"/>
    </row>
    <row r="2">
      <c r="A2" s="134" t="s">
        <v>6</v>
      </c>
      <c r="B2" s="20" t="s">
        <v>11</v>
      </c>
      <c r="C2" s="20" t="s">
        <v>12</v>
      </c>
      <c r="D2" s="20" t="s">
        <v>13</v>
      </c>
      <c r="E2" s="20" t="s">
        <v>14</v>
      </c>
    </row>
    <row r="3">
      <c r="A3" s="21" t="s">
        <v>16</v>
      </c>
      <c r="B3" s="23">
        <f>sum(B4,B10)</f>
        <v>19999</v>
      </c>
      <c r="C3" s="105"/>
      <c r="D3" s="105"/>
      <c r="E3" s="105"/>
    </row>
    <row r="4">
      <c r="A4" s="21" t="s">
        <v>20</v>
      </c>
      <c r="B4" s="23">
        <f>sum(B5:B9)</f>
        <v>14100</v>
      </c>
      <c r="C4" s="105"/>
      <c r="D4" s="105"/>
      <c r="E4" s="105"/>
    </row>
    <row r="5">
      <c r="A5" s="28" t="s">
        <v>21</v>
      </c>
      <c r="B5" s="30">
        <v>14100.0</v>
      </c>
      <c r="C5" s="105"/>
      <c r="D5" s="105"/>
      <c r="E5" s="105"/>
    </row>
    <row r="6">
      <c r="A6" s="28" t="s">
        <v>22</v>
      </c>
      <c r="B6" s="30">
        <v>0.0</v>
      </c>
      <c r="C6" s="105"/>
      <c r="D6" s="105"/>
      <c r="E6" s="105"/>
    </row>
    <row r="7">
      <c r="A7" s="28" t="s">
        <v>23</v>
      </c>
      <c r="B7" s="30">
        <v>0.0</v>
      </c>
      <c r="C7" s="105"/>
      <c r="D7" s="105"/>
      <c r="E7" s="105"/>
    </row>
    <row r="8">
      <c r="A8" s="28" t="s">
        <v>24</v>
      </c>
      <c r="B8" s="30">
        <v>0.0</v>
      </c>
      <c r="C8" s="105"/>
      <c r="D8" s="105"/>
      <c r="E8" s="105"/>
    </row>
    <row r="9">
      <c r="A9" s="28" t="s">
        <v>25</v>
      </c>
      <c r="B9" s="30">
        <v>0.0</v>
      </c>
      <c r="C9" s="105"/>
      <c r="D9" s="105"/>
      <c r="E9" s="105"/>
    </row>
    <row r="10">
      <c r="A10" s="21" t="s">
        <v>26</v>
      </c>
      <c r="B10" s="23">
        <f>sum(B11:B12)</f>
        <v>5899</v>
      </c>
      <c r="C10" s="105"/>
      <c r="D10" s="105"/>
      <c r="E10" s="105"/>
    </row>
    <row r="11">
      <c r="A11" s="28" t="s">
        <v>27</v>
      </c>
      <c r="B11" s="30">
        <v>399.0</v>
      </c>
      <c r="C11" s="105"/>
      <c r="D11" s="105"/>
      <c r="E11" s="105"/>
    </row>
    <row r="12">
      <c r="A12" s="28" t="s">
        <v>28</v>
      </c>
      <c r="B12" s="30">
        <v>5500.0</v>
      </c>
      <c r="C12" s="105"/>
      <c r="D12" s="105"/>
      <c r="E12" s="105"/>
    </row>
    <row r="13">
      <c r="A13" s="21" t="s">
        <v>29</v>
      </c>
      <c r="B13" s="23">
        <f>sum(B14:B16)</f>
        <v>399</v>
      </c>
      <c r="C13" s="105"/>
      <c r="D13" s="105"/>
      <c r="E13" s="105"/>
    </row>
    <row r="14">
      <c r="A14" s="28" t="s">
        <v>30</v>
      </c>
      <c r="B14" s="30">
        <v>399.0</v>
      </c>
      <c r="C14" s="105"/>
      <c r="D14" s="105"/>
      <c r="E14" s="105"/>
    </row>
    <row r="15">
      <c r="A15" s="28" t="s">
        <v>31</v>
      </c>
      <c r="B15" s="30">
        <v>0.0</v>
      </c>
      <c r="C15" s="105"/>
      <c r="D15" s="105"/>
      <c r="E15" s="105"/>
    </row>
    <row r="16">
      <c r="A16" s="28" t="s">
        <v>33</v>
      </c>
      <c r="B16" s="30">
        <v>0.0</v>
      </c>
      <c r="C16" s="105"/>
      <c r="D16" s="105"/>
      <c r="E16" s="105"/>
    </row>
    <row r="17">
      <c r="A17" s="21" t="s">
        <v>34</v>
      </c>
      <c r="B17" s="23">
        <v>0.0</v>
      </c>
      <c r="C17" s="105"/>
      <c r="D17" s="105"/>
      <c r="E17" s="105"/>
    </row>
    <row r="18">
      <c r="A18" s="21" t="s">
        <v>35</v>
      </c>
      <c r="B18" s="23">
        <f>sum(B19,B20)</f>
        <v>0</v>
      </c>
      <c r="C18" s="105"/>
      <c r="D18" s="105"/>
      <c r="E18" s="105"/>
    </row>
    <row r="19">
      <c r="A19" s="28" t="s">
        <v>36</v>
      </c>
      <c r="B19" s="30">
        <v>0.0</v>
      </c>
      <c r="C19" s="105"/>
      <c r="D19" s="105"/>
      <c r="E19" s="105"/>
    </row>
    <row r="20">
      <c r="A20" s="28" t="s">
        <v>37</v>
      </c>
      <c r="B20" s="30">
        <v>0.0</v>
      </c>
      <c r="C20" s="105"/>
      <c r="D20" s="105"/>
      <c r="E20" s="105"/>
    </row>
    <row r="21">
      <c r="A21" s="121" t="s">
        <v>38</v>
      </c>
      <c r="B21" s="23">
        <f>sum(B22:B24)</f>
        <v>0</v>
      </c>
      <c r="C21" s="105"/>
      <c r="D21" s="105"/>
      <c r="E21" s="105"/>
    </row>
    <row r="22">
      <c r="A22" s="28" t="s">
        <v>40</v>
      </c>
      <c r="B22" s="30">
        <v>0.0</v>
      </c>
      <c r="C22" s="105"/>
      <c r="D22" s="105"/>
      <c r="E22" s="105"/>
    </row>
    <row r="23">
      <c r="A23" s="28" t="s">
        <v>41</v>
      </c>
      <c r="B23" s="30">
        <v>0.0</v>
      </c>
      <c r="C23" s="105"/>
      <c r="D23" s="105"/>
      <c r="E23" s="105"/>
    </row>
    <row r="24">
      <c r="A24" s="28" t="s">
        <v>42</v>
      </c>
      <c r="B24" s="30">
        <v>0.0</v>
      </c>
      <c r="C24" s="105"/>
      <c r="D24" s="105"/>
      <c r="E24" s="105"/>
    </row>
    <row r="25">
      <c r="A25" s="42" t="s">
        <v>44</v>
      </c>
      <c r="B25" s="23">
        <v>0.0</v>
      </c>
      <c r="C25" s="135"/>
      <c r="D25" s="135"/>
      <c r="E25" s="135"/>
    </row>
    <row r="26">
      <c r="A26" s="46" t="s">
        <v>45</v>
      </c>
      <c r="B26" s="48">
        <f>B3+B13+B17+B18+B21+B25</f>
        <v>20398</v>
      </c>
      <c r="C26" s="96"/>
      <c r="D26" s="96"/>
      <c r="E26" s="96"/>
    </row>
    <row r="27">
      <c r="A27" s="51" t="s">
        <v>61</v>
      </c>
      <c r="B27" s="52">
        <f>B26-(B26/1.18)</f>
        <v>3111.559322</v>
      </c>
      <c r="C27" s="103"/>
      <c r="D27" s="103"/>
      <c r="E27" s="103"/>
    </row>
    <row r="28">
      <c r="A28" s="55" t="s">
        <v>49</v>
      </c>
      <c r="B28" s="52">
        <f>B26-B27</f>
        <v>17286.44068</v>
      </c>
      <c r="C28" s="103"/>
      <c r="D28" s="103"/>
      <c r="E28" s="103"/>
    </row>
  </sheetData>
  <hyperlinks>
    <hyperlink r:id="rId1" ref="B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21.25"/>
  </cols>
  <sheetData>
    <row r="1">
      <c r="A1" s="3"/>
      <c r="B1" s="5" t="s">
        <v>1</v>
      </c>
      <c r="C1" s="5" t="s">
        <v>1</v>
      </c>
      <c r="D1" s="5" t="s">
        <v>1</v>
      </c>
    </row>
    <row r="2">
      <c r="A2" s="1" t="s">
        <v>6</v>
      </c>
      <c r="B2" s="7" t="s">
        <v>9</v>
      </c>
      <c r="C2" s="7" t="s">
        <v>3</v>
      </c>
      <c r="D2" s="7" t="s">
        <v>10</v>
      </c>
    </row>
    <row r="3">
      <c r="A3" s="21" t="s">
        <v>16</v>
      </c>
      <c r="B3" s="23">
        <f t="shared" ref="B3:D3" si="1">sum(B4,B10)</f>
        <v>28536</v>
      </c>
      <c r="C3" s="23">
        <f t="shared" si="1"/>
        <v>61908</v>
      </c>
      <c r="D3" s="23">
        <f t="shared" si="1"/>
        <v>20911</v>
      </c>
    </row>
    <row r="4">
      <c r="A4" s="21" t="s">
        <v>20</v>
      </c>
      <c r="B4" s="23">
        <f t="shared" ref="B4:D4" si="2">sum(B5:B9)</f>
        <v>5336</v>
      </c>
      <c r="C4" s="23">
        <f t="shared" si="2"/>
        <v>10693</v>
      </c>
      <c r="D4" s="23">
        <f t="shared" si="2"/>
        <v>2691</v>
      </c>
    </row>
    <row r="5">
      <c r="A5" s="28" t="s">
        <v>21</v>
      </c>
      <c r="B5" s="22">
        <v>0.0</v>
      </c>
      <c r="C5" s="29">
        <v>0.0</v>
      </c>
      <c r="D5" s="29">
        <v>0.0</v>
      </c>
    </row>
    <row r="6">
      <c r="A6" s="28" t="s">
        <v>22</v>
      </c>
      <c r="B6" s="22">
        <v>5336.0</v>
      </c>
      <c r="C6" s="29">
        <v>10693.0</v>
      </c>
      <c r="D6" s="29">
        <v>2691.0</v>
      </c>
    </row>
    <row r="7">
      <c r="A7" s="28" t="s">
        <v>23</v>
      </c>
      <c r="B7" s="22">
        <v>0.0</v>
      </c>
      <c r="C7" s="29">
        <v>0.0</v>
      </c>
      <c r="D7" s="29">
        <v>0.0</v>
      </c>
    </row>
    <row r="8">
      <c r="A8" s="28" t="s">
        <v>24</v>
      </c>
      <c r="B8" s="22">
        <v>0.0</v>
      </c>
      <c r="C8" s="22">
        <v>0.0</v>
      </c>
      <c r="D8" s="22">
        <v>0.0</v>
      </c>
    </row>
    <row r="9">
      <c r="A9" s="28" t="s">
        <v>25</v>
      </c>
      <c r="B9" s="22">
        <v>0.0</v>
      </c>
      <c r="C9" s="29">
        <v>0.0</v>
      </c>
      <c r="D9" s="29">
        <v>0.0</v>
      </c>
    </row>
    <row r="10">
      <c r="A10" s="21" t="s">
        <v>26</v>
      </c>
      <c r="B10" s="23">
        <f t="shared" ref="B10:D10" si="3">sum(B11:B12)</f>
        <v>23200</v>
      </c>
      <c r="C10" s="23">
        <f t="shared" si="3"/>
        <v>51215</v>
      </c>
      <c r="D10" s="23">
        <f t="shared" si="3"/>
        <v>18220</v>
      </c>
    </row>
    <row r="11">
      <c r="A11" s="28" t="s">
        <v>27</v>
      </c>
      <c r="B11" s="22">
        <v>23200.0</v>
      </c>
      <c r="C11" s="29">
        <v>51215.0</v>
      </c>
      <c r="D11" s="29">
        <v>18220.0</v>
      </c>
    </row>
    <row r="12">
      <c r="A12" s="28" t="s">
        <v>28</v>
      </c>
      <c r="B12" s="33">
        <v>0.0</v>
      </c>
      <c r="C12" s="29">
        <v>0.0</v>
      </c>
      <c r="D12" s="29">
        <v>0.0</v>
      </c>
    </row>
    <row r="13">
      <c r="A13" s="21" t="s">
        <v>29</v>
      </c>
      <c r="B13" s="52">
        <f t="shared" ref="B13:D13" si="4">sum(B14:B16)</f>
        <v>0</v>
      </c>
      <c r="C13" s="52">
        <f t="shared" si="4"/>
        <v>0</v>
      </c>
      <c r="D13" s="52">
        <f t="shared" si="4"/>
        <v>0</v>
      </c>
    </row>
    <row r="14">
      <c r="A14" s="28" t="s">
        <v>30</v>
      </c>
      <c r="B14" s="29">
        <v>0.0</v>
      </c>
      <c r="C14" s="29">
        <v>0.0</v>
      </c>
      <c r="D14" s="29">
        <v>0.0</v>
      </c>
    </row>
    <row r="15">
      <c r="A15" s="28" t="s">
        <v>31</v>
      </c>
      <c r="B15" s="29">
        <v>0.0</v>
      </c>
      <c r="C15" s="29">
        <v>0.0</v>
      </c>
      <c r="D15" s="29">
        <v>0.0</v>
      </c>
    </row>
    <row r="16">
      <c r="A16" s="35" t="s">
        <v>33</v>
      </c>
      <c r="B16" s="22">
        <v>0.0</v>
      </c>
      <c r="C16" s="22">
        <v>0.0</v>
      </c>
      <c r="D16" s="29">
        <v>0.0</v>
      </c>
    </row>
    <row r="17">
      <c r="A17" s="21" t="s">
        <v>34</v>
      </c>
      <c r="B17" s="31">
        <v>0.0</v>
      </c>
      <c r="C17" s="31">
        <v>0.0</v>
      </c>
      <c r="D17" s="31">
        <v>0.0</v>
      </c>
    </row>
    <row r="18">
      <c r="A18" s="38" t="s">
        <v>35</v>
      </c>
      <c r="B18" s="23">
        <f t="shared" ref="B18:D18" si="5">sum(B19,B20)</f>
        <v>0</v>
      </c>
      <c r="C18" s="23">
        <f t="shared" si="5"/>
        <v>0</v>
      </c>
      <c r="D18" s="23">
        <f t="shared" si="5"/>
        <v>0</v>
      </c>
    </row>
    <row r="19">
      <c r="A19" s="28" t="s">
        <v>36</v>
      </c>
      <c r="B19" s="33">
        <v>0.0</v>
      </c>
      <c r="C19" s="29">
        <v>0.0</v>
      </c>
      <c r="D19" s="29">
        <v>0.0</v>
      </c>
    </row>
    <row r="20">
      <c r="A20" s="28" t="s">
        <v>37</v>
      </c>
      <c r="B20" s="22">
        <v>0.0</v>
      </c>
      <c r="C20" s="29">
        <v>0.0</v>
      </c>
      <c r="D20" s="29">
        <v>0.0</v>
      </c>
    </row>
    <row r="21">
      <c r="A21" s="40" t="s">
        <v>38</v>
      </c>
      <c r="B21" s="23">
        <f t="shared" ref="B21:D21" si="6">sum(B22:B24)</f>
        <v>8450</v>
      </c>
      <c r="C21" s="23">
        <f t="shared" si="6"/>
        <v>11350</v>
      </c>
      <c r="D21" s="23">
        <f t="shared" si="6"/>
        <v>2625</v>
      </c>
    </row>
    <row r="22">
      <c r="A22" s="28" t="s">
        <v>40</v>
      </c>
      <c r="B22" s="22">
        <v>8450.0</v>
      </c>
      <c r="C22" s="29">
        <v>11350.0</v>
      </c>
      <c r="D22" s="29">
        <v>2625.0</v>
      </c>
    </row>
    <row r="23">
      <c r="A23" s="28" t="s">
        <v>41</v>
      </c>
      <c r="B23" s="22">
        <v>0.0</v>
      </c>
      <c r="C23" s="29">
        <v>0.0</v>
      </c>
      <c r="D23" s="29">
        <v>0.0</v>
      </c>
    </row>
    <row r="24">
      <c r="A24" s="28" t="s">
        <v>42</v>
      </c>
      <c r="B24" s="22">
        <v>0.0</v>
      </c>
      <c r="C24" s="29">
        <v>0.0</v>
      </c>
      <c r="D24" s="29">
        <v>0.0</v>
      </c>
    </row>
    <row r="25">
      <c r="A25" s="42" t="s">
        <v>44</v>
      </c>
      <c r="B25" s="34">
        <v>0.0</v>
      </c>
      <c r="C25" s="43">
        <v>0.0</v>
      </c>
      <c r="D25" s="43">
        <v>0.0</v>
      </c>
    </row>
    <row r="26">
      <c r="A26" s="46" t="s">
        <v>45</v>
      </c>
      <c r="B26" s="48">
        <f t="shared" ref="B26:D26" si="7">B3+B13+B17+B18+B21+B25</f>
        <v>36986</v>
      </c>
      <c r="C26" s="48">
        <f t="shared" si="7"/>
        <v>73258</v>
      </c>
      <c r="D26" s="48">
        <f t="shared" si="7"/>
        <v>23536</v>
      </c>
    </row>
    <row r="27">
      <c r="A27" s="51" t="s">
        <v>47</v>
      </c>
      <c r="B27" s="52">
        <f t="shared" ref="B27:D27" si="8">B26-(B26/1.18)</f>
        <v>5641.932203</v>
      </c>
      <c r="C27" s="52">
        <f t="shared" si="8"/>
        <v>11174.94915</v>
      </c>
      <c r="D27" s="52">
        <f t="shared" si="8"/>
        <v>3590.237288</v>
      </c>
    </row>
    <row r="28">
      <c r="A28" s="55" t="s">
        <v>49</v>
      </c>
      <c r="B28" s="52">
        <f t="shared" ref="B28:D28" si="9">B26-B27</f>
        <v>31344.0678</v>
      </c>
      <c r="C28" s="52">
        <f t="shared" si="9"/>
        <v>62083.05085</v>
      </c>
      <c r="D28" s="52">
        <f t="shared" si="9"/>
        <v>19945.76271</v>
      </c>
    </row>
  </sheetData>
  <hyperlinks>
    <hyperlink r:id="rId1" ref="B1"/>
    <hyperlink r:id="rId2" ref="C1"/>
    <hyperlink r:id="rId3" ref="D1"/>
  </hyperlinks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 outlineLevelRow="1"/>
  <cols>
    <col customWidth="1" min="1" max="1" width="21.25"/>
  </cols>
  <sheetData>
    <row r="1">
      <c r="A1" s="3"/>
      <c r="B1" s="5" t="s">
        <v>1</v>
      </c>
      <c r="C1" s="5" t="s">
        <v>1</v>
      </c>
      <c r="D1" s="5" t="s">
        <v>1</v>
      </c>
    </row>
    <row r="2">
      <c r="A2" s="1" t="s">
        <v>6</v>
      </c>
      <c r="B2" s="7" t="s">
        <v>9</v>
      </c>
      <c r="C2" s="7" t="s">
        <v>3</v>
      </c>
      <c r="D2" s="7" t="s">
        <v>10</v>
      </c>
    </row>
    <row r="3">
      <c r="A3" s="21" t="s">
        <v>16</v>
      </c>
      <c r="B3" s="23">
        <f t="shared" ref="B3:D3" si="1">sum(B4,B10)</f>
        <v>3350</v>
      </c>
      <c r="C3" s="23">
        <f t="shared" si="1"/>
        <v>4692</v>
      </c>
      <c r="D3" s="23">
        <f t="shared" si="1"/>
        <v>2242</v>
      </c>
    </row>
    <row r="4">
      <c r="A4" s="21" t="s">
        <v>20</v>
      </c>
      <c r="B4" s="23">
        <f t="shared" ref="B4:D4" si="2">sum(B5:B9)</f>
        <v>0</v>
      </c>
      <c r="C4" s="23">
        <f t="shared" si="2"/>
        <v>4392</v>
      </c>
      <c r="D4" s="23">
        <f t="shared" si="2"/>
        <v>2242</v>
      </c>
    </row>
    <row r="5">
      <c r="A5" s="28" t="s">
        <v>21</v>
      </c>
      <c r="B5" s="22">
        <v>0.0</v>
      </c>
      <c r="C5" s="29">
        <v>4392.0</v>
      </c>
      <c r="D5" s="29">
        <v>2242.0</v>
      </c>
    </row>
    <row r="6">
      <c r="A6" s="28" t="s">
        <v>22</v>
      </c>
      <c r="B6" s="22">
        <v>0.0</v>
      </c>
      <c r="C6" s="29">
        <v>0.0</v>
      </c>
      <c r="D6" s="29">
        <v>0.0</v>
      </c>
    </row>
    <row r="7">
      <c r="A7" s="28" t="s">
        <v>23</v>
      </c>
      <c r="B7" s="22">
        <v>0.0</v>
      </c>
      <c r="C7" s="29">
        <v>0.0</v>
      </c>
      <c r="D7" s="29">
        <v>0.0</v>
      </c>
    </row>
    <row r="8">
      <c r="A8" s="28" t="s">
        <v>24</v>
      </c>
      <c r="B8" s="22">
        <v>0.0</v>
      </c>
      <c r="C8" s="22">
        <v>0.0</v>
      </c>
      <c r="D8" s="22">
        <v>0.0</v>
      </c>
    </row>
    <row r="9">
      <c r="A9" s="28" t="s">
        <v>25</v>
      </c>
      <c r="B9" s="22">
        <v>0.0</v>
      </c>
      <c r="C9" s="29">
        <v>0.0</v>
      </c>
      <c r="D9" s="29">
        <v>0.0</v>
      </c>
    </row>
    <row r="10">
      <c r="A10" s="21" t="s">
        <v>26</v>
      </c>
      <c r="B10" s="23">
        <f t="shared" ref="B10:D10" si="3">sum(B11:B12)</f>
        <v>3350</v>
      </c>
      <c r="C10" s="23">
        <f t="shared" si="3"/>
        <v>300</v>
      </c>
      <c r="D10" s="23">
        <f t="shared" si="3"/>
        <v>0</v>
      </c>
    </row>
    <row r="11">
      <c r="A11" s="28" t="s">
        <v>27</v>
      </c>
      <c r="B11" s="22">
        <v>3350.0</v>
      </c>
      <c r="C11" s="29">
        <v>300.0</v>
      </c>
      <c r="D11" s="29">
        <v>0.0</v>
      </c>
    </row>
    <row r="12">
      <c r="A12" s="28" t="s">
        <v>28</v>
      </c>
      <c r="B12" s="33">
        <v>0.0</v>
      </c>
      <c r="C12" s="29">
        <v>0.0</v>
      </c>
      <c r="D12" s="29">
        <v>0.0</v>
      </c>
    </row>
    <row r="13">
      <c r="A13" s="21" t="s">
        <v>29</v>
      </c>
      <c r="B13" s="23">
        <f t="shared" ref="B13:D13" si="4">sum(B14:B16)</f>
        <v>2384</v>
      </c>
      <c r="C13" s="23">
        <f t="shared" si="4"/>
        <v>0</v>
      </c>
      <c r="D13" s="23">
        <f t="shared" si="4"/>
        <v>0</v>
      </c>
    </row>
    <row r="14">
      <c r="A14" s="28" t="s">
        <v>30</v>
      </c>
      <c r="B14" s="29">
        <v>0.0</v>
      </c>
      <c r="C14" s="29">
        <v>0.0</v>
      </c>
      <c r="D14" s="34">
        <v>0.0</v>
      </c>
    </row>
    <row r="15">
      <c r="A15" s="28" t="s">
        <v>31</v>
      </c>
      <c r="B15" s="29">
        <v>2384.0</v>
      </c>
      <c r="C15" s="29">
        <v>0.0</v>
      </c>
      <c r="D15" s="29">
        <v>0.0</v>
      </c>
    </row>
    <row r="16">
      <c r="A16" s="35" t="s">
        <v>33</v>
      </c>
      <c r="B16" s="22">
        <v>0.0</v>
      </c>
      <c r="C16" s="22">
        <v>0.0</v>
      </c>
      <c r="D16" s="22">
        <v>0.0</v>
      </c>
    </row>
    <row r="17">
      <c r="A17" s="21" t="s">
        <v>34</v>
      </c>
      <c r="B17" s="31">
        <v>0.0</v>
      </c>
      <c r="C17" s="31">
        <v>0.0</v>
      </c>
      <c r="D17" s="31">
        <v>0.0</v>
      </c>
    </row>
    <row r="18">
      <c r="A18" s="38" t="s">
        <v>35</v>
      </c>
      <c r="B18" s="23">
        <f t="shared" ref="B18:D18" si="5">sum(B19,B20)</f>
        <v>0</v>
      </c>
      <c r="C18" s="23">
        <f t="shared" si="5"/>
        <v>0</v>
      </c>
      <c r="D18" s="23">
        <f t="shared" si="5"/>
        <v>0</v>
      </c>
    </row>
    <row r="19">
      <c r="A19" s="28" t="s">
        <v>36</v>
      </c>
      <c r="B19" s="33">
        <v>0.0</v>
      </c>
      <c r="C19" s="29">
        <v>0.0</v>
      </c>
      <c r="D19" s="29">
        <v>0.0</v>
      </c>
    </row>
    <row r="20">
      <c r="A20" s="28" t="s">
        <v>37</v>
      </c>
      <c r="B20" s="22">
        <v>0.0</v>
      </c>
      <c r="C20" s="29">
        <v>0.0</v>
      </c>
      <c r="D20" s="29">
        <v>0.0</v>
      </c>
    </row>
    <row r="21">
      <c r="A21" s="40" t="s">
        <v>38</v>
      </c>
      <c r="B21" s="23">
        <f t="shared" ref="B21:D21" si="6">sum(B22:B24)</f>
        <v>0</v>
      </c>
      <c r="C21" s="23">
        <f t="shared" si="6"/>
        <v>450</v>
      </c>
      <c r="D21" s="23">
        <f t="shared" si="6"/>
        <v>0</v>
      </c>
    </row>
    <row r="22">
      <c r="A22" s="28" t="s">
        <v>40</v>
      </c>
      <c r="B22" s="22">
        <v>0.0</v>
      </c>
      <c r="C22" s="29">
        <v>450.0</v>
      </c>
      <c r="D22" s="29">
        <v>0.0</v>
      </c>
    </row>
    <row r="23">
      <c r="A23" s="28" t="s">
        <v>41</v>
      </c>
      <c r="B23" s="22">
        <v>0.0</v>
      </c>
      <c r="C23" s="29">
        <v>0.0</v>
      </c>
      <c r="D23" s="29">
        <v>0.0</v>
      </c>
    </row>
    <row r="24">
      <c r="A24" s="28" t="s">
        <v>42</v>
      </c>
      <c r="B24" s="22">
        <v>0.0</v>
      </c>
      <c r="C24" s="29">
        <v>0.0</v>
      </c>
      <c r="D24" s="29">
        <v>0.0</v>
      </c>
    </row>
    <row r="25">
      <c r="A25" s="42" t="s">
        <v>44</v>
      </c>
      <c r="B25" s="34">
        <v>0.0</v>
      </c>
      <c r="C25" s="43">
        <v>0.0</v>
      </c>
      <c r="D25" s="43">
        <v>0.0</v>
      </c>
    </row>
    <row r="26">
      <c r="A26" s="46" t="s">
        <v>45</v>
      </c>
      <c r="B26" s="48">
        <f t="shared" ref="B26:D26" si="7">B3+B13+B17+B18+B21+B25</f>
        <v>5734</v>
      </c>
      <c r="C26" s="48">
        <f t="shared" si="7"/>
        <v>5142</v>
      </c>
      <c r="D26" s="48">
        <f t="shared" si="7"/>
        <v>2242</v>
      </c>
    </row>
    <row r="27">
      <c r="A27" s="51" t="s">
        <v>47</v>
      </c>
      <c r="B27" s="52">
        <f t="shared" ref="B27:D27" si="8">B26-(B26/1.18)</f>
        <v>874.6779661</v>
      </c>
      <c r="C27" s="52">
        <f t="shared" si="8"/>
        <v>784.3728814</v>
      </c>
      <c r="D27" s="52">
        <f t="shared" si="8"/>
        <v>342</v>
      </c>
    </row>
    <row r="28">
      <c r="A28" s="55" t="s">
        <v>49</v>
      </c>
      <c r="B28" s="52">
        <f t="shared" ref="B28:D28" si="9">B26-B27</f>
        <v>4859.322034</v>
      </c>
      <c r="C28" s="52">
        <f t="shared" si="9"/>
        <v>4357.627119</v>
      </c>
      <c r="D28" s="52">
        <f t="shared" si="9"/>
        <v>1900</v>
      </c>
    </row>
  </sheetData>
  <hyperlinks>
    <hyperlink r:id="rId1" ref="B1"/>
    <hyperlink r:id="rId2" ref="C1"/>
    <hyperlink r:id="rId3" ref="D1"/>
  </hyperlinks>
  <drawing r:id="rId4"/>
</worksheet>
</file>