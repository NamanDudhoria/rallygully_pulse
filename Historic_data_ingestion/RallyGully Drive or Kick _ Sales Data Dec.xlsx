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District" sheetId="6" r:id="rId10"/>
    <sheet state="visible" name="Misfits" sheetId="7" r:id="rId11"/>
    <sheet state="visible" name="Sportomic" sheetId="8" r:id="rId12"/>
    <sheet state="visible" name="Memberships" sheetId="9" r:id="rId13"/>
    <sheet state="visible" name="Brand Activation" sheetId="10" r:id="rId14"/>
    <sheet state="visible" name="Other Income" sheetId="11" r:id="rId15"/>
  </sheets>
  <definedNames/>
  <calcPr/>
</workbook>
</file>

<file path=xl/sharedStrings.xml><?xml version="1.0" encoding="utf-8"?>
<sst xmlns="http://schemas.openxmlformats.org/spreadsheetml/2006/main" count="166" uniqueCount="87">
  <si>
    <t>Date: 1st - 31st Dec</t>
  </si>
  <si>
    <t>Date</t>
  </si>
  <si>
    <r>
      <rPr>
        <rFont val="Arial"/>
        <b/>
        <color rgb="FF1155CC"/>
        <u/>
      </rPr>
      <t>Link</t>
    </r>
    <r>
      <rPr>
        <rFont val="Arial"/>
        <b/>
        <color rgb="FF000000"/>
      </rPr>
      <t xml:space="preserve"> </t>
    </r>
  </si>
  <si>
    <t>Particulars</t>
  </si>
  <si>
    <t>Day</t>
  </si>
  <si>
    <t>Amount</t>
  </si>
  <si>
    <t>Offline booking hours</t>
  </si>
  <si>
    <t>Discount Given</t>
  </si>
  <si>
    <t>Offline</t>
  </si>
  <si>
    <t>Booking Revenue</t>
  </si>
  <si>
    <t>Community Revenue</t>
  </si>
  <si>
    <t xml:space="preserve">Paddle Rental </t>
  </si>
  <si>
    <t>Total Revenue</t>
  </si>
  <si>
    <t>Link</t>
  </si>
  <si>
    <t>Monday</t>
  </si>
  <si>
    <t>20% and 10%</t>
  </si>
  <si>
    <t>Rentals</t>
  </si>
  <si>
    <t>Paid to Playo (₹)</t>
  </si>
  <si>
    <t>Commissions (₹)</t>
  </si>
  <si>
    <t>GST (₹)</t>
  </si>
  <si>
    <t>Net Revenue</t>
  </si>
  <si>
    <t>TDS (₹)</t>
  </si>
  <si>
    <t>TCS (₹)</t>
  </si>
  <si>
    <t>Final Amount (₹)</t>
  </si>
  <si>
    <t>Tuesday</t>
  </si>
  <si>
    <t>1 - 31 Dec</t>
  </si>
  <si>
    <t>F&amp;B</t>
  </si>
  <si>
    <t>Product Sales</t>
  </si>
  <si>
    <t>Bookings</t>
  </si>
  <si>
    <t>Wednesday</t>
  </si>
  <si>
    <t>Online: Third Party Platform</t>
  </si>
  <si>
    <t>Thursday</t>
  </si>
  <si>
    <t>Paid to Hudle</t>
  </si>
  <si>
    <t>Commisions (Including GST)</t>
  </si>
  <si>
    <t>Friday</t>
  </si>
  <si>
    <t>Hudle</t>
  </si>
  <si>
    <t>TDS</t>
  </si>
  <si>
    <t>TCS</t>
  </si>
  <si>
    <t>Saturday</t>
  </si>
  <si>
    <t>Sunday</t>
  </si>
  <si>
    <t>Playo</t>
  </si>
  <si>
    <t>District</t>
  </si>
  <si>
    <t>1 - 9 Dec</t>
  </si>
  <si>
    <t>Khelomore</t>
  </si>
  <si>
    <t>Community</t>
  </si>
  <si>
    <t>Courtly</t>
  </si>
  <si>
    <t>Sportomic</t>
  </si>
  <si>
    <t>Rallygully Community games</t>
  </si>
  <si>
    <t>9 - 16 Dec</t>
  </si>
  <si>
    <t>Misfits Community</t>
  </si>
  <si>
    <t>Memberships</t>
  </si>
  <si>
    <t>Corporate Events</t>
  </si>
  <si>
    <t>Brand Activation</t>
  </si>
  <si>
    <t>Other Income</t>
  </si>
  <si>
    <t>16 - 23 Dec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</si>
  <si>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</si>
  <si>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</si>
  <si>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23 - 30 Dec</t>
  </si>
  <si>
    <t>30 - 31 Dec</t>
  </si>
  <si>
    <t>Total Net Revenue (Post Commissions)</t>
  </si>
  <si>
    <t>Total</t>
  </si>
  <si>
    <t>Total Revenue post GST</t>
  </si>
  <si>
    <t>Drive &amp; Kick Share (70%)</t>
  </si>
  <si>
    <t>Drive &amp; Kick Share (Final share after incorporting 18k already received by Drive Kick)</t>
  </si>
  <si>
    <t>RallyGully's Share (30%)</t>
  </si>
  <si>
    <t>Paid to Khelomore (₹)</t>
  </si>
  <si>
    <t>Paid to District</t>
  </si>
  <si>
    <t>1 - 31st Dec</t>
  </si>
  <si>
    <t>Paid to Misfits (₹)</t>
  </si>
  <si>
    <t>Post Comission (20%)</t>
  </si>
  <si>
    <t xml:space="preserve">TDS </t>
  </si>
  <si>
    <t>Member Name</t>
  </si>
  <si>
    <t>Sports Type</t>
  </si>
  <si>
    <t>Membership Type</t>
  </si>
  <si>
    <t>Start Date</t>
  </si>
  <si>
    <t>Amount Collected</t>
  </si>
  <si>
    <t>Paid to Sportomic (₹)</t>
  </si>
  <si>
    <t xml:space="preserve">Date </t>
  </si>
  <si>
    <t>Brand Name</t>
  </si>
  <si>
    <t>Type of collab</t>
  </si>
  <si>
    <t>Month</t>
  </si>
  <si>
    <t>Coaching</t>
  </si>
  <si>
    <t>Type</t>
  </si>
  <si>
    <t>Dec</t>
  </si>
  <si>
    <t>Basketball Coaching</t>
  </si>
  <si>
    <t>Basketball</t>
  </si>
  <si>
    <t>3 days in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</si>
</sst>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  <numFmt numFmtId="168" formatCode="[$₹]#,##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rgb="FF000000"/>
      <name val="Arial"/>
    </font>
    <font>
      <sz val="11.0"/>
      <color theme="1"/>
      <name val="Calibri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0" fillId="2" fontId="1" numFmtId="164" xfId="0" applyAlignment="1" applyFill="1" applyFont="1" applyNumberForma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3" fillId="0" fontId="1" numFmtId="0" xfId="0" applyAlignment="1" applyBorder="1" applyFont="1">
      <alignment vertical="bottom"/>
    </xf>
    <xf borderId="0" fillId="2" fontId="1" numFmtId="3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9" xfId="0" applyAlignment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3" fillId="2" fontId="4" numFmtId="0" xfId="0" applyAlignment="1" applyBorder="1" applyFill="1" applyFont="1">
      <alignment horizontal="center" readingOrder="0" vertical="bottom"/>
    </xf>
    <xf borderId="3" fillId="0" fontId="3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165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3" fillId="0" fontId="3" numFmtId="0" xfId="0" applyAlignment="1" applyBorder="1" applyFont="1">
      <alignment readingOrder="0"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166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vertical="bottom"/>
    </xf>
    <xf borderId="0" fillId="2" fontId="5" numFmtId="0" xfId="0" applyAlignment="1" applyFill="1" applyFont="1">
      <alignment horizontal="center" readingOrder="0" vertical="bottom"/>
    </xf>
    <xf borderId="3" fillId="2" fontId="1" numFmtId="166" xfId="0" applyAlignment="1" applyBorder="1" applyFill="1" applyFont="1" applyNumberFormat="1">
      <alignment horizontal="center" vertical="bottom"/>
    </xf>
    <xf borderId="3" fillId="0" fontId="3" numFmtId="167" xfId="0" applyAlignment="1" applyBorder="1" applyFont="1" applyNumberForma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3" fillId="0" fontId="3" numFmtId="167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167" xfId="0" applyAlignment="1" applyBorder="1" applyFont="1" applyNumberFormat="1">
      <alignment horizontal="right" readingOrder="0" vertical="bottom"/>
    </xf>
    <xf borderId="3" fillId="0" fontId="3" numFmtId="4" xfId="0" applyAlignment="1" applyBorder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3" fillId="0" fontId="3" numFmtId="4" xfId="0" applyAlignment="1" applyBorder="1" applyFont="1" applyNumberFormat="1">
      <alignment vertical="bottom"/>
    </xf>
    <xf borderId="3" fillId="0" fontId="1" numFmtId="0" xfId="0" applyAlignment="1" applyBorder="1" applyFont="1">
      <alignment readingOrder="0" vertical="bottom"/>
    </xf>
    <xf borderId="3" fillId="0" fontId="1" numFmtId="167" xfId="0" applyAlignment="1" applyBorder="1" applyFont="1" applyNumberFormat="1">
      <alignment horizontal="right" vertical="bottom"/>
    </xf>
    <xf borderId="0" fillId="3" fontId="3" numFmtId="164" xfId="0" applyAlignment="1" applyFill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9" xfId="0" applyAlignment="1" applyFill="1" applyFont="1" applyNumberFormat="1">
      <alignment horizontal="right" vertical="bottom"/>
    </xf>
    <xf borderId="0" fillId="3" fontId="3" numFmtId="3" xfId="0" applyAlignment="1" applyFill="1" applyFont="1" applyNumberFormat="1">
      <alignment vertical="bottom"/>
    </xf>
    <xf borderId="3" fillId="0" fontId="1" numFmtId="4" xfId="0" applyAlignment="1" applyBorder="1" applyFont="1" applyNumberFormat="1">
      <alignment horizontal="right" vertical="bottom"/>
    </xf>
    <xf borderId="3" fillId="0" fontId="1" numFmtId="167" xfId="0" applyAlignment="1" applyBorder="1" applyFont="1" applyNumberFormat="1">
      <alignment vertical="bottom"/>
    </xf>
    <xf borderId="0" fillId="0" fontId="3" numFmtId="166" xfId="0" applyAlignment="1" applyFont="1" applyNumberFormat="1">
      <alignment vertical="bottom"/>
    </xf>
    <xf borderId="3" fillId="0" fontId="7" numFmtId="166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3" fillId="0" fontId="3" numFmtId="166" xfId="0" applyAlignment="1" applyBorder="1" applyFont="1" applyNumberFormat="1">
      <alignment readingOrder="0" vertical="bottom"/>
    </xf>
    <xf borderId="4" fillId="0" fontId="3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shrinkToFit="0" vertical="bottom" wrapText="1"/>
    </xf>
    <xf borderId="0" fillId="0" fontId="3" numFmtId="166" xfId="0" applyAlignment="1" applyFont="1" applyNumberFormat="1">
      <alignment readingOrder="0" vertical="bottom"/>
    </xf>
    <xf borderId="3" fillId="0" fontId="3" numFmtId="166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readingOrder="0" shrinkToFit="0" vertical="bottom" wrapText="1"/>
    </xf>
    <xf borderId="0" fillId="0" fontId="8" numFmtId="0" xfId="0" applyFont="1"/>
    <xf borderId="0" fillId="2" fontId="3" numFmtId="0" xfId="0" applyAlignment="1" applyFill="1" applyFont="1">
      <alignment vertical="bottom"/>
    </xf>
    <xf borderId="3" fillId="0" fontId="1" numFmtId="3" xfId="0" applyAlignment="1" applyBorder="1" applyFont="1" applyNumberFormat="1">
      <alignment horizontal="right" vertical="bottom"/>
    </xf>
    <xf borderId="0" fillId="2" fontId="3" numFmtId="9" xfId="0" applyAlignment="1" applyFill="1" applyFont="1" applyNumberFormat="1">
      <alignment vertical="bottom"/>
    </xf>
    <xf borderId="3" fillId="0" fontId="1" numFmtId="166" xfId="0" applyAlignment="1" applyBorder="1" applyFont="1" applyNumberFormat="1">
      <alignment horizontal="right" vertical="bottom"/>
    </xf>
    <xf borderId="3" fillId="0" fontId="3" numFmtId="168" xfId="0" applyAlignment="1" applyBorder="1" applyFont="1" applyNumberFormat="1">
      <alignment horizontal="right" shrinkToFit="0" vertical="bottom" wrapText="1"/>
    </xf>
    <xf borderId="3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vertical="bottom"/>
    </xf>
    <xf borderId="3" fillId="0" fontId="9" numFmtId="0" xfId="0" applyAlignment="1" applyBorder="1" applyFont="1">
      <alignment horizontal="right" vertical="bottom"/>
    </xf>
    <xf borderId="3" fillId="2" fontId="1" numFmtId="0" xfId="0" applyAlignment="1" applyBorder="1" applyFill="1" applyFont="1">
      <alignment horizontal="center" readingOrder="0" vertical="bottom"/>
    </xf>
    <xf borderId="0" fillId="0" fontId="3" numFmtId="164" xfId="0" applyAlignment="1" applyFont="1" applyNumberFormat="1">
      <alignment vertical="bottom"/>
    </xf>
    <xf borderId="3" fillId="0" fontId="3" numFmtId="0" xfId="0" applyAlignment="1" applyBorder="1" applyFont="1">
      <alignment horizontal="right" vertical="bottom"/>
    </xf>
    <xf borderId="3" fillId="0" fontId="10" numFmtId="0" xfId="0" applyBorder="1" applyFont="1"/>
    <xf borderId="3" fillId="2" fontId="1" numFmtId="0" xfId="0" applyAlignment="1" applyBorder="1" applyFill="1" applyFont="1">
      <alignment horizontal="right" vertical="bottom"/>
    </xf>
    <xf borderId="3" fillId="0" fontId="1" numFmtId="165" xfId="0" applyAlignment="1" applyBorder="1" applyFont="1" applyNumberFormat="1">
      <alignment horizontal="right" readingOrder="0" vertical="bottom"/>
    </xf>
    <xf borderId="3" fillId="0" fontId="10" numFmtId="164" xfId="0" applyAlignment="1" applyBorder="1" applyFont="1" applyNumberFormat="1">
      <alignment readingOrder="0"/>
    </xf>
    <xf borderId="3" fillId="0" fontId="10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readingOrder="0" vertical="bottom"/>
    </xf>
    <xf borderId="3" fillId="0" fontId="8" numFmtId="165" xfId="0" applyBorder="1" applyFont="1" applyNumberFormat="1"/>
    <xf borderId="0" fillId="0" fontId="8" numFmtId="165" xfId="0" applyFont="1" applyNumberFormat="1"/>
    <xf borderId="0" fillId="2" fontId="8" numFmtId="166" xfId="0" applyAlignment="1" applyFill="1" applyFont="1" applyNumberFormat="1">
      <alignment horizontal="center" readingOrder="0"/>
    </xf>
    <xf borderId="0" fillId="0" fontId="10" numFmtId="164" xfId="0" applyAlignment="1" applyFont="1" applyNumberFormat="1">
      <alignment horizontal="left" readingOrder="0"/>
    </xf>
    <xf borderId="0" fillId="0" fontId="10" numFmtId="166" xfId="0" applyAlignment="1" applyFont="1" applyNumberFormat="1">
      <alignment horizontal="left" readingOrder="0"/>
    </xf>
    <xf borderId="0" fillId="0" fontId="10" numFmtId="166" xfId="0" applyFont="1" applyNumberFormat="1"/>
    <xf borderId="0" fillId="0" fontId="8" numFmtId="166" xfId="0" applyFont="1" applyNumberFormat="1"/>
    <xf borderId="3" fillId="2" fontId="1" numFmtId="0" xfId="0" applyAlignment="1" applyBorder="1" applyFill="1" applyFont="1">
      <alignment horizontal="center" vertical="bottom"/>
    </xf>
    <xf borderId="3" fillId="0" fontId="3" numFmtId="164" xfId="0" applyAlignment="1" applyBorder="1" applyFont="1" applyNumberFormat="1">
      <alignment vertical="bottom"/>
    </xf>
    <xf borderId="3" fillId="0" fontId="3" numFmtId="167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9Wa28gIIbCIp9MAL_vgaQwWHx04GsbZsnm-w7Q_JW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</row>
    <row r="3">
      <c r="B3" s="4" t="s">
        <v>3</v>
      </c>
      <c r="C3" s="4" t="s">
        <v>5</v>
      </c>
    </row>
    <row r="4">
      <c r="B4" s="7" t="s">
        <v>8</v>
      </c>
      <c r="C4" s="13">
        <f>SUM(C5,C6,C7,C8)</f>
        <v>11535</v>
      </c>
    </row>
    <row r="5" outlineLevel="1">
      <c r="B5" s="15" t="s">
        <v>16</v>
      </c>
      <c r="C5" s="19">
        <f>'Offline &amp; RG Community'!G33</f>
        <v>3775</v>
      </c>
    </row>
    <row r="6" outlineLevel="1">
      <c r="B6" s="15" t="s">
        <v>26</v>
      </c>
      <c r="C6" s="22">
        <v>0.0</v>
      </c>
    </row>
    <row r="7" outlineLevel="1">
      <c r="B7" s="15" t="s">
        <v>27</v>
      </c>
      <c r="C7" s="22">
        <v>0.0</v>
      </c>
    </row>
    <row r="8" outlineLevel="1">
      <c r="B8" s="15" t="s">
        <v>28</v>
      </c>
      <c r="C8" s="22">
        <f>'Offline &amp; RG Community'!E33</f>
        <v>7760</v>
      </c>
    </row>
    <row r="9">
      <c r="B9" s="7" t="s">
        <v>30</v>
      </c>
      <c r="C9" s="13">
        <f>SUM(C10:C13)</f>
        <v>15050</v>
      </c>
    </row>
    <row r="10" outlineLevel="1">
      <c r="B10" s="15" t="s">
        <v>35</v>
      </c>
      <c r="C10" s="19">
        <f>Hudle!C7</f>
        <v>14650</v>
      </c>
    </row>
    <row r="11" outlineLevel="1">
      <c r="B11" s="15" t="s">
        <v>40</v>
      </c>
      <c r="C11" s="19">
        <f>Playo!C6</f>
        <v>400</v>
      </c>
    </row>
    <row r="12" outlineLevel="1">
      <c r="B12" s="15" t="s">
        <v>41</v>
      </c>
      <c r="C12" s="19">
        <f>District!C2</f>
        <v>0</v>
      </c>
    </row>
    <row r="13" outlineLevel="1">
      <c r="B13" s="15" t="s">
        <v>43</v>
      </c>
      <c r="C13" s="19">
        <f>Khelomore!C4</f>
        <v>0</v>
      </c>
    </row>
    <row r="14">
      <c r="B14" s="37" t="s">
        <v>44</v>
      </c>
      <c r="C14" s="13">
        <f>SUM(C16,C17,C18)</f>
        <v>6340</v>
      </c>
    </row>
    <row r="15" outlineLevel="1">
      <c r="B15" s="21" t="s">
        <v>45</v>
      </c>
      <c r="C15" s="22">
        <v>0.0</v>
      </c>
    </row>
    <row r="16" outlineLevel="1">
      <c r="B16" s="21" t="s">
        <v>46</v>
      </c>
      <c r="C16" s="19">
        <f>Sportomic!C6</f>
        <v>4800</v>
      </c>
    </row>
    <row r="17" outlineLevel="1">
      <c r="B17" s="15" t="s">
        <v>47</v>
      </c>
      <c r="C17" s="22">
        <f>'Offline &amp; RG Community'!F33</f>
        <v>900</v>
      </c>
    </row>
    <row r="18" outlineLevel="1">
      <c r="B18" s="15" t="s">
        <v>49</v>
      </c>
      <c r="C18" s="19">
        <f>Misfits!C6</f>
        <v>640</v>
      </c>
    </row>
    <row r="19">
      <c r="B19" s="7" t="s">
        <v>50</v>
      </c>
      <c r="C19" s="22">
        <v>0.0</v>
      </c>
    </row>
    <row r="20">
      <c r="B20" s="15" t="s">
        <v>51</v>
      </c>
      <c r="C20" s="22">
        <v>0.0</v>
      </c>
    </row>
    <row r="21">
      <c r="B21" s="15" t="s">
        <v>52</v>
      </c>
      <c r="C21" s="22">
        <v>0.0</v>
      </c>
    </row>
    <row r="22">
      <c r="B22" s="48" t="s">
        <v>53</v>
      </c>
      <c r="C22" s="50">
        <f>'Other Income'!E2</f>
        <v>18000</v>
      </c>
      <c r="D22" s="51" t="s">
        <v>55</v>
      </c>
    </row>
    <row r="23">
      <c r="B23" s="7" t="s">
        <v>56</v>
      </c>
      <c r="C23" s="13">
        <f>sum(C4,C9,C14,C19,C20,C21,C22)</f>
        <v>50925</v>
      </c>
    </row>
    <row r="24">
      <c r="B24" s="54" t="s">
        <v>59</v>
      </c>
      <c r="C24" s="57">
        <f>'Offline &amp; RG Community'!H33 +Hudle!E7 + Playo!I6 + Misfits!F2 + Sportomic!C6 +'Other Income'!E2</f>
        <v>48807.26</v>
      </c>
    </row>
    <row r="25">
      <c r="B25" s="7" t="s">
        <v>61</v>
      </c>
      <c r="C25" s="13">
        <f>((C24-C22)/1.18)+C22</f>
        <v>44107.84746</v>
      </c>
    </row>
    <row r="26">
      <c r="B26" s="15" t="s">
        <v>62</v>
      </c>
      <c r="C26" s="60">
        <f>C25*70%</f>
        <v>30875.49322</v>
      </c>
    </row>
    <row r="27">
      <c r="B27" s="61" t="s">
        <v>63</v>
      </c>
      <c r="C27" s="60">
        <f>C26-C22</f>
        <v>12875.49322</v>
      </c>
    </row>
    <row r="28">
      <c r="B28" s="15" t="s">
        <v>64</v>
      </c>
      <c r="C28" s="60">
        <f>C25*30%</f>
        <v>13232.35424</v>
      </c>
    </row>
  </sheetData>
  <mergeCells count="2">
    <mergeCell ref="B2:C2"/>
    <mergeCell ref="D22:I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3" t="s">
        <v>1</v>
      </c>
      <c r="B1" s="5" t="s">
        <v>4</v>
      </c>
      <c r="C1" s="5" t="s">
        <v>6</v>
      </c>
      <c r="D1" s="6" t="s">
        <v>7</v>
      </c>
      <c r="E1" s="8" t="s">
        <v>9</v>
      </c>
      <c r="F1" s="5" t="s">
        <v>10</v>
      </c>
      <c r="G1" s="8" t="s">
        <v>11</v>
      </c>
      <c r="H1" s="9" t="s">
        <v>12</v>
      </c>
    </row>
    <row r="2">
      <c r="A2" s="10">
        <v>45992.0</v>
      </c>
      <c r="B2" s="11" t="s">
        <v>14</v>
      </c>
      <c r="C2" s="11"/>
      <c r="D2" s="12" t="s">
        <v>15</v>
      </c>
      <c r="E2" s="11"/>
      <c r="F2" s="11"/>
      <c r="G2" s="11"/>
      <c r="H2" s="17">
        <f t="shared" ref="H2:H11" si="1">SUM(E2:G2)</f>
        <v>0</v>
      </c>
    </row>
    <row r="3">
      <c r="A3" s="10">
        <v>45993.0</v>
      </c>
      <c r="B3" s="11" t="s">
        <v>24</v>
      </c>
      <c r="C3" s="17">
        <v>0.0</v>
      </c>
      <c r="D3" s="12" t="s">
        <v>15</v>
      </c>
      <c r="E3" s="20">
        <v>0.0</v>
      </c>
      <c r="F3" s="17">
        <v>0.0</v>
      </c>
      <c r="G3" s="20">
        <v>100.0</v>
      </c>
      <c r="H3" s="20">
        <f t="shared" si="1"/>
        <v>100</v>
      </c>
    </row>
    <row r="4">
      <c r="A4" s="10">
        <v>45994.0</v>
      </c>
      <c r="B4" s="11" t="s">
        <v>29</v>
      </c>
      <c r="C4" s="17">
        <v>0.5</v>
      </c>
      <c r="D4" s="12" t="s">
        <v>15</v>
      </c>
      <c r="E4" s="20">
        <v>360.0</v>
      </c>
      <c r="F4" s="17">
        <v>0.0</v>
      </c>
      <c r="G4" s="20">
        <v>200.0</v>
      </c>
      <c r="H4" s="20">
        <f t="shared" si="1"/>
        <v>560</v>
      </c>
    </row>
    <row r="5">
      <c r="A5" s="10">
        <v>45995.0</v>
      </c>
      <c r="B5" s="11" t="s">
        <v>31</v>
      </c>
      <c r="C5" s="17">
        <v>0.0</v>
      </c>
      <c r="D5" s="12" t="s">
        <v>15</v>
      </c>
      <c r="E5" s="20">
        <v>0.0</v>
      </c>
      <c r="F5" s="17">
        <v>0.0</v>
      </c>
      <c r="G5" s="20">
        <v>50.0</v>
      </c>
      <c r="H5" s="20">
        <f t="shared" si="1"/>
        <v>50</v>
      </c>
    </row>
    <row r="6">
      <c r="A6" s="10">
        <v>45996.0</v>
      </c>
      <c r="B6" s="11" t="s">
        <v>34</v>
      </c>
      <c r="C6" s="17">
        <v>1.0</v>
      </c>
      <c r="D6" s="12" t="s">
        <v>15</v>
      </c>
      <c r="E6" s="17">
        <v>720.0</v>
      </c>
      <c r="F6" s="17">
        <v>0.0</v>
      </c>
      <c r="G6" s="20">
        <v>100.0</v>
      </c>
      <c r="H6" s="17">
        <f t="shared" si="1"/>
        <v>820</v>
      </c>
    </row>
    <row r="7">
      <c r="A7" s="10">
        <v>45997.0</v>
      </c>
      <c r="B7" s="11" t="s">
        <v>38</v>
      </c>
      <c r="C7" s="17">
        <v>0.0</v>
      </c>
      <c r="D7" s="12" t="s">
        <v>15</v>
      </c>
      <c r="E7" s="17">
        <v>0.0</v>
      </c>
      <c r="F7" s="17">
        <v>0.0</v>
      </c>
      <c r="G7" s="17">
        <v>0.0</v>
      </c>
      <c r="H7" s="17">
        <f t="shared" si="1"/>
        <v>0</v>
      </c>
    </row>
    <row r="8">
      <c r="A8" s="10">
        <v>45998.0</v>
      </c>
      <c r="B8" s="11" t="s">
        <v>39</v>
      </c>
      <c r="C8" s="17">
        <v>1.0</v>
      </c>
      <c r="D8" s="12" t="s">
        <v>15</v>
      </c>
      <c r="E8" s="20">
        <v>720.0</v>
      </c>
      <c r="F8" s="17">
        <v>0.0</v>
      </c>
      <c r="G8" s="20">
        <v>50.0</v>
      </c>
      <c r="H8" s="20">
        <f t="shared" si="1"/>
        <v>770</v>
      </c>
    </row>
    <row r="9">
      <c r="A9" s="10">
        <v>45999.0</v>
      </c>
      <c r="B9" s="11" t="s">
        <v>14</v>
      </c>
      <c r="C9" s="17">
        <v>0.0</v>
      </c>
      <c r="D9" s="12" t="s">
        <v>15</v>
      </c>
      <c r="E9" s="20">
        <v>0.0</v>
      </c>
      <c r="F9" s="17">
        <v>0.0</v>
      </c>
      <c r="G9" s="20">
        <v>0.0</v>
      </c>
      <c r="H9" s="20">
        <f t="shared" si="1"/>
        <v>0</v>
      </c>
    </row>
    <row r="10">
      <c r="A10" s="10">
        <v>46000.0</v>
      </c>
      <c r="B10" s="11" t="s">
        <v>24</v>
      </c>
      <c r="C10" s="31">
        <v>0.0</v>
      </c>
      <c r="D10" s="12" t="s">
        <v>15</v>
      </c>
      <c r="E10" s="20">
        <v>0.0</v>
      </c>
      <c r="F10" s="31">
        <v>0.0</v>
      </c>
      <c r="G10" s="20">
        <v>400.0</v>
      </c>
      <c r="H10" s="20">
        <f t="shared" si="1"/>
        <v>400</v>
      </c>
    </row>
    <row r="11">
      <c r="A11" s="10">
        <v>46001.0</v>
      </c>
      <c r="B11" s="11" t="s">
        <v>29</v>
      </c>
      <c r="C11" s="31">
        <v>0.0</v>
      </c>
      <c r="D11" s="12" t="s">
        <v>15</v>
      </c>
      <c r="E11" s="20">
        <v>0.0</v>
      </c>
      <c r="F11" s="31">
        <v>0.0</v>
      </c>
      <c r="G11" s="31">
        <v>0.0</v>
      </c>
      <c r="H11" s="20">
        <f t="shared" si="1"/>
        <v>0</v>
      </c>
    </row>
    <row r="12">
      <c r="A12" s="39">
        <v>46002.0</v>
      </c>
      <c r="B12" s="40" t="s">
        <v>31</v>
      </c>
      <c r="C12" s="41"/>
      <c r="D12" s="42" t="s">
        <v>15</v>
      </c>
      <c r="E12" s="41"/>
      <c r="F12" s="41"/>
      <c r="G12" s="43"/>
      <c r="H12" s="41"/>
    </row>
    <row r="13">
      <c r="A13" s="39">
        <v>46003.0</v>
      </c>
      <c r="B13" s="40" t="s">
        <v>34</v>
      </c>
      <c r="C13" s="41"/>
      <c r="D13" s="42" t="s">
        <v>15</v>
      </c>
      <c r="E13" s="43"/>
      <c r="F13" s="41"/>
      <c r="G13" s="43"/>
      <c r="H13" s="41"/>
    </row>
    <row r="14">
      <c r="A14" s="39">
        <v>46004.0</v>
      </c>
      <c r="B14" s="40" t="s">
        <v>38</v>
      </c>
      <c r="C14" s="41"/>
      <c r="D14" s="42" t="s">
        <v>15</v>
      </c>
      <c r="E14" s="41"/>
      <c r="F14" s="41"/>
      <c r="G14" s="41"/>
      <c r="H14" s="41"/>
    </row>
    <row r="15">
      <c r="A15" s="39">
        <v>46005.0</v>
      </c>
      <c r="B15" s="40" t="s">
        <v>39</v>
      </c>
      <c r="C15" s="41"/>
      <c r="D15" s="42" t="s">
        <v>15</v>
      </c>
      <c r="E15" s="41"/>
      <c r="F15" s="41"/>
      <c r="G15" s="41"/>
      <c r="H15" s="41"/>
    </row>
    <row r="16">
      <c r="A16" s="39">
        <v>46006.0</v>
      </c>
      <c r="B16" s="40" t="s">
        <v>14</v>
      </c>
      <c r="C16" s="41"/>
      <c r="D16" s="42" t="s">
        <v>15</v>
      </c>
      <c r="E16" s="41"/>
      <c r="F16" s="41"/>
      <c r="G16" s="41"/>
      <c r="H16" s="41"/>
    </row>
    <row r="17">
      <c r="A17" s="39">
        <v>46007.0</v>
      </c>
      <c r="B17" s="40" t="s">
        <v>24</v>
      </c>
      <c r="C17" s="41"/>
      <c r="D17" s="42" t="s">
        <v>15</v>
      </c>
      <c r="E17" s="41"/>
      <c r="F17" s="41"/>
      <c r="G17" s="41"/>
      <c r="H17" s="41"/>
    </row>
    <row r="18">
      <c r="A18" s="39">
        <v>46008.0</v>
      </c>
      <c r="B18" s="40" t="s">
        <v>29</v>
      </c>
      <c r="C18" s="41"/>
      <c r="D18" s="42" t="s">
        <v>15</v>
      </c>
      <c r="E18" s="41"/>
      <c r="F18" s="41"/>
      <c r="G18" s="41"/>
      <c r="H18" s="41"/>
    </row>
    <row r="19">
      <c r="A19" s="39">
        <v>46009.0</v>
      </c>
      <c r="B19" s="40" t="s">
        <v>31</v>
      </c>
      <c r="C19" s="41"/>
      <c r="D19" s="42" t="s">
        <v>15</v>
      </c>
      <c r="E19" s="41"/>
      <c r="F19" s="41"/>
      <c r="G19" s="41"/>
      <c r="H19" s="41"/>
    </row>
    <row r="20">
      <c r="A20" s="39">
        <v>46010.0</v>
      </c>
      <c r="B20" s="40" t="s">
        <v>34</v>
      </c>
      <c r="C20" s="41"/>
      <c r="D20" s="42" t="s">
        <v>15</v>
      </c>
      <c r="E20" s="41"/>
      <c r="F20" s="41"/>
      <c r="G20" s="41"/>
      <c r="H20" s="41"/>
    </row>
    <row r="21">
      <c r="A21" s="10">
        <v>46011.0</v>
      </c>
      <c r="B21" s="11" t="s">
        <v>38</v>
      </c>
      <c r="C21" s="29"/>
      <c r="D21" s="12" t="s">
        <v>15</v>
      </c>
      <c r="E21" s="29"/>
      <c r="F21" s="29"/>
      <c r="G21" s="29"/>
      <c r="H21" s="17">
        <f t="shared" ref="H21:H32" si="2">SUM(E21:G21)</f>
        <v>0</v>
      </c>
    </row>
    <row r="22">
      <c r="A22" s="10">
        <v>46012.0</v>
      </c>
      <c r="B22" s="11" t="s">
        <v>39</v>
      </c>
      <c r="C22" s="17">
        <v>0.0</v>
      </c>
      <c r="D22" s="12" t="s">
        <v>15</v>
      </c>
      <c r="E22" s="17">
        <v>0.0</v>
      </c>
      <c r="F22" s="17">
        <v>0.0</v>
      </c>
      <c r="G22" s="17">
        <v>100.0</v>
      </c>
      <c r="H22" s="17">
        <f t="shared" si="2"/>
        <v>100</v>
      </c>
    </row>
    <row r="23">
      <c r="A23" s="10">
        <v>46013.0</v>
      </c>
      <c r="B23" s="11" t="s">
        <v>14</v>
      </c>
      <c r="C23" s="17">
        <v>2.0</v>
      </c>
      <c r="D23" s="12" t="s">
        <v>15</v>
      </c>
      <c r="E23" s="17">
        <v>2000.0</v>
      </c>
      <c r="F23" s="17">
        <v>0.0</v>
      </c>
      <c r="G23" s="17">
        <v>450.0</v>
      </c>
      <c r="H23" s="17">
        <f t="shared" si="2"/>
        <v>2450</v>
      </c>
    </row>
    <row r="24">
      <c r="A24" s="10">
        <v>46014.0</v>
      </c>
      <c r="B24" s="11" t="s">
        <v>24</v>
      </c>
      <c r="C24" s="17">
        <v>1.0</v>
      </c>
      <c r="D24" s="12" t="s">
        <v>15</v>
      </c>
      <c r="E24" s="17">
        <v>640.0</v>
      </c>
      <c r="F24" s="17">
        <v>0.0</v>
      </c>
      <c r="G24" s="17">
        <v>150.0</v>
      </c>
      <c r="H24" s="17">
        <f t="shared" si="2"/>
        <v>790</v>
      </c>
    </row>
    <row r="25">
      <c r="A25" s="10">
        <v>46015.0</v>
      </c>
      <c r="B25" s="11" t="s">
        <v>29</v>
      </c>
      <c r="C25" s="17">
        <v>1.0</v>
      </c>
      <c r="D25" s="12" t="s">
        <v>15</v>
      </c>
      <c r="E25" s="17">
        <v>0.0</v>
      </c>
      <c r="F25" s="17">
        <v>900.0</v>
      </c>
      <c r="G25" s="17">
        <v>250.0</v>
      </c>
      <c r="H25" s="17">
        <f t="shared" si="2"/>
        <v>1150</v>
      </c>
    </row>
    <row r="26">
      <c r="A26" s="10">
        <v>46016.0</v>
      </c>
      <c r="B26" s="11" t="s">
        <v>31</v>
      </c>
      <c r="C26" s="17">
        <v>0.0</v>
      </c>
      <c r="D26" s="12" t="s">
        <v>15</v>
      </c>
      <c r="E26" s="17">
        <v>0.0</v>
      </c>
      <c r="F26" s="17">
        <v>0.0</v>
      </c>
      <c r="G26" s="17">
        <v>100.0</v>
      </c>
      <c r="H26" s="17">
        <f t="shared" si="2"/>
        <v>100</v>
      </c>
    </row>
    <row r="27">
      <c r="A27" s="10">
        <v>46017.0</v>
      </c>
      <c r="B27" s="11" t="s">
        <v>34</v>
      </c>
      <c r="C27" s="17">
        <v>0.0</v>
      </c>
      <c r="D27" s="12" t="s">
        <v>15</v>
      </c>
      <c r="E27" s="17">
        <v>0.0</v>
      </c>
      <c r="F27" s="17">
        <v>0.0</v>
      </c>
      <c r="G27" s="17">
        <v>150.0</v>
      </c>
      <c r="H27" s="17">
        <f t="shared" si="2"/>
        <v>150</v>
      </c>
    </row>
    <row r="28">
      <c r="A28" s="10">
        <v>46018.0</v>
      </c>
      <c r="B28" s="11" t="s">
        <v>38</v>
      </c>
      <c r="C28" s="17">
        <v>0.5</v>
      </c>
      <c r="D28" s="12" t="s">
        <v>15</v>
      </c>
      <c r="E28" s="17">
        <v>320.0</v>
      </c>
      <c r="F28" s="17">
        <v>0.0</v>
      </c>
      <c r="G28" s="17">
        <v>225.0</v>
      </c>
      <c r="H28" s="17">
        <f t="shared" si="2"/>
        <v>545</v>
      </c>
    </row>
    <row r="29">
      <c r="A29" s="10">
        <v>46019.0</v>
      </c>
      <c r="B29" s="11" t="s">
        <v>39</v>
      </c>
      <c r="C29" s="17">
        <v>0.5</v>
      </c>
      <c r="D29" s="12" t="s">
        <v>15</v>
      </c>
      <c r="E29" s="17">
        <v>360.0</v>
      </c>
      <c r="F29" s="17">
        <v>0.0</v>
      </c>
      <c r="G29" s="17">
        <v>650.0</v>
      </c>
      <c r="H29" s="17">
        <f t="shared" si="2"/>
        <v>1010</v>
      </c>
    </row>
    <row r="30">
      <c r="A30" s="10">
        <v>46020.0</v>
      </c>
      <c r="B30" s="11" t="s">
        <v>14</v>
      </c>
      <c r="C30" s="17">
        <v>0.0</v>
      </c>
      <c r="D30" s="12" t="s">
        <v>15</v>
      </c>
      <c r="E30" s="17">
        <v>0.0</v>
      </c>
      <c r="F30" s="17">
        <v>0.0</v>
      </c>
      <c r="G30" s="17">
        <v>200.0</v>
      </c>
      <c r="H30" s="17">
        <f t="shared" si="2"/>
        <v>200</v>
      </c>
    </row>
    <row r="31">
      <c r="A31" s="10">
        <v>46021.0</v>
      </c>
      <c r="B31" s="11" t="s">
        <v>24</v>
      </c>
      <c r="C31" s="17">
        <v>2.5</v>
      </c>
      <c r="D31" s="12" t="s">
        <v>15</v>
      </c>
      <c r="E31" s="17">
        <v>1640.0</v>
      </c>
      <c r="F31" s="17">
        <v>0.0</v>
      </c>
      <c r="G31" s="17">
        <v>500.0</v>
      </c>
      <c r="H31" s="17">
        <f t="shared" si="2"/>
        <v>2140</v>
      </c>
    </row>
    <row r="32">
      <c r="A32" s="10">
        <v>46022.0</v>
      </c>
      <c r="B32" s="11" t="s">
        <v>29</v>
      </c>
      <c r="C32" s="17">
        <v>1.5</v>
      </c>
      <c r="D32" s="12" t="s">
        <v>15</v>
      </c>
      <c r="E32" s="17">
        <v>1000.0</v>
      </c>
      <c r="F32" s="17">
        <v>0.0</v>
      </c>
      <c r="G32" s="17">
        <v>100.0</v>
      </c>
      <c r="H32" s="17">
        <f t="shared" si="2"/>
        <v>1100</v>
      </c>
      <c r="I32" s="55"/>
      <c r="J32" s="55"/>
      <c r="K32" s="55"/>
      <c r="L32" s="55"/>
      <c r="M32" s="55"/>
      <c r="N32" s="55"/>
      <c r="O32" s="55"/>
      <c r="P32" s="55"/>
    </row>
    <row r="33">
      <c r="A33" s="9" t="s">
        <v>60</v>
      </c>
      <c r="B33" s="56"/>
      <c r="C33" s="5">
        <f>SUM(C2:C32)</f>
        <v>11.5</v>
      </c>
      <c r="D33" s="58"/>
      <c r="E33" s="5">
        <f t="shared" ref="E33:H33" si="3">SUM(E2:E32)</f>
        <v>7760</v>
      </c>
      <c r="F33" s="5">
        <f t="shared" si="3"/>
        <v>900</v>
      </c>
      <c r="G33" s="5">
        <f t="shared" si="3"/>
        <v>3775</v>
      </c>
      <c r="H33" s="5">
        <f t="shared" si="3"/>
        <v>12435</v>
      </c>
      <c r="I33" s="55"/>
      <c r="J33" s="55"/>
      <c r="K33" s="55"/>
      <c r="L33" s="55"/>
      <c r="M33" s="55"/>
      <c r="N33" s="55"/>
      <c r="O33" s="55"/>
      <c r="P33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25" t="s">
        <v>13</v>
      </c>
      <c r="B1" s="16" t="s">
        <v>1</v>
      </c>
      <c r="C1" s="16" t="s">
        <v>32</v>
      </c>
      <c r="D1" s="16" t="s">
        <v>33</v>
      </c>
      <c r="E1" s="16" t="s">
        <v>20</v>
      </c>
      <c r="F1" s="16" t="s">
        <v>36</v>
      </c>
      <c r="G1" s="16" t="s">
        <v>37</v>
      </c>
      <c r="H1" s="26" t="s">
        <v>5</v>
      </c>
      <c r="I1" s="28"/>
    </row>
    <row r="2">
      <c r="A2" s="29"/>
      <c r="B2" s="21" t="s">
        <v>42</v>
      </c>
      <c r="C2" s="33">
        <v>3180.0</v>
      </c>
      <c r="D2" s="33">
        <v>452.4</v>
      </c>
      <c r="E2" s="27">
        <f t="shared" ref="E2:E6" si="1">C2-D2</f>
        <v>2727.6</v>
      </c>
      <c r="F2" s="33">
        <v>2.94</v>
      </c>
      <c r="G2" s="33">
        <v>14.74</v>
      </c>
      <c r="H2" s="33">
        <v>3000.9</v>
      </c>
    </row>
    <row r="3">
      <c r="A3" s="46"/>
      <c r="B3" s="21" t="s">
        <v>48</v>
      </c>
      <c r="C3" s="47">
        <v>1600.0</v>
      </c>
      <c r="D3" s="47">
        <v>208.0</v>
      </c>
      <c r="E3" s="27">
        <f t="shared" si="1"/>
        <v>1392</v>
      </c>
      <c r="F3" s="47">
        <v>1.3559</v>
      </c>
      <c r="G3" s="47">
        <v>6.7797</v>
      </c>
      <c r="H3" s="47">
        <v>1383.86</v>
      </c>
    </row>
    <row r="4">
      <c r="A4" s="46"/>
      <c r="B4" s="49" t="s">
        <v>54</v>
      </c>
      <c r="C4" s="49">
        <v>1920.0</v>
      </c>
      <c r="D4" s="49">
        <v>249.6</v>
      </c>
      <c r="E4" s="27">
        <f t="shared" si="1"/>
        <v>1670.4</v>
      </c>
      <c r="F4" s="49">
        <v>1.67</v>
      </c>
      <c r="G4" s="49">
        <v>8.13</v>
      </c>
      <c r="H4" s="49">
        <v>1660.64</v>
      </c>
    </row>
    <row r="5">
      <c r="A5" s="46"/>
      <c r="B5" s="49" t="s">
        <v>57</v>
      </c>
      <c r="C5" s="49">
        <v>7150.0</v>
      </c>
      <c r="D5" s="49">
        <v>929.5</v>
      </c>
      <c r="E5" s="27">
        <f t="shared" si="1"/>
        <v>6220.5</v>
      </c>
      <c r="F5" s="49">
        <v>6.05</v>
      </c>
      <c r="G5" s="49">
        <v>30.29</v>
      </c>
      <c r="H5" s="49">
        <v>6184.15</v>
      </c>
    </row>
    <row r="6">
      <c r="A6" s="52"/>
      <c r="B6" s="49" t="s">
        <v>58</v>
      </c>
      <c r="C6" s="53">
        <v>800.0</v>
      </c>
      <c r="D6" s="49">
        <v>106.56</v>
      </c>
      <c r="E6" s="27">
        <f t="shared" si="1"/>
        <v>693.44</v>
      </c>
      <c r="F6" s="49">
        <v>0.7</v>
      </c>
      <c r="G6" s="49">
        <v>3.44</v>
      </c>
      <c r="H6" s="53">
        <v>689.3</v>
      </c>
    </row>
    <row r="7">
      <c r="A7" s="29"/>
      <c r="B7" s="15"/>
      <c r="C7" s="38">
        <f>SUM(C2:C6)</f>
        <v>14650</v>
      </c>
      <c r="D7" s="15"/>
      <c r="E7" s="38">
        <f>SUM(E2:E6)</f>
        <v>12703.94</v>
      </c>
      <c r="F7" s="15"/>
      <c r="G7" s="15"/>
      <c r="H7" s="59">
        <f>SUM(H2:H6)</f>
        <v>12918.85</v>
      </c>
    </row>
    <row r="8">
      <c r="E8" s="38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4" t="s">
        <v>2</v>
      </c>
      <c r="B1" s="16" t="s">
        <v>1</v>
      </c>
      <c r="C1" s="16" t="s">
        <v>17</v>
      </c>
      <c r="D1" s="16" t="s">
        <v>18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</row>
    <row r="2">
      <c r="A2" s="18"/>
      <c r="B2" s="21" t="s">
        <v>25</v>
      </c>
      <c r="C2" s="23">
        <v>400.0</v>
      </c>
      <c r="D2" s="24">
        <v>28.0</v>
      </c>
      <c r="E2" s="24">
        <v>5.04</v>
      </c>
      <c r="F2" s="27">
        <f>C2-D2-E2</f>
        <v>366.96</v>
      </c>
      <c r="G2" s="24">
        <v>0.4</v>
      </c>
      <c r="H2" s="24">
        <v>2.0</v>
      </c>
      <c r="I2" s="24">
        <v>364.56</v>
      </c>
    </row>
    <row r="3">
      <c r="A3" s="11"/>
      <c r="B3" s="21"/>
      <c r="C3" s="30"/>
      <c r="D3" s="30"/>
      <c r="E3" s="30"/>
      <c r="F3" s="27"/>
      <c r="G3" s="32"/>
      <c r="H3" s="32"/>
      <c r="I3" s="32"/>
    </row>
    <row r="4">
      <c r="A4" s="29"/>
      <c r="B4" s="21"/>
      <c r="C4" s="34"/>
      <c r="D4" s="34"/>
      <c r="E4" s="21"/>
      <c r="F4" s="27"/>
      <c r="H4" s="21"/>
      <c r="I4" s="34"/>
    </row>
    <row r="5">
      <c r="A5" s="29"/>
      <c r="B5" s="15"/>
      <c r="C5" s="35"/>
      <c r="D5" s="36"/>
      <c r="E5" s="15"/>
      <c r="F5" s="38"/>
      <c r="G5" s="15"/>
      <c r="H5" s="15"/>
      <c r="I5" s="36"/>
    </row>
    <row r="6">
      <c r="A6" s="29"/>
      <c r="B6" s="15"/>
      <c r="C6" s="44">
        <f>SUM(C2:C4)</f>
        <v>400</v>
      </c>
      <c r="D6" s="36"/>
      <c r="E6" s="15"/>
      <c r="F6" s="45">
        <f>SUM(F2:F4)</f>
        <v>366.96</v>
      </c>
      <c r="G6" s="15"/>
      <c r="H6" s="15"/>
      <c r="I6" s="44">
        <f>SUM(I2:I4)</f>
        <v>364.56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25" t="s">
        <v>13</v>
      </c>
      <c r="B1" s="16" t="s">
        <v>1</v>
      </c>
      <c r="C1" s="16" t="s">
        <v>65</v>
      </c>
      <c r="D1" s="16" t="s">
        <v>18</v>
      </c>
      <c r="E1" s="16" t="s">
        <v>23</v>
      </c>
    </row>
    <row r="2">
      <c r="A2" s="62"/>
      <c r="B2" s="21" t="s">
        <v>25</v>
      </c>
      <c r="C2" s="21">
        <v>0.0</v>
      </c>
      <c r="D2" s="21"/>
      <c r="E2" s="21"/>
    </row>
    <row r="3">
      <c r="A3" s="62"/>
      <c r="B3" s="21"/>
      <c r="C3" s="21"/>
      <c r="D3" s="21"/>
      <c r="E3" s="21"/>
    </row>
    <row r="4">
      <c r="A4" s="29"/>
      <c r="B4" s="15"/>
      <c r="C4" s="63">
        <f t="shared" ref="C4:E4" si="1">SUM(C2:C3)</f>
        <v>0</v>
      </c>
      <c r="D4" s="15">
        <f t="shared" si="1"/>
        <v>0</v>
      </c>
      <c r="E4" s="63">
        <f t="shared" si="1"/>
        <v>0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23.88"/>
    <col customWidth="1" min="5" max="5" width="14.13"/>
  </cols>
  <sheetData>
    <row r="1">
      <c r="A1" s="25" t="s">
        <v>13</v>
      </c>
      <c r="B1" s="16" t="s">
        <v>1</v>
      </c>
      <c r="C1" s="64" t="s">
        <v>66</v>
      </c>
      <c r="D1" s="16" t="s">
        <v>18</v>
      </c>
      <c r="E1" s="16" t="s">
        <v>23</v>
      </c>
    </row>
    <row r="2">
      <c r="A2" s="65"/>
      <c r="B2" s="21" t="s">
        <v>67</v>
      </c>
      <c r="C2" s="21">
        <v>0.0</v>
      </c>
      <c r="D2" s="66"/>
      <c r="E2" s="21"/>
    </row>
    <row r="3">
      <c r="A3" s="29"/>
      <c r="B3" s="15"/>
      <c r="C3" s="15"/>
      <c r="D3" s="15"/>
      <c r="E3" s="15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14" t="s">
        <v>13</v>
      </c>
      <c r="B1" s="16" t="s">
        <v>1</v>
      </c>
      <c r="C1" s="16" t="s">
        <v>68</v>
      </c>
      <c r="D1" s="64" t="s">
        <v>69</v>
      </c>
      <c r="E1" s="64" t="s">
        <v>70</v>
      </c>
      <c r="F1" s="16" t="s">
        <v>23</v>
      </c>
      <c r="G1" s="67"/>
    </row>
    <row r="2">
      <c r="A2" s="21"/>
      <c r="B2" s="21" t="s">
        <v>67</v>
      </c>
      <c r="C2" s="69">
        <v>640.0</v>
      </c>
      <c r="D2" s="21">
        <v>128.0</v>
      </c>
      <c r="E2" s="21">
        <v>8.24</v>
      </c>
      <c r="F2" s="69">
        <f>C2-D2-E2</f>
        <v>503.76</v>
      </c>
      <c r="G2" s="67"/>
    </row>
    <row r="3">
      <c r="A3" s="67"/>
      <c r="B3" s="70"/>
      <c r="C3" s="71"/>
      <c r="D3" s="67"/>
      <c r="E3" s="67"/>
      <c r="F3" s="13"/>
      <c r="G3" s="67"/>
    </row>
    <row r="4">
      <c r="A4" s="67"/>
      <c r="B4" s="70"/>
      <c r="C4" s="71"/>
      <c r="D4" s="67"/>
      <c r="E4" s="67"/>
      <c r="F4" s="67"/>
      <c r="G4" s="67"/>
    </row>
    <row r="5">
      <c r="A5" s="72"/>
      <c r="B5" s="72"/>
      <c r="C5" s="73"/>
      <c r="D5" s="66"/>
      <c r="E5" s="66"/>
      <c r="F5" s="66"/>
      <c r="G5" s="66"/>
      <c r="H5" s="29"/>
      <c r="I5" s="29"/>
      <c r="J5" s="29"/>
      <c r="K5" s="29"/>
    </row>
    <row r="6">
      <c r="A6" s="67"/>
      <c r="B6" s="67"/>
      <c r="C6" s="74">
        <f>SUM(C2)</f>
        <v>640</v>
      </c>
      <c r="D6" s="67"/>
      <c r="E6" s="67"/>
      <c r="F6" s="75">
        <f>SUM(F2)</f>
        <v>503.76</v>
      </c>
      <c r="G6" s="67"/>
    </row>
    <row r="9">
      <c r="A9" s="10"/>
      <c r="B9" s="29"/>
      <c r="C9" s="17"/>
      <c r="D9" s="17"/>
      <c r="E9" s="17"/>
      <c r="F9" s="29"/>
    </row>
    <row r="10">
      <c r="A10" s="10"/>
      <c r="B10" s="29"/>
      <c r="C10" s="17"/>
      <c r="D10" s="17"/>
      <c r="E10" s="17"/>
      <c r="F10" s="29"/>
    </row>
    <row r="11">
      <c r="A11" s="10"/>
      <c r="B11" s="29"/>
      <c r="C11" s="17"/>
      <c r="D11" s="17"/>
      <c r="E11" s="17"/>
      <c r="F11" s="29"/>
    </row>
    <row r="12">
      <c r="A12" s="10"/>
      <c r="B12" s="29"/>
      <c r="C12" s="17"/>
      <c r="D12" s="17"/>
      <c r="E12" s="17"/>
      <c r="F12" s="29"/>
    </row>
    <row r="13">
      <c r="A13" s="10"/>
      <c r="B13" s="29"/>
      <c r="C13" s="17"/>
      <c r="D13" s="17"/>
      <c r="E13" s="17"/>
      <c r="F13" s="29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20.13"/>
    <col customWidth="1" min="5" max="5" width="14.13"/>
  </cols>
  <sheetData>
    <row r="1">
      <c r="A1" s="14" t="s">
        <v>13</v>
      </c>
      <c r="B1" s="16" t="s">
        <v>1</v>
      </c>
      <c r="C1" s="64" t="s">
        <v>76</v>
      </c>
      <c r="D1" s="64" t="s">
        <v>70</v>
      </c>
      <c r="E1" s="16" t="s">
        <v>23</v>
      </c>
      <c r="F1" s="67"/>
    </row>
    <row r="2">
      <c r="A2" s="21"/>
      <c r="B2" s="21" t="s">
        <v>67</v>
      </c>
      <c r="C2" s="69">
        <v>4800.0</v>
      </c>
      <c r="D2" s="21"/>
      <c r="E2" s="69"/>
      <c r="F2" s="67"/>
    </row>
    <row r="3">
      <c r="A3" s="67"/>
      <c r="B3" s="70"/>
      <c r="C3" s="71"/>
      <c r="D3" s="67"/>
      <c r="E3" s="13"/>
      <c r="F3" s="67"/>
    </row>
    <row r="4">
      <c r="A4" s="67"/>
      <c r="B4" s="70"/>
      <c r="C4" s="71"/>
      <c r="D4" s="67"/>
      <c r="E4" s="67"/>
      <c r="F4" s="67"/>
    </row>
    <row r="5">
      <c r="A5" s="72"/>
      <c r="B5" s="72"/>
      <c r="C5" s="73"/>
      <c r="D5" s="66"/>
      <c r="E5" s="66"/>
      <c r="F5" s="66"/>
      <c r="G5" s="29"/>
      <c r="H5" s="29"/>
      <c r="I5" s="29"/>
      <c r="J5" s="29"/>
    </row>
    <row r="6">
      <c r="A6" s="67"/>
      <c r="B6" s="67"/>
      <c r="C6" s="74">
        <f>SUM(C2)</f>
        <v>4800</v>
      </c>
      <c r="D6" s="67"/>
      <c r="E6" s="67"/>
      <c r="F6" s="67"/>
    </row>
    <row r="9">
      <c r="A9" s="10"/>
      <c r="B9" s="29"/>
      <c r="C9" s="17"/>
      <c r="D9" s="17"/>
      <c r="E9" s="17"/>
      <c r="F9" s="29"/>
    </row>
    <row r="10">
      <c r="A10" s="10"/>
      <c r="B10" s="29"/>
      <c r="C10" s="17"/>
      <c r="D10" s="17"/>
      <c r="E10" s="17"/>
      <c r="F10" s="29"/>
    </row>
    <row r="11">
      <c r="A11" s="10"/>
      <c r="B11" s="29"/>
      <c r="C11" s="17"/>
      <c r="D11" s="17"/>
      <c r="E11" s="17"/>
      <c r="F11" s="29"/>
    </row>
    <row r="12">
      <c r="A12" s="10"/>
      <c r="B12" s="29"/>
      <c r="C12" s="17"/>
      <c r="D12" s="17"/>
      <c r="E12" s="17"/>
      <c r="F12" s="29"/>
    </row>
    <row r="13">
      <c r="A13" s="10"/>
      <c r="B13" s="29"/>
      <c r="C13" s="17"/>
      <c r="D13" s="17"/>
      <c r="E13" s="29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38"/>
    <col customWidth="1" min="2" max="2" width="14.63"/>
    <col customWidth="1" min="3" max="3" width="17.13"/>
    <col customWidth="1" min="4" max="4" width="8.88"/>
    <col customWidth="1" min="5" max="5" width="15.25"/>
  </cols>
  <sheetData>
    <row r="1">
      <c r="A1" s="16" t="s">
        <v>71</v>
      </c>
      <c r="B1" s="16" t="s">
        <v>72</v>
      </c>
      <c r="C1" s="16" t="s">
        <v>73</v>
      </c>
      <c r="D1" s="16" t="s">
        <v>74</v>
      </c>
      <c r="E1" s="68" t="s">
        <v>75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62"/>
      <c r="C2" s="62"/>
      <c r="D2" s="10"/>
      <c r="E2" s="20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</sheetData>
  <dataValidations>
    <dataValidation type="list" allowBlank="1" showErrorMessage="1" sqref="C2">
      <formula1>"Kickoff Pack (7),Pro Pack (30),Rally Pack (15),Grand slam (90),Collab,Coaching"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0"/>
    <col customWidth="1" min="2" max="2" width="10.88"/>
    <col customWidth="1" min="3" max="3" width="9.38"/>
    <col customWidth="1" min="4" max="4" width="30.5"/>
  </cols>
  <sheetData>
    <row r="1">
      <c r="A1" s="76" t="s">
        <v>77</v>
      </c>
      <c r="B1" s="76" t="s">
        <v>78</v>
      </c>
      <c r="C1" s="76" t="s">
        <v>5</v>
      </c>
      <c r="D1" s="76" t="s">
        <v>79</v>
      </c>
    </row>
    <row r="2">
      <c r="A2" s="77"/>
      <c r="B2" s="78"/>
      <c r="C2" s="78"/>
      <c r="D2" s="78"/>
    </row>
    <row r="3">
      <c r="A3" s="77"/>
      <c r="B3" s="78"/>
      <c r="C3" s="78"/>
      <c r="D3" s="78"/>
    </row>
    <row r="4">
      <c r="A4" s="77"/>
      <c r="B4" s="78"/>
      <c r="C4" s="78"/>
      <c r="D4" s="78"/>
    </row>
    <row r="5">
      <c r="A5" s="79"/>
      <c r="B5" s="79"/>
      <c r="C5" s="80"/>
      <c r="D5" s="7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6.25"/>
    <col customWidth="1" min="5" max="5" width="15.25"/>
  </cols>
  <sheetData>
    <row r="1">
      <c r="A1" s="81" t="s">
        <v>80</v>
      </c>
      <c r="B1" s="81" t="s">
        <v>81</v>
      </c>
      <c r="C1" s="81" t="s">
        <v>72</v>
      </c>
      <c r="D1" s="16" t="s">
        <v>82</v>
      </c>
      <c r="E1" s="16" t="s">
        <v>75</v>
      </c>
    </row>
    <row r="2">
      <c r="A2" s="21" t="s">
        <v>83</v>
      </c>
      <c r="B2" s="15" t="s">
        <v>84</v>
      </c>
      <c r="C2" s="15" t="s">
        <v>85</v>
      </c>
      <c r="D2" s="82" t="s">
        <v>86</v>
      </c>
      <c r="E2" s="83">
        <v>18000.0</v>
      </c>
    </row>
  </sheetData>
  <drawing r:id="rId1"/>
</worksheet>
</file>