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s" sheetId="9" r:id="rId13"/>
    <sheet state="visible" name="Coaching" sheetId="10" r:id="rId14"/>
    <sheet state="visible" name="Brand Activation" sheetId="11" r:id="rId15"/>
    <sheet state="visible" name="Corporate Event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2">
      <text>
        <t xml:space="preserve">All Girls Event
</t>
      </text>
    </comment>
  </commentList>
</comments>
</file>

<file path=xl/sharedStrings.xml><?xml version="1.0" encoding="utf-8"?>
<sst xmlns="http://schemas.openxmlformats.org/spreadsheetml/2006/main" count="196" uniqueCount="101">
  <si>
    <t>Date: 1 - 31 Jan</t>
  </si>
  <si>
    <t>Date</t>
  </si>
  <si>
    <t>Particulars</t>
  </si>
  <si>
    <t>Day</t>
  </si>
  <si>
    <t>Amount</t>
  </si>
  <si>
    <t>Offline booking hours</t>
  </si>
  <si>
    <t>Offline</t>
  </si>
  <si>
    <t>Discount Given</t>
  </si>
  <si>
    <t>Link</t>
  </si>
  <si>
    <t>Booking Revenue</t>
  </si>
  <si>
    <t>Community Revenue</t>
  </si>
  <si>
    <t xml:space="preserve">Paddle Rental </t>
  </si>
  <si>
    <t>F&amp;B</t>
  </si>
  <si>
    <t>Total Revenue</t>
  </si>
  <si>
    <t>Thursday</t>
  </si>
  <si>
    <t>0% and 10%</t>
  </si>
  <si>
    <t>Rentals</t>
  </si>
  <si>
    <t>Friday</t>
  </si>
  <si>
    <t>Paid to Hudle</t>
  </si>
  <si>
    <t>Paid to Playo (₹)</t>
  </si>
  <si>
    <t>Commisions (Including GST)</t>
  </si>
  <si>
    <t>Commissions (₹)</t>
  </si>
  <si>
    <t>Net Revenue</t>
  </si>
  <si>
    <t>GST (₹)</t>
  </si>
  <si>
    <t>TDS</t>
  </si>
  <si>
    <t>TCS</t>
  </si>
  <si>
    <t>TDS (₹)</t>
  </si>
  <si>
    <t>TCS (₹)</t>
  </si>
  <si>
    <t>Saturday</t>
  </si>
  <si>
    <t>Final Amount (₹)</t>
  </si>
  <si>
    <t>Product Sales</t>
  </si>
  <si>
    <t>Bookings</t>
  </si>
  <si>
    <t>1 - 19 Jan</t>
  </si>
  <si>
    <t>Sunday</t>
  </si>
  <si>
    <t>Online: Third Party Platform</t>
  </si>
  <si>
    <t>Monday</t>
  </si>
  <si>
    <t>1 - 5 Jan</t>
  </si>
  <si>
    <t>Hudle</t>
  </si>
  <si>
    <t>Tuesday</t>
  </si>
  <si>
    <t>Wednesday</t>
  </si>
  <si>
    <t>Playo</t>
  </si>
  <si>
    <t>District</t>
  </si>
  <si>
    <t>Khelomore</t>
  </si>
  <si>
    <t>Zplys</t>
  </si>
  <si>
    <t>20 - 25 Jan</t>
  </si>
  <si>
    <t>Community</t>
  </si>
  <si>
    <t>6 - 12 Jan</t>
  </si>
  <si>
    <t>13 - 19 Jan</t>
  </si>
  <si>
    <t>Courtly (Organized by RallyGully)</t>
  </si>
  <si>
    <t>Sportomic (Organized by RallyGully)</t>
  </si>
  <si>
    <t xml:space="preserve">Rallygully Community games </t>
  </si>
  <si>
    <t>20 - 26 Jan</t>
  </si>
  <si>
    <t>27 - 31 Jan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</si>
  <si>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</si>
  <si>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</si>
  <si>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</si>
  <si>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</si>
  <si>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</si>
  <si>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</si>
  <si>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</si>
  <si>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</t>
  </si>
  <si>
    <t>Total Net Revenue (Post Commissions)</t>
  </si>
  <si>
    <t>Total Revenue post GST</t>
  </si>
  <si>
    <t>Expenses</t>
  </si>
  <si>
    <t>Venue Manager + Cleaner</t>
  </si>
  <si>
    <t>Marketing, Branding &amp; Community</t>
  </si>
  <si>
    <t>Total Expenses</t>
  </si>
  <si>
    <t>Net Profit (Revenue - Expenses)</t>
  </si>
  <si>
    <t>School's Profit Share (65%)</t>
  </si>
  <si>
    <t>RallyGully's Profit Share (35%)</t>
  </si>
  <si>
    <t>Paid to District</t>
  </si>
  <si>
    <t>GST on Commission</t>
  </si>
  <si>
    <t>Paid to Khelomore (₹)</t>
  </si>
  <si>
    <t>1 - 12 Jan</t>
  </si>
  <si>
    <t>1 - 31 Jan</t>
  </si>
  <si>
    <t>Paid to Misfits (₹)</t>
  </si>
  <si>
    <t>Post Comission (20%)</t>
  </si>
  <si>
    <t xml:space="preserve">TDS </t>
  </si>
  <si>
    <t>Paid to Sportomic (₹)</t>
  </si>
  <si>
    <t>20 - 31 Jan</t>
  </si>
  <si>
    <t>Member Name</t>
  </si>
  <si>
    <t>Sports Type</t>
  </si>
  <si>
    <t>Membership Type</t>
  </si>
  <si>
    <t>Start Date</t>
  </si>
  <si>
    <t>Amount Collected</t>
  </si>
  <si>
    <t>Offcourt</t>
  </si>
  <si>
    <t>Pickleball</t>
  </si>
  <si>
    <t>Pro Pack (30)</t>
  </si>
  <si>
    <t>Coaching Type</t>
  </si>
  <si>
    <t>Kids &amp; Adult</t>
  </si>
  <si>
    <t>Jan</t>
  </si>
  <si>
    <t xml:space="preserve">Date </t>
  </si>
  <si>
    <t>Brand Name</t>
  </si>
  <si>
    <t xml:space="preserve">Commission </t>
  </si>
  <si>
    <t>Type of collab</t>
  </si>
  <si>
    <t>Savikalpa</t>
  </si>
  <si>
    <t>Event Partner</t>
  </si>
  <si>
    <t>Peeyo</t>
  </si>
  <si>
    <t>House of Riya</t>
  </si>
  <si>
    <t>Courtiside Club</t>
  </si>
  <si>
    <t>Networking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</si>
</sst>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9" xfId="0" applyAlignment="1" applyBorder="1" applyFill="1" applyFont="1" applyNumberFormat="1">
      <alignment horizontal="center" vertical="bottom"/>
    </xf>
    <xf borderId="1" fillId="2" fontId="1" numFmtId="3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0" fillId="2" fontId="5" numFmtId="0" xfId="0" applyAlignment="1" applyFill="1" applyFont="1">
      <alignment horizontal="center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1" fillId="2" fontId="1" numFmtId="166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1" fillId="0" fontId="3" numFmtId="167" xfId="0" applyAlignment="1" applyBorder="1" applyFont="1" applyNumberFormat="1">
      <alignment horizontal="right" readingOrder="0" vertical="bottom"/>
    </xf>
    <xf borderId="1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1" fillId="0" fontId="3" numFmtId="166" xfId="0" applyAlignment="1" applyBorder="1" applyFont="1" applyNumberFormat="1">
      <alignment horizontal="right" readingOrder="0" vertical="bottom"/>
    </xf>
    <xf borderId="1" fillId="0" fontId="3" numFmtId="166" xfId="0" applyAlignment="1" applyBorder="1" applyFont="1" applyNumberFormat="1">
      <alignment readingOrder="0" vertical="bottom"/>
    </xf>
    <xf borderId="1" fillId="0" fontId="3" numFmtId="167" xfId="0" applyAlignment="1" applyBorder="1" applyFont="1" applyNumberFormat="1">
      <alignment horizontal="right" readingOrder="0" shrinkToFit="0" vertical="bottom" wrapText="0"/>
    </xf>
    <xf borderId="1" fillId="0" fontId="3" numFmtId="166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0" fontId="3" numFmtId="4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1" fillId="0" fontId="3" numFmtId="4" xfId="0" applyAlignment="1" applyBorder="1" applyFont="1" applyNumberFormat="1">
      <alignment vertical="bottom"/>
    </xf>
    <xf borderId="1" fillId="0" fontId="1" numFmtId="167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readingOrder="0" vertical="bottom"/>
    </xf>
    <xf borderId="1" fillId="0" fontId="1" numFmtId="4" xfId="0" applyAlignment="1" applyBorder="1" applyFont="1" applyNumberFormat="1">
      <alignment horizontal="right" vertical="bottom"/>
    </xf>
    <xf borderId="1" fillId="0" fontId="1" numFmtId="167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1" numFmtId="166" xfId="0" applyAlignment="1" applyBorder="1" applyFont="1" applyNumberFormat="1">
      <alignment horizontal="right" vertical="bottom"/>
    </xf>
    <xf borderId="0" fillId="0" fontId="7" numFmtId="0" xfId="0" applyFont="1"/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readingOrder="0" vertical="bottom"/>
    </xf>
    <xf borderId="1" fillId="2" fontId="7" numFmtId="0" xfId="0" applyAlignment="1" applyBorder="1" applyFill="1" applyFont="1">
      <alignment horizontal="right" readingOrder="0"/>
    </xf>
    <xf borderId="1" fillId="2" fontId="7" numFmtId="0" xfId="0" applyAlignment="1" applyBorder="1" applyFill="1" applyFont="1">
      <alignment horizontal="right"/>
    </xf>
    <xf borderId="1" fillId="0" fontId="3" numFmtId="0" xfId="0" applyAlignment="1" applyBorder="1" applyFont="1">
      <alignment readingOrder="0" shrinkToFit="0" vertical="bottom" wrapText="1"/>
    </xf>
    <xf borderId="0" fillId="2" fontId="8" numFmtId="166" xfId="0" applyAlignment="1" applyFill="1" applyFont="1" applyNumberFormat="1">
      <alignment horizontal="center" vertical="bottom"/>
    </xf>
    <xf borderId="0" fillId="2" fontId="9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1" fillId="0" fontId="3" numFmtId="166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" fillId="0" fontId="9" numFmtId="166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1" fillId="0" fontId="1" numFmtId="0" xfId="0" applyAlignment="1" applyBorder="1" applyFont="1">
      <alignment horizontal="right" vertical="bottom"/>
    </xf>
    <xf borderId="1" fillId="2" fontId="1" numFmtId="0" xfId="0" applyAlignment="1" applyBorder="1" applyFill="1" applyFont="1">
      <alignment horizontal="right" vertical="bottom"/>
    </xf>
    <xf borderId="1" fillId="0" fontId="3" numFmtId="164" xfId="0" applyAlignment="1" applyBorder="1" applyFont="1" applyNumberFormat="1">
      <alignment horizontal="right" readingOrder="0" vertical="bottom"/>
    </xf>
    <xf borderId="0" fillId="2" fontId="7" numFmtId="166" xfId="0" applyAlignment="1" applyFill="1" applyFont="1" applyNumberFormat="1">
      <alignment horizontal="center" readingOrder="0"/>
    </xf>
    <xf borderId="0" fillId="2" fontId="7" numFmtId="166" xfId="0" applyAlignment="1" applyFill="1" applyFont="1" applyNumberFormat="1">
      <alignment horizontal="right" readingOrder="0"/>
    </xf>
    <xf borderId="0" fillId="0" fontId="10" numFmtId="164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left" readingOrder="0"/>
    </xf>
    <xf borderId="0" fillId="0" fontId="10" numFmtId="166" xfId="0" applyAlignment="1" applyFont="1" applyNumberFormat="1">
      <alignment horizontal="right" readingOrder="0"/>
    </xf>
    <xf borderId="0" fillId="0" fontId="10" numFmtId="166" xfId="0" applyAlignment="1" applyFont="1" applyNumberFormat="1">
      <alignment readingOrder="0"/>
    </xf>
    <xf borderId="0" fillId="2" fontId="7" numFmtId="0" xfId="0" applyAlignment="1" applyFill="1" applyFont="1">
      <alignment horizontal="right" readingOrder="0"/>
    </xf>
    <xf borderId="0" fillId="2" fontId="7" numFmtId="0" xfId="0" applyAlignment="1" applyFill="1" applyFont="1">
      <alignment horizontal="right"/>
    </xf>
    <xf borderId="0" fillId="2" fontId="7" numFmtId="166" xfId="0" applyAlignment="1" applyFill="1" applyFont="1" applyNumberFormat="1">
      <alignment horizontal="right"/>
    </xf>
    <xf borderId="1" fillId="2" fontId="7" numFmtId="166" xfId="0" applyAlignment="1" applyBorder="1" applyFill="1" applyFont="1" applyNumberFormat="1">
      <alignment horizontal="center" readingOrder="0"/>
    </xf>
    <xf borderId="1" fillId="0" fontId="10" numFmtId="164" xfId="0" applyAlignment="1" applyBorder="1" applyFont="1" applyNumberFormat="1">
      <alignment horizontal="left" readingOrder="0"/>
    </xf>
    <xf borderId="1" fillId="0" fontId="10" numFmtId="166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0</v>
      </c>
      <c r="C2" s="3"/>
    </row>
    <row r="3">
      <c r="B3" s="4" t="s">
        <v>2</v>
      </c>
      <c r="C3" s="4" t="s">
        <v>4</v>
      </c>
    </row>
    <row r="4" collapsed="1">
      <c r="B4" s="6" t="s">
        <v>6</v>
      </c>
      <c r="C4" s="15">
        <f>SUM(C5,C6,C7,C8)</f>
        <v>31691</v>
      </c>
    </row>
    <row r="5" hidden="1" outlineLevel="1">
      <c r="B5" s="16" t="s">
        <v>16</v>
      </c>
      <c r="C5" s="20">
        <f>'Offline &amp; RG Community'!G33</f>
        <v>10650</v>
      </c>
    </row>
    <row r="6" hidden="1" outlineLevel="1">
      <c r="B6" s="16" t="s">
        <v>12</v>
      </c>
      <c r="C6" s="20">
        <f>'Offline &amp; RG Community'!H33</f>
        <v>205</v>
      </c>
    </row>
    <row r="7" hidden="1" outlineLevel="1">
      <c r="B7" s="16" t="s">
        <v>30</v>
      </c>
      <c r="C7" s="20">
        <v>0.0</v>
      </c>
    </row>
    <row r="8" hidden="1" outlineLevel="1">
      <c r="B8" s="16" t="s">
        <v>31</v>
      </c>
      <c r="C8" s="25">
        <f>'Offline &amp; RG Community'!E33</f>
        <v>20836</v>
      </c>
    </row>
    <row r="9" collapsed="1">
      <c r="B9" s="6" t="s">
        <v>34</v>
      </c>
      <c r="C9" s="15">
        <f>SUM(C10:C14)</f>
        <v>96047</v>
      </c>
    </row>
    <row r="10" hidden="1" outlineLevel="1">
      <c r="B10" s="16" t="s">
        <v>37</v>
      </c>
      <c r="C10" s="20">
        <f>Hudle!C7</f>
        <v>66479</v>
      </c>
    </row>
    <row r="11" hidden="1" outlineLevel="1">
      <c r="B11" s="24" t="s">
        <v>40</v>
      </c>
      <c r="C11" s="20">
        <f>Playo!C6</f>
        <v>3168</v>
      </c>
    </row>
    <row r="12" hidden="1" outlineLevel="1">
      <c r="B12" s="16" t="s">
        <v>41</v>
      </c>
      <c r="C12" s="25">
        <f>District!C5</f>
        <v>26400</v>
      </c>
    </row>
    <row r="13" hidden="1" outlineLevel="1">
      <c r="B13" s="16" t="s">
        <v>42</v>
      </c>
      <c r="C13" s="20">
        <f>Khelomore!C4</f>
        <v>0</v>
      </c>
    </row>
    <row r="14">
      <c r="B14" s="32" t="s">
        <v>43</v>
      </c>
      <c r="C14" s="25">
        <v>0.0</v>
      </c>
    </row>
    <row r="15" collapsed="1">
      <c r="B15" s="35" t="s">
        <v>45</v>
      </c>
      <c r="C15" s="15">
        <f>SUM(C17,C18,C19)</f>
        <v>43728.9</v>
      </c>
    </row>
    <row r="16" hidden="1" outlineLevel="1">
      <c r="B16" s="34" t="s">
        <v>48</v>
      </c>
      <c r="C16" s="25">
        <v>0.0</v>
      </c>
    </row>
    <row r="17" hidden="1" outlineLevel="1">
      <c r="B17" s="34" t="s">
        <v>49</v>
      </c>
      <c r="C17" s="25">
        <v>0.0</v>
      </c>
    </row>
    <row r="18" hidden="1" outlineLevel="1">
      <c r="B18" s="34" t="s">
        <v>50</v>
      </c>
      <c r="C18" s="25">
        <f>'Offline &amp; RG Community'!F33</f>
        <v>43728.9</v>
      </c>
    </row>
    <row r="19" hidden="1" outlineLevel="1">
      <c r="B19" s="34" t="s">
        <v>53</v>
      </c>
      <c r="C19" s="25">
        <v>0.0</v>
      </c>
    </row>
    <row r="20">
      <c r="B20" s="6" t="s">
        <v>54</v>
      </c>
      <c r="C20" s="46">
        <f>Memberships!E2</f>
        <v>27000</v>
      </c>
    </row>
    <row r="21">
      <c r="B21" s="24" t="s">
        <v>55</v>
      </c>
      <c r="C21" s="25">
        <f>Coaching!D2</f>
        <v>54000</v>
      </c>
    </row>
    <row r="22">
      <c r="B22" s="16" t="s">
        <v>56</v>
      </c>
      <c r="C22" s="25">
        <f>'Corporate Events'!C2</f>
        <v>3000</v>
      </c>
    </row>
    <row r="23">
      <c r="B23" s="16" t="s">
        <v>57</v>
      </c>
      <c r="C23" s="25">
        <f>'Brand Activation'!C6</f>
        <v>24100</v>
      </c>
    </row>
    <row r="24">
      <c r="B24" s="49" t="s">
        <v>58</v>
      </c>
      <c r="C24" s="50">
        <v>0.0</v>
      </c>
    </row>
    <row r="25">
      <c r="B25" s="6" t="s">
        <v>59</v>
      </c>
      <c r="C25" s="15">
        <f>sum(C4,C9,C20,C22,C23,C24,C15, C21)</f>
        <v>279566.9</v>
      </c>
    </row>
    <row r="26">
      <c r="B26" s="53" t="s">
        <v>61</v>
      </c>
      <c r="C26" s="47">
        <f>'Offline &amp; RG Community'!I33+Hudle!E7+Playo!F6+District!F5+Memberships!E2+Coaching!D2+'Brand Activation'!E6+'Corporate Events'!C2</f>
        <v>264290.58</v>
      </c>
    </row>
    <row r="27">
      <c r="B27" s="35" t="s">
        <v>62</v>
      </c>
      <c r="C27" s="15">
        <f>C26/1.18</f>
        <v>223975.0678</v>
      </c>
    </row>
    <row r="28">
      <c r="B28" s="35" t="s">
        <v>63</v>
      </c>
      <c r="C28" s="15"/>
    </row>
    <row r="29">
      <c r="B29" s="24" t="s">
        <v>64</v>
      </c>
      <c r="C29" s="25">
        <v>39100.0</v>
      </c>
    </row>
    <row r="30">
      <c r="B30" s="24" t="s">
        <v>65</v>
      </c>
      <c r="C30" s="25">
        <v>15000.0</v>
      </c>
    </row>
    <row r="31">
      <c r="B31" s="35" t="s">
        <v>66</v>
      </c>
      <c r="C31" s="15">
        <f>C29+C30</f>
        <v>54100</v>
      </c>
    </row>
    <row r="32">
      <c r="B32" s="35" t="s">
        <v>67</v>
      </c>
      <c r="C32" s="15">
        <f>C27-C31</f>
        <v>169875.0678</v>
      </c>
    </row>
    <row r="33">
      <c r="B33" s="35"/>
      <c r="C33" s="15"/>
    </row>
    <row r="34">
      <c r="B34" s="35" t="s">
        <v>68</v>
      </c>
      <c r="C34" s="15">
        <f>C32*65%</f>
        <v>110418.7941</v>
      </c>
    </row>
    <row r="35">
      <c r="B35" s="35" t="s">
        <v>69</v>
      </c>
      <c r="C35" s="15">
        <f>C32*35%</f>
        <v>59456.27373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5" t="s">
        <v>3</v>
      </c>
      <c r="C1" s="5" t="s">
        <v>5</v>
      </c>
      <c r="D1" s="7" t="s">
        <v>7</v>
      </c>
      <c r="E1" s="8" t="s">
        <v>9</v>
      </c>
      <c r="F1" s="5" t="s">
        <v>10</v>
      </c>
      <c r="G1" s="8" t="s">
        <v>11</v>
      </c>
      <c r="H1" s="9" t="s">
        <v>12</v>
      </c>
      <c r="I1" s="5" t="s">
        <v>13</v>
      </c>
    </row>
    <row r="2">
      <c r="A2" s="10">
        <v>46023.0</v>
      </c>
      <c r="B2" s="11" t="s">
        <v>14</v>
      </c>
      <c r="C2" s="12">
        <v>0.0</v>
      </c>
      <c r="D2" s="13" t="s">
        <v>15</v>
      </c>
      <c r="E2" s="12">
        <v>0.0</v>
      </c>
      <c r="F2" s="12">
        <v>0.0</v>
      </c>
      <c r="G2" s="12">
        <v>300.0</v>
      </c>
      <c r="H2" s="14">
        <v>0.0</v>
      </c>
      <c r="I2" s="14">
        <f t="shared" ref="I2:I32" si="1">SUM(E2:H2)</f>
        <v>300</v>
      </c>
    </row>
    <row r="3">
      <c r="A3" s="10">
        <v>46024.0</v>
      </c>
      <c r="B3" s="11" t="s">
        <v>17</v>
      </c>
      <c r="C3" s="14">
        <v>0.5</v>
      </c>
      <c r="D3" s="13" t="s">
        <v>15</v>
      </c>
      <c r="E3" s="19">
        <v>600.0</v>
      </c>
      <c r="F3" s="14">
        <v>650.0</v>
      </c>
      <c r="G3" s="19">
        <v>200.0</v>
      </c>
      <c r="H3" s="14">
        <v>0.0</v>
      </c>
      <c r="I3" s="19">
        <f t="shared" si="1"/>
        <v>1450</v>
      </c>
    </row>
    <row r="4">
      <c r="A4" s="10">
        <v>46025.0</v>
      </c>
      <c r="B4" s="11" t="s">
        <v>28</v>
      </c>
      <c r="C4" s="21">
        <v>1.0</v>
      </c>
      <c r="D4" s="13" t="s">
        <v>15</v>
      </c>
      <c r="E4" s="19">
        <v>0.0</v>
      </c>
      <c r="F4" s="21">
        <v>1200.0</v>
      </c>
      <c r="G4" s="19">
        <v>0.0</v>
      </c>
      <c r="H4" s="14">
        <v>100.0</v>
      </c>
      <c r="I4" s="19">
        <f t="shared" si="1"/>
        <v>1300</v>
      </c>
    </row>
    <row r="5">
      <c r="A5" s="10">
        <v>46026.0</v>
      </c>
      <c r="B5" s="11" t="s">
        <v>33</v>
      </c>
      <c r="C5" s="14">
        <v>0.5</v>
      </c>
      <c r="D5" s="13" t="s">
        <v>15</v>
      </c>
      <c r="E5" s="19">
        <v>600.0</v>
      </c>
      <c r="F5" s="14">
        <v>0.0</v>
      </c>
      <c r="G5" s="19">
        <v>0.0</v>
      </c>
      <c r="H5" s="14">
        <v>70.0</v>
      </c>
      <c r="I5" s="19">
        <f t="shared" si="1"/>
        <v>670</v>
      </c>
    </row>
    <row r="6">
      <c r="A6" s="10">
        <v>46027.0</v>
      </c>
      <c r="B6" s="11" t="s">
        <v>35</v>
      </c>
      <c r="C6" s="21">
        <v>2.0</v>
      </c>
      <c r="D6" s="13" t="s">
        <v>15</v>
      </c>
      <c r="E6" s="14">
        <v>0.0</v>
      </c>
      <c r="F6" s="14">
        <v>2900.0</v>
      </c>
      <c r="G6" s="19">
        <v>0.0</v>
      </c>
      <c r="H6" s="14">
        <v>0.0</v>
      </c>
      <c r="I6" s="14">
        <f t="shared" si="1"/>
        <v>2900</v>
      </c>
    </row>
    <row r="7">
      <c r="A7" s="10">
        <v>46028.0</v>
      </c>
      <c r="B7" s="11" t="s">
        <v>38</v>
      </c>
      <c r="C7" s="21">
        <v>2.0</v>
      </c>
      <c r="D7" s="13" t="s">
        <v>15</v>
      </c>
      <c r="E7" s="14">
        <v>0.0</v>
      </c>
      <c r="F7" s="14">
        <v>1850.0</v>
      </c>
      <c r="G7" s="14">
        <v>100.0</v>
      </c>
      <c r="H7" s="14">
        <v>0.0</v>
      </c>
      <c r="I7" s="14">
        <f t="shared" si="1"/>
        <v>1950</v>
      </c>
    </row>
    <row r="8">
      <c r="A8" s="10">
        <v>46029.0</v>
      </c>
      <c r="B8" s="11" t="s">
        <v>39</v>
      </c>
      <c r="C8" s="14">
        <v>3.0</v>
      </c>
      <c r="D8" s="13" t="s">
        <v>15</v>
      </c>
      <c r="E8" s="19">
        <v>1800.0</v>
      </c>
      <c r="F8" s="14">
        <v>2200.0</v>
      </c>
      <c r="G8" s="19">
        <v>100.0</v>
      </c>
      <c r="H8" s="14">
        <v>35.0</v>
      </c>
      <c r="I8" s="19">
        <f t="shared" si="1"/>
        <v>4135</v>
      </c>
    </row>
    <row r="9">
      <c r="A9" s="10">
        <v>46030.0</v>
      </c>
      <c r="B9" s="11" t="s">
        <v>14</v>
      </c>
      <c r="C9" s="14">
        <v>1.5</v>
      </c>
      <c r="D9" s="13" t="s">
        <v>15</v>
      </c>
      <c r="E9" s="19">
        <v>2100.0</v>
      </c>
      <c r="F9" s="14">
        <v>0.0</v>
      </c>
      <c r="G9" s="19">
        <v>500.0</v>
      </c>
      <c r="H9" s="14">
        <v>0.0</v>
      </c>
      <c r="I9" s="19">
        <f t="shared" si="1"/>
        <v>2600</v>
      </c>
    </row>
    <row r="10">
      <c r="A10" s="10">
        <v>46031.0</v>
      </c>
      <c r="B10" s="11" t="s">
        <v>17</v>
      </c>
      <c r="C10" s="21">
        <v>2.0</v>
      </c>
      <c r="D10" s="13" t="s">
        <v>15</v>
      </c>
      <c r="E10" s="19">
        <v>0.0</v>
      </c>
      <c r="F10" s="12">
        <v>2400.0</v>
      </c>
      <c r="G10" s="19">
        <v>800.0</v>
      </c>
      <c r="H10" s="14">
        <v>0.0</v>
      </c>
      <c r="I10" s="19">
        <f t="shared" si="1"/>
        <v>3200</v>
      </c>
    </row>
    <row r="11">
      <c r="A11" s="10">
        <v>46032.0</v>
      </c>
      <c r="B11" s="11" t="s">
        <v>28</v>
      </c>
      <c r="C11" s="21">
        <v>2.0</v>
      </c>
      <c r="D11" s="13" t="s">
        <v>15</v>
      </c>
      <c r="E11" s="19">
        <v>0.0</v>
      </c>
      <c r="F11" s="12">
        <v>2850.0</v>
      </c>
      <c r="G11" s="12">
        <v>200.0</v>
      </c>
      <c r="H11" s="14">
        <v>0.0</v>
      </c>
      <c r="I11" s="19">
        <f t="shared" si="1"/>
        <v>3050</v>
      </c>
    </row>
    <row r="12">
      <c r="A12" s="10">
        <v>46033.0</v>
      </c>
      <c r="B12" s="11" t="s">
        <v>33</v>
      </c>
      <c r="C12" s="14">
        <v>1.5</v>
      </c>
      <c r="D12" s="13" t="s">
        <v>15</v>
      </c>
      <c r="E12" s="14">
        <v>1800.0</v>
      </c>
      <c r="F12" s="14">
        <v>0.0</v>
      </c>
      <c r="G12" s="19">
        <v>500.0</v>
      </c>
      <c r="H12" s="14">
        <v>0.0</v>
      </c>
      <c r="I12" s="14">
        <f t="shared" si="1"/>
        <v>2300</v>
      </c>
    </row>
    <row r="13">
      <c r="A13" s="10">
        <v>46034.0</v>
      </c>
      <c r="B13" s="11" t="s">
        <v>35</v>
      </c>
      <c r="C13" s="14">
        <v>0.0</v>
      </c>
      <c r="D13" s="13" t="s">
        <v>15</v>
      </c>
      <c r="E13" s="19">
        <v>0.0</v>
      </c>
      <c r="F13" s="14">
        <v>2500.0</v>
      </c>
      <c r="G13" s="19">
        <v>100.0</v>
      </c>
      <c r="H13" s="14">
        <v>0.0</v>
      </c>
      <c r="I13" s="19">
        <f t="shared" si="1"/>
        <v>2600</v>
      </c>
    </row>
    <row r="14">
      <c r="A14" s="10">
        <v>46035.0</v>
      </c>
      <c r="B14" s="11" t="s">
        <v>38</v>
      </c>
      <c r="C14" s="14">
        <v>0.0</v>
      </c>
      <c r="D14" s="13" t="s">
        <v>15</v>
      </c>
      <c r="E14" s="14">
        <v>0.0</v>
      </c>
      <c r="F14" s="14">
        <v>4200.0</v>
      </c>
      <c r="G14" s="14">
        <v>200.0</v>
      </c>
      <c r="H14" s="14">
        <v>0.0</v>
      </c>
      <c r="I14" s="14">
        <f t="shared" si="1"/>
        <v>4400</v>
      </c>
    </row>
    <row r="15">
      <c r="A15" s="10">
        <v>46036.0</v>
      </c>
      <c r="B15" s="11" t="s">
        <v>39</v>
      </c>
      <c r="C15" s="14">
        <v>2.0</v>
      </c>
      <c r="D15" s="13" t="s">
        <v>15</v>
      </c>
      <c r="E15" s="14">
        <v>0.0</v>
      </c>
      <c r="F15" s="14">
        <v>5100.0</v>
      </c>
      <c r="G15" s="14">
        <v>200.0</v>
      </c>
      <c r="H15" s="14">
        <v>0.0</v>
      </c>
      <c r="I15" s="14">
        <f t="shared" si="1"/>
        <v>5300</v>
      </c>
    </row>
    <row r="16">
      <c r="A16" s="10">
        <v>46037.0</v>
      </c>
      <c r="B16" s="11" t="s">
        <v>14</v>
      </c>
      <c r="C16" s="14">
        <v>3.0</v>
      </c>
      <c r="D16" s="13" t="s">
        <v>15</v>
      </c>
      <c r="E16" s="14">
        <v>1200.0</v>
      </c>
      <c r="F16" s="14">
        <v>1650.0</v>
      </c>
      <c r="G16" s="14">
        <v>400.0</v>
      </c>
      <c r="H16" s="14">
        <v>0.0</v>
      </c>
      <c r="I16" s="14">
        <f t="shared" si="1"/>
        <v>3250</v>
      </c>
    </row>
    <row r="17">
      <c r="A17" s="10">
        <v>46038.0</v>
      </c>
      <c r="B17" s="11" t="s">
        <v>17</v>
      </c>
      <c r="C17" s="14">
        <v>2.5</v>
      </c>
      <c r="D17" s="13" t="s">
        <v>15</v>
      </c>
      <c r="E17" s="14">
        <v>600.0</v>
      </c>
      <c r="F17" s="14">
        <v>1500.0</v>
      </c>
      <c r="G17" s="14">
        <v>700.0</v>
      </c>
      <c r="H17" s="14">
        <v>0.0</v>
      </c>
      <c r="I17" s="14">
        <f t="shared" si="1"/>
        <v>2800</v>
      </c>
    </row>
    <row r="18">
      <c r="A18" s="10">
        <v>46039.0</v>
      </c>
      <c r="B18" s="11" t="s">
        <v>28</v>
      </c>
      <c r="C18" s="14">
        <v>1.0</v>
      </c>
      <c r="D18" s="13" t="s">
        <v>15</v>
      </c>
      <c r="E18" s="14">
        <v>1080.0</v>
      </c>
      <c r="F18" s="14">
        <v>0.0</v>
      </c>
      <c r="G18" s="14">
        <v>1100.0</v>
      </c>
      <c r="H18" s="14">
        <v>0.0</v>
      </c>
      <c r="I18" s="14">
        <f t="shared" si="1"/>
        <v>2180</v>
      </c>
    </row>
    <row r="19">
      <c r="A19" s="10">
        <v>46040.0</v>
      </c>
      <c r="B19" s="11" t="s">
        <v>33</v>
      </c>
      <c r="C19" s="14">
        <v>0.0</v>
      </c>
      <c r="D19" s="13" t="s">
        <v>15</v>
      </c>
      <c r="E19" s="14">
        <v>0.0</v>
      </c>
      <c r="F19" s="14">
        <v>0.0</v>
      </c>
      <c r="G19" s="14">
        <v>1000.0</v>
      </c>
      <c r="H19" s="14">
        <v>0.0</v>
      </c>
      <c r="I19" s="14">
        <f t="shared" si="1"/>
        <v>1000</v>
      </c>
    </row>
    <row r="20">
      <c r="A20" s="10">
        <v>46041.0</v>
      </c>
      <c r="B20" s="11" t="s">
        <v>35</v>
      </c>
      <c r="C20" s="14">
        <v>2.0</v>
      </c>
      <c r="D20" s="13" t="s">
        <v>15</v>
      </c>
      <c r="E20" s="14">
        <v>2000.0</v>
      </c>
      <c r="F20" s="14">
        <v>900.0</v>
      </c>
      <c r="G20" s="14">
        <v>200.0</v>
      </c>
      <c r="H20" s="14">
        <v>0.0</v>
      </c>
      <c r="I20" s="14">
        <f t="shared" si="1"/>
        <v>3100</v>
      </c>
    </row>
    <row r="21">
      <c r="A21" s="10">
        <v>46042.0</v>
      </c>
      <c r="B21" s="11" t="s">
        <v>38</v>
      </c>
      <c r="C21" s="14">
        <v>0.0</v>
      </c>
      <c r="D21" s="13" t="s">
        <v>15</v>
      </c>
      <c r="E21" s="14">
        <v>0.0</v>
      </c>
      <c r="F21" s="14">
        <v>0.0</v>
      </c>
      <c r="G21" s="14">
        <v>0.0</v>
      </c>
      <c r="H21" s="14">
        <v>0.0</v>
      </c>
      <c r="I21" s="14">
        <f t="shared" si="1"/>
        <v>0</v>
      </c>
    </row>
    <row r="22">
      <c r="A22" s="10">
        <v>46043.0</v>
      </c>
      <c r="B22" s="11" t="s">
        <v>39</v>
      </c>
      <c r="C22" s="14">
        <v>2.0</v>
      </c>
      <c r="D22" s="13" t="s">
        <v>15</v>
      </c>
      <c r="E22" s="14">
        <v>0.0</v>
      </c>
      <c r="F22" s="14">
        <v>1800.0</v>
      </c>
      <c r="G22" s="14">
        <v>100.0</v>
      </c>
      <c r="H22" s="14">
        <v>0.0</v>
      </c>
      <c r="I22" s="14">
        <f t="shared" si="1"/>
        <v>1900</v>
      </c>
    </row>
    <row r="23">
      <c r="A23" s="10">
        <v>46044.0</v>
      </c>
      <c r="B23" s="11" t="s">
        <v>14</v>
      </c>
      <c r="C23" s="14">
        <v>4.0</v>
      </c>
      <c r="D23" s="13" t="s">
        <v>15</v>
      </c>
      <c r="E23" s="14">
        <v>1200.0</v>
      </c>
      <c r="F23" s="14">
        <v>2900.0</v>
      </c>
      <c r="G23" s="14">
        <v>600.0</v>
      </c>
      <c r="H23" s="14">
        <v>0.0</v>
      </c>
      <c r="I23" s="14">
        <f t="shared" si="1"/>
        <v>4700</v>
      </c>
    </row>
    <row r="24">
      <c r="A24" s="10">
        <v>46045.0</v>
      </c>
      <c r="B24" s="11" t="s">
        <v>17</v>
      </c>
      <c r="C24" s="14">
        <v>0.0</v>
      </c>
      <c r="D24" s="13" t="s">
        <v>15</v>
      </c>
      <c r="E24" s="14">
        <v>0.0</v>
      </c>
      <c r="F24" s="14">
        <v>0.0</v>
      </c>
      <c r="G24" s="14">
        <v>0.0</v>
      </c>
      <c r="H24" s="14">
        <v>0.0</v>
      </c>
      <c r="I24" s="14">
        <f t="shared" si="1"/>
        <v>0</v>
      </c>
    </row>
    <row r="25">
      <c r="A25" s="10">
        <v>46046.0</v>
      </c>
      <c r="B25" s="11" t="s">
        <v>28</v>
      </c>
      <c r="C25" s="14">
        <v>2.5</v>
      </c>
      <c r="D25" s="13" t="s">
        <v>15</v>
      </c>
      <c r="E25" s="14">
        <v>600.0</v>
      </c>
      <c r="F25" s="14">
        <v>1900.0</v>
      </c>
      <c r="G25" s="14">
        <v>500.0</v>
      </c>
      <c r="H25" s="14">
        <v>0.0</v>
      </c>
      <c r="I25" s="14">
        <f t="shared" si="1"/>
        <v>3000</v>
      </c>
    </row>
    <row r="26">
      <c r="A26" s="10">
        <v>46047.0</v>
      </c>
      <c r="B26" s="11" t="s">
        <v>33</v>
      </c>
      <c r="C26" s="14">
        <v>1.0</v>
      </c>
      <c r="D26" s="13" t="s">
        <v>15</v>
      </c>
      <c r="E26" s="14">
        <v>1080.0</v>
      </c>
      <c r="F26" s="14">
        <v>0.0</v>
      </c>
      <c r="G26" s="14">
        <v>500.0</v>
      </c>
      <c r="H26" s="14">
        <v>0.0</v>
      </c>
      <c r="I26" s="14">
        <f t="shared" si="1"/>
        <v>1580</v>
      </c>
    </row>
    <row r="27">
      <c r="A27" s="10">
        <v>46048.0</v>
      </c>
      <c r="B27" s="11" t="s">
        <v>35</v>
      </c>
      <c r="C27" s="14">
        <v>2.5</v>
      </c>
      <c r="D27" s="13" t="s">
        <v>15</v>
      </c>
      <c r="E27" s="14">
        <v>2176.0</v>
      </c>
      <c r="F27" s="14">
        <v>0.0</v>
      </c>
      <c r="G27" s="14">
        <v>750.0</v>
      </c>
      <c r="H27" s="14">
        <v>0.0</v>
      </c>
      <c r="I27" s="14">
        <f t="shared" si="1"/>
        <v>2926</v>
      </c>
    </row>
    <row r="28">
      <c r="A28" s="10">
        <v>46049.0</v>
      </c>
      <c r="B28" s="11" t="s">
        <v>38</v>
      </c>
      <c r="C28" s="14">
        <v>0.0</v>
      </c>
      <c r="D28" s="13" t="s">
        <v>15</v>
      </c>
      <c r="E28" s="14">
        <v>0.0</v>
      </c>
      <c r="F28" s="14">
        <v>0.0</v>
      </c>
      <c r="G28" s="14">
        <v>0.0</v>
      </c>
      <c r="H28" s="14">
        <v>0.0</v>
      </c>
      <c r="I28" s="14">
        <f t="shared" si="1"/>
        <v>0</v>
      </c>
    </row>
    <row r="29">
      <c r="A29" s="10">
        <v>46050.0</v>
      </c>
      <c r="B29" s="11" t="s">
        <v>39</v>
      </c>
      <c r="C29" s="14">
        <v>2.0</v>
      </c>
      <c r="D29" s="13" t="s">
        <v>15</v>
      </c>
      <c r="E29" s="14">
        <v>2200.0</v>
      </c>
      <c r="F29" s="14">
        <v>0.0</v>
      </c>
      <c r="G29" s="14">
        <v>900.0</v>
      </c>
      <c r="H29" s="14">
        <v>0.0</v>
      </c>
      <c r="I29" s="14">
        <f t="shared" si="1"/>
        <v>3100</v>
      </c>
    </row>
    <row r="30">
      <c r="A30" s="10">
        <v>46051.0</v>
      </c>
      <c r="B30" s="11" t="s">
        <v>14</v>
      </c>
      <c r="C30" s="24">
        <v>0.0</v>
      </c>
      <c r="D30" s="13" t="s">
        <v>15</v>
      </c>
      <c r="E30" s="24">
        <v>0.0</v>
      </c>
      <c r="F30" s="24">
        <v>0.0</v>
      </c>
      <c r="G30" s="24">
        <v>0.0</v>
      </c>
      <c r="H30" s="24">
        <v>0.0</v>
      </c>
      <c r="I30" s="14">
        <f t="shared" si="1"/>
        <v>0</v>
      </c>
    </row>
    <row r="31">
      <c r="A31" s="10">
        <v>46052.0</v>
      </c>
      <c r="B31" s="11" t="s">
        <v>17</v>
      </c>
      <c r="C31" s="24">
        <v>0.0</v>
      </c>
      <c r="D31" s="13" t="s">
        <v>15</v>
      </c>
      <c r="E31" s="24">
        <v>0.0</v>
      </c>
      <c r="F31" s="24">
        <v>0.0</v>
      </c>
      <c r="G31" s="24">
        <v>0.0</v>
      </c>
      <c r="H31" s="24">
        <v>0.0</v>
      </c>
      <c r="I31" s="14">
        <f t="shared" si="1"/>
        <v>0</v>
      </c>
      <c r="J31" s="48"/>
      <c r="K31" s="48"/>
      <c r="L31" s="48"/>
      <c r="M31" s="48"/>
      <c r="N31" s="48"/>
      <c r="O31" s="48"/>
      <c r="P31" s="48"/>
      <c r="Q31" s="48"/>
    </row>
    <row r="32">
      <c r="A32" s="10">
        <v>46053.0</v>
      </c>
      <c r="B32" s="16" t="s">
        <v>28</v>
      </c>
      <c r="C32" s="14">
        <v>1.5</v>
      </c>
      <c r="D32" s="13" t="s">
        <v>15</v>
      </c>
      <c r="E32" s="14">
        <v>1800.0</v>
      </c>
      <c r="F32" s="21">
        <v>7228.9</v>
      </c>
      <c r="G32" s="14">
        <v>700.0</v>
      </c>
      <c r="H32" s="14">
        <v>0.0</v>
      </c>
      <c r="I32" s="14">
        <f t="shared" si="1"/>
        <v>9728.9</v>
      </c>
      <c r="J32" s="48"/>
      <c r="K32" s="48"/>
      <c r="L32" s="48"/>
      <c r="M32" s="48"/>
      <c r="N32" s="48"/>
      <c r="O32" s="48"/>
      <c r="P32" s="48"/>
      <c r="Q32" s="48"/>
    </row>
    <row r="33">
      <c r="A33" s="51" t="s">
        <v>60</v>
      </c>
      <c r="B33" s="52"/>
      <c r="C33" s="52">
        <f>SUM(C2:C32)</f>
        <v>42</v>
      </c>
      <c r="D33" s="52"/>
      <c r="E33" s="52">
        <f t="shared" ref="E33:I33" si="2">SUM(E2:E32)</f>
        <v>20836</v>
      </c>
      <c r="F33" s="52">
        <f t="shared" si="2"/>
        <v>43728.9</v>
      </c>
      <c r="G33" s="52">
        <f t="shared" si="2"/>
        <v>10650</v>
      </c>
      <c r="H33" s="52">
        <f t="shared" si="2"/>
        <v>205</v>
      </c>
      <c r="I33" s="52">
        <f t="shared" si="2"/>
        <v>75419.9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7" t="s">
        <v>8</v>
      </c>
      <c r="B1" s="5" t="s">
        <v>1</v>
      </c>
      <c r="C1" s="5" t="s">
        <v>18</v>
      </c>
      <c r="D1" s="5" t="s">
        <v>20</v>
      </c>
      <c r="E1" s="5" t="s">
        <v>22</v>
      </c>
      <c r="F1" s="5" t="s">
        <v>24</v>
      </c>
      <c r="G1" s="5" t="s">
        <v>25</v>
      </c>
      <c r="H1" s="23" t="s">
        <v>4</v>
      </c>
      <c r="I1" s="26"/>
    </row>
    <row r="2">
      <c r="A2" s="16"/>
      <c r="B2" s="11" t="s">
        <v>36</v>
      </c>
      <c r="C2" s="28">
        <v>4800.0</v>
      </c>
      <c r="D2" s="28">
        <v>624.0</v>
      </c>
      <c r="E2" s="29">
        <f t="shared" ref="E2:E6" si="1">C2 - D2</f>
        <v>4176</v>
      </c>
      <c r="F2" s="28">
        <v>4.06</v>
      </c>
      <c r="G2" s="28">
        <v>20.33</v>
      </c>
      <c r="H2" s="31">
        <v>4151.6</v>
      </c>
    </row>
    <row r="3">
      <c r="A3" s="34"/>
      <c r="B3" s="34" t="s">
        <v>46</v>
      </c>
      <c r="C3" s="28">
        <v>14780.0</v>
      </c>
      <c r="D3" s="28">
        <v>1921.4</v>
      </c>
      <c r="E3" s="29">
        <f t="shared" si="1"/>
        <v>12858.6</v>
      </c>
      <c r="F3" s="28">
        <v>12.52</v>
      </c>
      <c r="G3" s="28">
        <v>62.62</v>
      </c>
      <c r="H3" s="31">
        <v>12783.47</v>
      </c>
    </row>
    <row r="4">
      <c r="A4" s="37"/>
      <c r="B4" s="32" t="s">
        <v>47</v>
      </c>
      <c r="C4" s="32">
        <v>20415.0</v>
      </c>
      <c r="D4" s="32">
        <v>2667.6</v>
      </c>
      <c r="E4" s="29">
        <f t="shared" si="1"/>
        <v>17747.4</v>
      </c>
      <c r="F4" s="32">
        <v>17.39</v>
      </c>
      <c r="G4" s="32">
        <v>86.94</v>
      </c>
      <c r="H4" s="32">
        <v>17748.09</v>
      </c>
    </row>
    <row r="5">
      <c r="A5" s="37"/>
      <c r="B5" s="32" t="s">
        <v>51</v>
      </c>
      <c r="C5" s="32">
        <v>21684.0</v>
      </c>
      <c r="D5" s="32">
        <v>2818.92</v>
      </c>
      <c r="E5" s="29">
        <f t="shared" si="1"/>
        <v>18865.08</v>
      </c>
      <c r="F5" s="32">
        <v>18.37</v>
      </c>
      <c r="G5" s="32">
        <v>91.88</v>
      </c>
      <c r="H5" s="32">
        <v>18754.82</v>
      </c>
    </row>
    <row r="6">
      <c r="A6" s="43"/>
      <c r="B6" s="32" t="s">
        <v>52</v>
      </c>
      <c r="C6" s="31">
        <v>4800.0</v>
      </c>
      <c r="D6" s="32">
        <v>624.0</v>
      </c>
      <c r="E6" s="29">
        <f t="shared" si="1"/>
        <v>4176</v>
      </c>
      <c r="F6" s="32">
        <v>4.06</v>
      </c>
      <c r="G6" s="32">
        <v>20.33</v>
      </c>
      <c r="H6" s="31">
        <v>4151.6</v>
      </c>
    </row>
    <row r="7">
      <c r="A7" s="38"/>
      <c r="B7" s="16"/>
      <c r="C7" s="42">
        <f>SUM(C2:C6)</f>
        <v>66479</v>
      </c>
      <c r="D7" s="16"/>
      <c r="E7" s="42">
        <f>SUM(E2:E6)</f>
        <v>57823.08</v>
      </c>
      <c r="F7" s="16"/>
      <c r="G7" s="16"/>
      <c r="H7" s="47">
        <f>SUM(H2:H6)</f>
        <v>57589.58</v>
      </c>
    </row>
    <row r="8">
      <c r="E8" s="42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8" t="s">
        <v>8</v>
      </c>
      <c r="B1" s="5" t="s">
        <v>1</v>
      </c>
      <c r="C1" s="5" t="s">
        <v>19</v>
      </c>
      <c r="D1" s="5" t="s">
        <v>21</v>
      </c>
      <c r="E1" s="5" t="s">
        <v>23</v>
      </c>
      <c r="F1" s="5" t="s">
        <v>22</v>
      </c>
      <c r="G1" s="5" t="s">
        <v>26</v>
      </c>
      <c r="H1" s="5" t="s">
        <v>27</v>
      </c>
      <c r="I1" s="5" t="s">
        <v>29</v>
      </c>
    </row>
    <row r="2">
      <c r="A2" s="22"/>
      <c r="B2" s="24" t="s">
        <v>32</v>
      </c>
      <c r="C2" s="27">
        <v>1080.0</v>
      </c>
      <c r="D2" s="27">
        <v>84.0</v>
      </c>
      <c r="E2" s="27">
        <v>15.12</v>
      </c>
      <c r="F2" s="29">
        <f t="shared" ref="F2:F3" si="1">C2 -D2-E2</f>
        <v>980.88</v>
      </c>
      <c r="G2" s="27">
        <v>1.08</v>
      </c>
      <c r="H2" s="30">
        <v>5.4</v>
      </c>
      <c r="I2" s="27">
        <v>974.4</v>
      </c>
    </row>
    <row r="3">
      <c r="A3" s="22"/>
      <c r="B3" s="24" t="s">
        <v>44</v>
      </c>
      <c r="C3" s="33">
        <v>2088.0</v>
      </c>
      <c r="D3" s="33">
        <v>168.0</v>
      </c>
      <c r="E3" s="33">
        <v>30.24</v>
      </c>
      <c r="F3" s="29">
        <f t="shared" si="1"/>
        <v>1889.76</v>
      </c>
      <c r="G3" s="36">
        <v>2.09</v>
      </c>
      <c r="H3" s="36">
        <v>10.44</v>
      </c>
      <c r="I3" s="36">
        <v>1877.23</v>
      </c>
    </row>
    <row r="4">
      <c r="A4" s="38"/>
      <c r="B4" s="32"/>
      <c r="C4" s="39"/>
      <c r="D4" s="39"/>
      <c r="E4" s="24"/>
      <c r="F4" s="29"/>
      <c r="H4" s="24"/>
      <c r="I4" s="39"/>
    </row>
    <row r="5">
      <c r="A5" s="38"/>
      <c r="B5" s="16"/>
      <c r="C5" s="40"/>
      <c r="D5" s="41"/>
      <c r="E5" s="16"/>
      <c r="F5" s="42"/>
      <c r="G5" s="16"/>
      <c r="H5" s="16"/>
      <c r="I5" s="41"/>
    </row>
    <row r="6">
      <c r="A6" s="38"/>
      <c r="B6" s="16"/>
      <c r="C6" s="44">
        <f>SUM(C2:C4)</f>
        <v>3168</v>
      </c>
      <c r="D6" s="41"/>
      <c r="E6" s="16"/>
      <c r="F6" s="45">
        <f>SUM(F2:F4)</f>
        <v>2870.64</v>
      </c>
      <c r="G6" s="16"/>
      <c r="H6" s="16"/>
      <c r="I6" s="44">
        <f>SUM(I2:I4)</f>
        <v>2851.63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</cols>
  <sheetData>
    <row r="1">
      <c r="A1" s="54" t="s">
        <v>8</v>
      </c>
      <c r="B1" s="23" t="s">
        <v>1</v>
      </c>
      <c r="C1" s="23" t="s">
        <v>70</v>
      </c>
      <c r="D1" s="23" t="s">
        <v>21</v>
      </c>
      <c r="E1" s="55" t="s">
        <v>71</v>
      </c>
      <c r="F1" s="23" t="s">
        <v>22</v>
      </c>
      <c r="G1" s="56" t="s">
        <v>25</v>
      </c>
      <c r="H1" s="56" t="s">
        <v>24</v>
      </c>
      <c r="I1" s="23" t="s">
        <v>29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>
      <c r="A2" s="57"/>
      <c r="B2" s="34" t="s">
        <v>73</v>
      </c>
      <c r="C2" s="31">
        <v>15600.0</v>
      </c>
      <c r="D2" s="32">
        <f t="shared" ref="D2:D4" si="1">C2*2%</f>
        <v>312</v>
      </c>
      <c r="E2" s="61">
        <f t="shared" ref="E2:E4" si="2">D2*18%</f>
        <v>56.16</v>
      </c>
      <c r="F2" s="61">
        <f t="shared" ref="F2:F4" si="3">C2-D2-E2</f>
        <v>15231.84</v>
      </c>
      <c r="G2" s="34">
        <f t="shared" ref="G2:G4" si="4">C2*0.5%</f>
        <v>78</v>
      </c>
      <c r="H2" s="34">
        <f t="shared" ref="H2:H4" si="5">D2*0.1%</f>
        <v>0.312</v>
      </c>
      <c r="I2" s="34">
        <f t="shared" ref="I2:I4" si="6">F2-G2-H2</f>
        <v>15153.528</v>
      </c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>
      <c r="A3" s="38"/>
      <c r="B3" s="24" t="s">
        <v>47</v>
      </c>
      <c r="C3" s="32">
        <v>6000.0</v>
      </c>
      <c r="D3" s="32">
        <f t="shared" si="1"/>
        <v>120</v>
      </c>
      <c r="E3" s="61">
        <f t="shared" si="2"/>
        <v>21.6</v>
      </c>
      <c r="F3" s="61">
        <f t="shared" si="3"/>
        <v>5858.4</v>
      </c>
      <c r="G3" s="34">
        <f t="shared" si="4"/>
        <v>30</v>
      </c>
      <c r="H3" s="34">
        <f t="shared" si="5"/>
        <v>0.12</v>
      </c>
      <c r="I3" s="34">
        <f t="shared" si="6"/>
        <v>5828.28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>
      <c r="A4" s="38"/>
      <c r="B4" s="24" t="s">
        <v>79</v>
      </c>
      <c r="C4" s="31">
        <v>4800.0</v>
      </c>
      <c r="D4" s="32">
        <f t="shared" si="1"/>
        <v>96</v>
      </c>
      <c r="E4" s="61">
        <f t="shared" si="2"/>
        <v>17.28</v>
      </c>
      <c r="F4" s="61">
        <f t="shared" si="3"/>
        <v>4686.72</v>
      </c>
      <c r="G4" s="34">
        <f t="shared" si="4"/>
        <v>24</v>
      </c>
      <c r="H4" s="34">
        <f t="shared" si="5"/>
        <v>0.096</v>
      </c>
      <c r="I4" s="34">
        <f t="shared" si="6"/>
        <v>4662.624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>
      <c r="A5" s="38"/>
      <c r="B5" s="6" t="s">
        <v>60</v>
      </c>
      <c r="C5" s="47">
        <f>SUM(C2:C4)</f>
        <v>26400</v>
      </c>
      <c r="D5" s="16"/>
      <c r="E5" s="66"/>
      <c r="F5" s="42">
        <f>SUM(F2:F4)</f>
        <v>25776.96</v>
      </c>
      <c r="G5" s="42"/>
      <c r="H5" s="16"/>
      <c r="I5" s="47">
        <f>SUM(I2:I4)</f>
        <v>25644.432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4" t="s">
        <v>8</v>
      </c>
      <c r="B1" s="23" t="s">
        <v>1</v>
      </c>
      <c r="C1" s="23" t="s">
        <v>72</v>
      </c>
      <c r="D1" s="23" t="s">
        <v>21</v>
      </c>
      <c r="E1" s="23" t="s">
        <v>29</v>
      </c>
    </row>
    <row r="2">
      <c r="A2" s="37"/>
      <c r="B2" s="32" t="s">
        <v>74</v>
      </c>
      <c r="C2" s="58">
        <v>0.0</v>
      </c>
      <c r="D2" s="34"/>
      <c r="E2" s="34"/>
    </row>
    <row r="3">
      <c r="A3" s="59"/>
      <c r="B3" s="24"/>
      <c r="C3" s="24"/>
      <c r="D3" s="24"/>
      <c r="E3" s="24"/>
    </row>
    <row r="4">
      <c r="A4" s="38"/>
      <c r="B4" s="16"/>
      <c r="C4" s="60">
        <f t="shared" ref="C4:E4" si="1">SUM(C2:C3)</f>
        <v>0</v>
      </c>
      <c r="D4" s="34">
        <f t="shared" si="1"/>
        <v>0</v>
      </c>
      <c r="E4" s="60">
        <f t="shared" si="1"/>
        <v>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17" t="s">
        <v>8</v>
      </c>
      <c r="B1" s="5" t="s">
        <v>1</v>
      </c>
      <c r="C1" s="5" t="s">
        <v>75</v>
      </c>
      <c r="D1" s="62" t="s">
        <v>76</v>
      </c>
      <c r="E1" s="62" t="s">
        <v>77</v>
      </c>
      <c r="F1" s="5" t="s">
        <v>29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11"/>
      <c r="B2" s="32" t="s">
        <v>74</v>
      </c>
      <c r="C2" s="15">
        <v>0.0</v>
      </c>
      <c r="D2" s="11"/>
      <c r="E2" s="11"/>
      <c r="F2" s="63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8"/>
      <c r="B3" s="57"/>
      <c r="C3" s="22"/>
      <c r="D3" s="38"/>
      <c r="E3" s="38"/>
      <c r="F3" s="64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8"/>
      <c r="B4" s="57"/>
      <c r="C4" s="22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57"/>
      <c r="B5" s="57"/>
      <c r="C5" s="22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38"/>
      <c r="B6" s="38"/>
      <c r="C6" s="65"/>
      <c r="D6" s="38"/>
      <c r="E6" s="38"/>
      <c r="F6" s="64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5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5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5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5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5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17" t="s">
        <v>8</v>
      </c>
      <c r="B1" s="5" t="s">
        <v>1</v>
      </c>
      <c r="C1" s="62" t="s">
        <v>78</v>
      </c>
      <c r="D1" s="22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A2" s="11"/>
      <c r="B2" s="32" t="s">
        <v>74</v>
      </c>
      <c r="C2" s="15">
        <v>0.0</v>
      </c>
      <c r="D2" s="22"/>
      <c r="E2" s="6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>
      <c r="A3" s="38"/>
      <c r="B3" s="57"/>
      <c r="C3" s="22"/>
      <c r="D3" s="38"/>
      <c r="E3" s="64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>
      <c r="A4" s="38"/>
      <c r="B4" s="57"/>
      <c r="C4" s="22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>
      <c r="A5" s="57"/>
      <c r="B5" s="57"/>
      <c r="C5" s="22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>
      <c r="A6" s="38"/>
      <c r="B6" s="38"/>
      <c r="C6" s="65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>
      <c r="A9" s="5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>
      <c r="A10" s="5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>
      <c r="A11" s="5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>
      <c r="A12" s="5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>
      <c r="A13" s="5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63"/>
    <col customWidth="1" min="2" max="2" width="12.88"/>
    <col customWidth="1" min="3" max="3" width="17.13"/>
    <col customWidth="1" min="4" max="5" width="15.25"/>
  </cols>
  <sheetData>
    <row r="1">
      <c r="A1" s="5" t="s">
        <v>80</v>
      </c>
      <c r="B1" s="5" t="s">
        <v>81</v>
      </c>
      <c r="C1" s="5" t="s">
        <v>82</v>
      </c>
      <c r="D1" s="5" t="s">
        <v>83</v>
      </c>
      <c r="E1" s="67" t="s">
        <v>84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24" t="s">
        <v>85</v>
      </c>
      <c r="B2" s="11" t="s">
        <v>86</v>
      </c>
      <c r="C2" s="24" t="s">
        <v>87</v>
      </c>
      <c r="D2" s="68">
        <v>46052.0</v>
      </c>
      <c r="E2" s="31">
        <v>27000.0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63"/>
    <col customWidth="1" min="2" max="2" width="12.88"/>
    <col customWidth="1" min="3" max="3" width="17.13"/>
    <col customWidth="1" min="4" max="5" width="15.25"/>
  </cols>
  <sheetData>
    <row r="1">
      <c r="A1" s="5" t="s">
        <v>81</v>
      </c>
      <c r="B1" s="5" t="s">
        <v>88</v>
      </c>
      <c r="C1" s="62" t="s">
        <v>83</v>
      </c>
      <c r="D1" s="67" t="s">
        <v>84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11" t="s">
        <v>86</v>
      </c>
      <c r="B2" s="11" t="s">
        <v>89</v>
      </c>
      <c r="C2" s="11" t="s">
        <v>90</v>
      </c>
      <c r="D2" s="58">
        <v>54000.0</v>
      </c>
      <c r="E2" s="37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0"/>
    <col customWidth="1" min="2" max="2" width="11.5"/>
    <col customWidth="1" min="3" max="3" width="9.38"/>
    <col customWidth="1" min="4" max="6" width="30.5"/>
  </cols>
  <sheetData>
    <row r="1">
      <c r="A1" s="69" t="s">
        <v>91</v>
      </c>
      <c r="B1" s="69" t="s">
        <v>92</v>
      </c>
      <c r="C1" s="70" t="s">
        <v>4</v>
      </c>
      <c r="D1" s="69" t="s">
        <v>93</v>
      </c>
      <c r="E1" s="69" t="s">
        <v>22</v>
      </c>
      <c r="F1" s="69" t="s">
        <v>94</v>
      </c>
    </row>
    <row r="2">
      <c r="A2" s="71">
        <v>46040.0</v>
      </c>
      <c r="B2" s="72" t="s">
        <v>95</v>
      </c>
      <c r="C2" s="73">
        <v>15000.0</v>
      </c>
      <c r="D2" s="72">
        <f t="shared" ref="D2:D3" si="1">C2*30%</f>
        <v>4500</v>
      </c>
      <c r="E2" s="72">
        <f t="shared" ref="E2:E5" si="2">C2-D2</f>
        <v>10500</v>
      </c>
      <c r="F2" s="72" t="s">
        <v>96</v>
      </c>
    </row>
    <row r="3">
      <c r="A3" s="71">
        <v>46040.0</v>
      </c>
      <c r="B3" s="72" t="s">
        <v>97</v>
      </c>
      <c r="C3" s="73">
        <v>4000.0</v>
      </c>
      <c r="D3" s="72">
        <f t="shared" si="1"/>
        <v>1200</v>
      </c>
      <c r="E3" s="72">
        <f t="shared" si="2"/>
        <v>2800</v>
      </c>
      <c r="F3" s="72" t="s">
        <v>96</v>
      </c>
    </row>
    <row r="4">
      <c r="A4" s="71">
        <v>46049.0</v>
      </c>
      <c r="B4" s="72" t="s">
        <v>98</v>
      </c>
      <c r="C4" s="73">
        <v>3600.0</v>
      </c>
      <c r="D4" s="72">
        <v>0.0</v>
      </c>
      <c r="E4" s="72">
        <f t="shared" si="2"/>
        <v>3600</v>
      </c>
      <c r="F4" s="72" t="s">
        <v>96</v>
      </c>
    </row>
    <row r="5">
      <c r="A5" s="71">
        <v>46049.0</v>
      </c>
      <c r="B5" s="74" t="s">
        <v>40</v>
      </c>
      <c r="C5" s="73">
        <v>1500.0</v>
      </c>
      <c r="D5" s="72">
        <v>0.0</v>
      </c>
      <c r="E5" s="72">
        <f t="shared" si="2"/>
        <v>1500</v>
      </c>
      <c r="F5" s="72" t="s">
        <v>96</v>
      </c>
    </row>
    <row r="6">
      <c r="A6" s="75" t="s">
        <v>60</v>
      </c>
      <c r="B6" s="76"/>
      <c r="C6" s="77">
        <f>SUM(C2:C5)</f>
        <v>24100</v>
      </c>
      <c r="D6" s="76"/>
      <c r="E6" s="77">
        <f>SUM(E2:E5)</f>
        <v>18400</v>
      </c>
      <c r="F6" s="7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4.0"/>
  </cols>
  <sheetData>
    <row r="1">
      <c r="A1" s="78" t="s">
        <v>91</v>
      </c>
      <c r="B1" s="78" t="s">
        <v>92</v>
      </c>
      <c r="C1" s="78" t="s">
        <v>4</v>
      </c>
      <c r="D1" s="78" t="s">
        <v>94</v>
      </c>
    </row>
    <row r="2">
      <c r="A2" s="79">
        <v>46039.0</v>
      </c>
      <c r="B2" s="80" t="s">
        <v>99</v>
      </c>
      <c r="C2" s="80">
        <v>3000.0</v>
      </c>
      <c r="D2" s="80" t="s">
        <v>100</v>
      </c>
    </row>
    <row r="3">
      <c r="A3" s="71"/>
      <c r="B3" s="72"/>
      <c r="C3" s="72"/>
      <c r="D3" s="72"/>
    </row>
  </sheetData>
  <drawing r:id="rId1"/>
</worksheet>
</file>