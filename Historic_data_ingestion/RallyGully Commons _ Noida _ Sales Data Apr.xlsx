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District" sheetId="4" r:id="rId8"/>
    <sheet state="visible" name="Playo" sheetId="5" r:id="rId9"/>
    <sheet state="visible" name="Memberships" sheetId="6" r:id="rId10"/>
  </sheets>
  <definedNames/>
  <calcPr/>
</workbook>
</file>

<file path=xl/sharedStrings.xml><?xml version="1.0" encoding="utf-8"?>
<sst xmlns="http://schemas.openxmlformats.org/spreadsheetml/2006/main" count="207" uniqueCount="121">
  <si>
    <t>1 - 30 April</t>
  </si>
  <si>
    <t>Particulars</t>
  </si>
  <si>
    <t>Total</t>
  </si>
  <si>
    <t>Pickleball</t>
  </si>
  <si>
    <t>Turf</t>
  </si>
  <si>
    <t>Padel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</si>
  <si>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</si>
  <si>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</si>
  <si>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</si>
  <si>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</si>
  <si>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</si>
  <si>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</si>
  <si>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</si>
  <si>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</si>
  <si>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</si>
  <si>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</si>
  <si>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</si>
  <si>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</si>
  <si>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</si>
  <si>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</si>
  <si>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</si>
  <si>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</si>
  <si>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</si>
  <si>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</si>
  <si>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</si>
  <si>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</si>
  <si>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</si>
  <si>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</si>
  <si>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</si>
  <si>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</si>
  <si>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</si>
  <si>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SD VIdya's Share</t>
  </si>
  <si>
    <t>Our Share (RG + Commons)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</si>
  <si>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</si>
  <si>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</si>
  <si>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</si>
  <si>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</si>
  <si>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</si>
  <si>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</si>
  <si>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</si>
  <si>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Padel Rental</t>
  </si>
  <si>
    <t>Total Revenue</t>
  </si>
  <si>
    <t>Payment Gateway</t>
  </si>
  <si>
    <t>Net Revenue</t>
  </si>
  <si>
    <t>1 Apr</t>
  </si>
  <si>
    <t>Wednesday</t>
  </si>
  <si>
    <t>20% and 25%</t>
  </si>
  <si>
    <t>2 Apr</t>
  </si>
  <si>
    <t>Thursday</t>
  </si>
  <si>
    <t>3 Apr</t>
  </si>
  <si>
    <t>Friday</t>
  </si>
  <si>
    <t>4 Apr</t>
  </si>
  <si>
    <t>Saturday</t>
  </si>
  <si>
    <t>5 Apr</t>
  </si>
  <si>
    <t>Sunday</t>
  </si>
  <si>
    <t>6 Apr</t>
  </si>
  <si>
    <t>Monday</t>
  </si>
  <si>
    <t>7 Apr</t>
  </si>
  <si>
    <t>Tuesday</t>
  </si>
  <si>
    <t>8 Apr</t>
  </si>
  <si>
    <t>9 Apr</t>
  </si>
  <si>
    <t>10 Apr</t>
  </si>
  <si>
    <t>11 Apr</t>
  </si>
  <si>
    <t>12 Apr</t>
  </si>
  <si>
    <t>13 Apr</t>
  </si>
  <si>
    <t>14 Apr</t>
  </si>
  <si>
    <t xml:space="preserve"> </t>
  </si>
  <si>
    <t>15 Apr</t>
  </si>
  <si>
    <t>16 Apr</t>
  </si>
  <si>
    <t>17 Apr</t>
  </si>
  <si>
    <t>18 Apr</t>
  </si>
  <si>
    <t>19 Apr</t>
  </si>
  <si>
    <t>20 Apr</t>
  </si>
  <si>
    <t>21 Apr</t>
  </si>
  <si>
    <t>22 Apr</t>
  </si>
  <si>
    <t>23 Apr</t>
  </si>
  <si>
    <t>24 Apr</t>
  </si>
  <si>
    <t>25 Apr</t>
  </si>
  <si>
    <t>26 Apr</t>
  </si>
  <si>
    <t>27 Apr</t>
  </si>
  <si>
    <t>28 Apr</t>
  </si>
  <si>
    <t>29 Apr</t>
  </si>
  <si>
    <t>30 Apr</t>
  </si>
  <si>
    <t>Community Event</t>
  </si>
  <si>
    <t>Amt</t>
  </si>
  <si>
    <t>Commission</t>
  </si>
  <si>
    <t>Net Amt</t>
  </si>
  <si>
    <t>Type of Event</t>
  </si>
  <si>
    <t>Run+Pickle</t>
  </si>
  <si>
    <t>Recess Club</t>
  </si>
  <si>
    <t>Link</t>
  </si>
  <si>
    <t>Paid to Hudle</t>
  </si>
  <si>
    <t>Commisions (Including GST)</t>
  </si>
  <si>
    <t>TDS</t>
  </si>
  <si>
    <t>TCS</t>
  </si>
  <si>
    <t>Amount</t>
  </si>
  <si>
    <t>1 - 7 Apr</t>
  </si>
  <si>
    <t>7 - 14 Apr</t>
  </si>
  <si>
    <t>15 - 21 Apr</t>
  </si>
  <si>
    <t>21- 28 Apr</t>
  </si>
  <si>
    <t>28 - 30 Apr</t>
  </si>
  <si>
    <t>Paid to District</t>
  </si>
  <si>
    <t>Commissions (₹)</t>
  </si>
  <si>
    <t>GST on Commission</t>
  </si>
  <si>
    <t>Final Amount (₹)</t>
  </si>
  <si>
    <t>1 - 30 Apr</t>
  </si>
  <si>
    <t>Paid to Playo (₹)</t>
  </si>
  <si>
    <t>GST (₹)</t>
  </si>
  <si>
    <t>TDS (₹)</t>
  </si>
  <si>
    <t>TCS (₹)</t>
  </si>
  <si>
    <t>1 - 5 Apr</t>
  </si>
  <si>
    <t>6 - 12 Apr</t>
  </si>
  <si>
    <t>13 - 30 Apr</t>
  </si>
  <si>
    <t>Member Name</t>
  </si>
  <si>
    <t>Sports Type</t>
  </si>
  <si>
    <t>Membership Type</t>
  </si>
  <si>
    <t>Start Date</t>
  </si>
  <si>
    <t>Amount Collected</t>
  </si>
  <si>
    <t>Nikhil</t>
  </si>
  <si>
    <t>Football</t>
  </si>
  <si>
    <t>Rally Pack (15)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</si>
</sst>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₹]#,##0.0"/>
    <numFmt numFmtId="165" formatCode="[&gt;9999999][$₹]##\,##\,##\,##0.00;[&gt;99999][$₹]##\,##\,##0.00;[$₹]##,##0.00"/>
    <numFmt numFmtId="166" formatCode="[$₹]#,##0"/>
    <numFmt numFmtId="167" formatCode="[$₹]#,##0.00"/>
    <numFmt numFmtId="168" formatCode="d mmm"/>
    <numFmt numFmtId="169" formatCode="[&gt;9999999][$₹]##\,##\,##\,##0;[&gt;99999][$₹]##\,##\,##0;[$₹]##,##0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</font>
    <font>
      <b/>
      <i/>
      <color theme="1"/>
      <name val="Arial"/>
      <scheme val="minor"/>
    </font>
    <font>
      <color theme="1"/>
      <name val="Arial"/>
    </font>
    <font>
      <i/>
      <color theme="1"/>
      <name val="Arial"/>
    </font>
    <font>
      <i/>
      <color theme="1"/>
      <name val="Arial"/>
      <scheme val="minor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2" fillId="2" fontId="2" numFmtId="164" xfId="0" applyBorder="1" applyFill="1" applyFont="1" applyNumberFormat="1"/>
    <xf borderId="3" fillId="2" fontId="1" numFmtId="164" xfId="0" applyAlignment="1" applyBorder="1" applyFill="1" applyFont="1" applyNumberFormat="1">
      <alignment horizontal="center" readingOrder="0" vertical="bottom"/>
    </xf>
    <xf borderId="4" fillId="2" fontId="2" numFmtId="164" xfId="0" applyBorder="1" applyFill="1" applyFont="1" applyNumberFormat="1"/>
    <xf borderId="0" fillId="0" fontId="2" numFmtId="164" xfId="0" applyFont="1" applyNumberFormat="1"/>
    <xf borderId="2" fillId="2" fontId="1" numFmtId="164" xfId="0" applyAlignment="1" applyBorder="1" applyFill="1" applyFont="1" applyNumberFormat="1">
      <alignment horizontal="center" vertical="bottom"/>
    </xf>
    <xf borderId="2" fillId="2" fontId="3" numFmtId="164" xfId="0" applyAlignment="1" applyBorder="1" applyFill="1" applyFont="1" applyNumberFormat="1">
      <alignment horizontal="center" readingOrder="0"/>
    </xf>
    <xf borderId="3" fillId="2" fontId="4" numFmtId="164" xfId="0" applyAlignment="1" applyBorder="1" applyFill="1" applyFont="1" applyNumberFormat="1">
      <alignment horizontal="center" readingOrder="0" vertical="bottom"/>
    </xf>
    <xf borderId="4" fillId="2" fontId="5" numFmtId="164" xfId="0" applyAlignment="1" applyBorder="1" applyFill="1" applyFont="1" applyNumberFormat="1">
      <alignment horizontal="center" readingOrder="0"/>
    </xf>
    <xf borderId="2" fillId="0" fontId="1" numFmtId="164" xfId="0" applyAlignment="1" applyBorder="1" applyFont="1" applyNumberFormat="1">
      <alignment readingOrder="0" vertical="bottom"/>
    </xf>
    <xf borderId="2" fillId="0" fontId="1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vertical="bottom"/>
    </xf>
    <xf borderId="4" fillId="0" fontId="4" numFmtId="164" xfId="0" applyAlignment="1" applyBorder="1" applyFont="1" applyNumberFormat="1">
      <alignment horizontal="right" vertical="bottom"/>
    </xf>
    <xf borderId="2" fillId="0" fontId="3" numFmtId="164" xfId="0" applyAlignment="1" applyBorder="1" applyFont="1" applyNumberFormat="1">
      <alignment readingOrder="0"/>
    </xf>
    <xf borderId="2" fillId="0" fontId="6" numFmtId="164" xfId="0" applyAlignment="1" applyBorder="1" applyFont="1" applyNumberFormat="1">
      <alignment readingOrder="0" vertical="bottom"/>
    </xf>
    <xf borderId="2" fillId="0" fontId="2" numFmtId="164" xfId="0" applyBorder="1" applyFont="1" applyNumberFormat="1"/>
    <xf borderId="3" fillId="0" fontId="7" numFmtId="164" xfId="0" applyAlignment="1" applyBorder="1" applyFont="1" applyNumberFormat="1">
      <alignment horizontal="right" readingOrder="0" vertical="bottom"/>
    </xf>
    <xf borderId="4" fillId="0" fontId="8" numFmtId="164" xfId="0" applyBorder="1" applyFont="1" applyNumberFormat="1"/>
    <xf borderId="3" fillId="0" fontId="7" numFmtId="164" xfId="0" applyAlignment="1" applyBorder="1" applyFont="1" applyNumberFormat="1">
      <alignment horizontal="right" vertical="bottom"/>
    </xf>
    <xf borderId="4" fillId="0" fontId="8" numFmtId="164" xfId="0" applyAlignment="1" applyBorder="1" applyFont="1" applyNumberFormat="1">
      <alignment readingOrder="0"/>
    </xf>
    <xf borderId="2" fillId="0" fontId="2" numFmtId="164" xfId="0" applyAlignment="1" applyBorder="1" applyFont="1" applyNumberFormat="1">
      <alignment readingOrder="0"/>
    </xf>
    <xf borderId="3" fillId="0" fontId="4" numFmtId="164" xfId="0" applyAlignment="1" applyBorder="1" applyFont="1" applyNumberFormat="1">
      <alignment horizontal="right" readingOrder="0" vertical="bottom"/>
    </xf>
    <xf borderId="2" fillId="0" fontId="1" numFmtId="164" xfId="0" applyAlignment="1" applyBorder="1" applyFont="1" applyNumberFormat="1">
      <alignment horizontal="right" readingOrder="0" vertical="bottom"/>
    </xf>
    <xf borderId="4" fillId="0" fontId="4" numFmtId="164" xfId="0" applyAlignment="1" applyBorder="1" applyFont="1" applyNumberFormat="1">
      <alignment horizontal="right" readingOrder="0" vertical="bottom"/>
    </xf>
    <xf borderId="2" fillId="0" fontId="1" numFmtId="164" xfId="0" applyAlignment="1" applyBorder="1" applyFont="1" applyNumberFormat="1">
      <alignment vertical="bottom"/>
    </xf>
    <xf borderId="2" fillId="2" fontId="1" numFmtId="164" xfId="0" applyAlignment="1" applyBorder="1" applyFill="1" applyFont="1" applyNumberFormat="1">
      <alignment vertical="bottom"/>
    </xf>
    <xf borderId="2" fillId="2" fontId="1" numFmtId="164" xfId="0" applyAlignment="1" applyBorder="1" applyFill="1" applyFont="1" applyNumberFormat="1">
      <alignment horizontal="right" vertical="bottom"/>
    </xf>
    <xf borderId="3" fillId="2" fontId="4" numFmtId="164" xfId="0" applyAlignment="1" applyBorder="1" applyFill="1" applyFont="1" applyNumberFormat="1">
      <alignment horizontal="right" vertical="bottom"/>
    </xf>
    <xf borderId="4" fillId="2" fontId="4" numFmtId="164" xfId="0" applyAlignment="1" applyBorder="1" applyFill="1" applyFont="1" applyNumberFormat="1">
      <alignment horizontal="right" vertical="bottom"/>
    </xf>
    <xf borderId="2" fillId="0" fontId="6" numFmtId="164" xfId="0" applyAlignment="1" applyBorder="1" applyFont="1" applyNumberFormat="1">
      <alignment shrinkToFit="0" vertical="bottom" wrapText="1"/>
    </xf>
    <xf borderId="2" fillId="0" fontId="3" numFmtId="164" xfId="0" applyBorder="1" applyFont="1" applyNumberFormat="1"/>
    <xf borderId="3" fillId="0" fontId="1" numFmtId="164" xfId="0" applyAlignment="1" applyBorder="1" applyFont="1" applyNumberFormat="1">
      <alignment horizontal="right" readingOrder="0" vertical="bottom"/>
    </xf>
    <xf borderId="4" fillId="0" fontId="1" numFmtId="164" xfId="0" applyAlignment="1" applyBorder="1" applyFont="1" applyNumberFormat="1">
      <alignment horizontal="right" readingOrder="0" vertical="bottom"/>
    </xf>
    <xf borderId="3" fillId="0" fontId="1" numFmtId="164" xfId="0" applyAlignment="1" applyBorder="1" applyFont="1" applyNumberFormat="1">
      <alignment horizontal="right" vertical="bottom"/>
    </xf>
    <xf borderId="4" fillId="0" fontId="1" numFmtId="164" xfId="0" applyAlignment="1" applyBorder="1" applyFont="1" applyNumberFormat="1">
      <alignment horizontal="right" vertical="bottom"/>
    </xf>
    <xf borderId="0" fillId="0" fontId="2" numFmtId="165" xfId="0" applyFont="1" applyNumberFormat="1"/>
    <xf borderId="0" fillId="0" fontId="3" numFmtId="0" xfId="0" applyAlignment="1" applyFont="1">
      <alignment readingOrder="0"/>
    </xf>
    <xf borderId="2" fillId="2" fontId="1" numFmtId="1" xfId="0" applyAlignment="1" applyBorder="1" applyFill="1" applyFont="1" applyNumberFormat="1">
      <alignment horizontal="center" vertical="bottom"/>
    </xf>
    <xf borderId="2" fillId="2" fontId="1" numFmtId="1" xfId="0" applyAlignment="1" applyBorder="1" applyFill="1" applyFont="1" applyNumberFormat="1">
      <alignment horizontal="right" vertical="bottom"/>
    </xf>
    <xf borderId="2" fillId="2" fontId="6" numFmtId="1" xfId="0" applyAlignment="1" applyBorder="1" applyFill="1" applyFont="1" applyNumberFormat="1">
      <alignment vertical="bottom"/>
    </xf>
    <xf borderId="2" fillId="2" fontId="1" numFmtId="0" xfId="0" applyAlignment="1" applyBorder="1" applyFill="1" applyFont="1">
      <alignment vertical="bottom"/>
    </xf>
    <xf borderId="2" fillId="0" fontId="6" numFmtId="166" xfId="0" applyAlignment="1" applyBorder="1" applyFont="1" applyNumberFormat="1">
      <alignment vertical="bottom"/>
    </xf>
    <xf borderId="2" fillId="3" fontId="6" numFmtId="1" xfId="0" applyAlignment="1" applyBorder="1" applyFill="1" applyFont="1" applyNumberFormat="1">
      <alignment horizontal="right" vertical="bottom"/>
    </xf>
    <xf borderId="2" fillId="3" fontId="6" numFmtId="1" xfId="0" applyAlignment="1" applyBorder="1" applyFill="1" applyFont="1" applyNumberFormat="1">
      <alignment vertical="bottom"/>
    </xf>
    <xf borderId="2" fillId="0" fontId="6" numFmtId="1" xfId="0" applyAlignment="1" applyBorder="1" applyFont="1" applyNumberFormat="1">
      <alignment horizontal="right" vertical="bottom"/>
    </xf>
    <xf borderId="2" fillId="0" fontId="6" numFmtId="166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/>
    </xf>
    <xf borderId="2" fillId="0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2" fillId="2" fontId="1" numFmtId="1" xfId="0" applyAlignment="1" applyBorder="1" applyFill="1" applyFont="1" applyNumberFormat="1">
      <alignment vertical="bottom"/>
    </xf>
    <xf borderId="2" fillId="2" fontId="1" numFmtId="167" xfId="0" applyAlignment="1" applyBorder="1" applyFill="1" applyFont="1" applyNumberFormat="1">
      <alignment horizontal="right" vertical="bottom"/>
    </xf>
    <xf borderId="2" fillId="2" fontId="3" numFmtId="167" xfId="0" applyAlignment="1" applyBorder="1" applyFill="1" applyFont="1" applyNumberFormat="1">
      <alignment readingOrder="0"/>
    </xf>
    <xf borderId="2" fillId="2" fontId="2" numFmtId="167" xfId="0" applyBorder="1" applyFill="1" applyFont="1" applyNumberFormat="1"/>
    <xf borderId="2" fillId="0" fontId="2" numFmtId="0" xfId="0" applyBorder="1" applyFont="1"/>
    <xf borderId="2" fillId="2" fontId="3" numFmtId="0" xfId="0" applyAlignment="1" applyBorder="1" applyFill="1" applyFont="1">
      <alignment readingOrder="0"/>
    </xf>
    <xf borderId="2" fillId="3" fontId="2" numFmtId="168" xfId="0" applyAlignment="1" applyBorder="1" applyFill="1" applyFont="1" applyNumberFormat="1">
      <alignment readingOrder="0"/>
    </xf>
    <xf borderId="2" fillId="3" fontId="2" numFmtId="167" xfId="0" applyAlignment="1" applyBorder="1" applyFill="1" applyFont="1" applyNumberFormat="1">
      <alignment readingOrder="0"/>
    </xf>
    <xf borderId="2" fillId="3" fontId="3" numFmtId="167" xfId="0" applyBorder="1" applyFill="1" applyFont="1" applyNumberFormat="1"/>
    <xf borderId="2" fillId="0" fontId="2" numFmtId="0" xfId="0" applyAlignment="1" applyBorder="1" applyFont="1">
      <alignment readingOrder="0"/>
    </xf>
    <xf borderId="2" fillId="0" fontId="3" numFmtId="167" xfId="0" applyBorder="1" applyFont="1" applyNumberFormat="1"/>
    <xf borderId="2" fillId="2" fontId="9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vertical="bottom"/>
    </xf>
    <xf borderId="2" fillId="2" fontId="1" numFmtId="167" xfId="0" applyAlignment="1" applyBorder="1" applyFill="1" applyFont="1" applyNumberFormat="1">
      <alignment horizontal="center" vertical="bottom"/>
    </xf>
    <xf borderId="0" fillId="0" fontId="6" numFmtId="167" xfId="0" applyAlignment="1" applyFont="1" applyNumberFormat="1">
      <alignment vertical="bottom"/>
    </xf>
    <xf borderId="2" fillId="0" fontId="6" numFmtId="167" xfId="0" applyAlignment="1" applyBorder="1" applyFont="1" applyNumberFormat="1">
      <alignment readingOrder="0" vertical="bottom"/>
    </xf>
    <xf borderId="2" fillId="0" fontId="6" numFmtId="165" xfId="0" applyAlignment="1" applyBorder="1" applyFont="1" applyNumberFormat="1">
      <alignment horizontal="right" vertical="bottom"/>
    </xf>
    <xf borderId="0" fillId="3" fontId="6" numFmtId="0" xfId="0" applyAlignment="1" applyFill="1" applyFont="1">
      <alignment vertical="bottom"/>
    </xf>
    <xf borderId="2" fillId="3" fontId="6" numFmtId="0" xfId="0" applyAlignment="1" applyBorder="1" applyFill="1" applyFont="1">
      <alignment readingOrder="0" vertical="bottom"/>
    </xf>
    <xf borderId="2" fillId="3" fontId="6" numFmtId="165" xfId="0" applyAlignment="1" applyBorder="1" applyFill="1" applyFont="1" applyNumberFormat="1">
      <alignment horizontal="right" readingOrder="0" vertical="bottom"/>
    </xf>
    <xf borderId="2" fillId="3" fontId="6" numFmtId="167" xfId="0" applyAlignment="1" applyBorder="1" applyFill="1" applyFont="1" applyNumberFormat="1">
      <alignment readingOrder="0" vertical="bottom"/>
    </xf>
    <xf borderId="2" fillId="3" fontId="6" numFmtId="169" xfId="0" applyAlignment="1" applyBorder="1" applyFill="1" applyFont="1" applyNumberFormat="1">
      <alignment readingOrder="0" vertical="bottom"/>
    </xf>
    <xf borderId="0" fillId="0" fontId="6" numFmtId="0" xfId="0" applyAlignment="1" applyFont="1">
      <alignment vertical="bottom"/>
    </xf>
    <xf borderId="2" fillId="2" fontId="1" numFmtId="165" xfId="0" applyAlignment="1" applyBorder="1" applyFill="1" applyFont="1" applyNumberFormat="1">
      <alignment horizontal="right" vertical="bottom"/>
    </xf>
    <xf borderId="2" fillId="2" fontId="6" numFmtId="167" xfId="0" applyAlignment="1" applyBorder="1" applyFill="1" applyFont="1" applyNumberFormat="1">
      <alignment vertical="bottom"/>
    </xf>
    <xf borderId="2" fillId="2" fontId="6" numFmtId="0" xfId="0" applyAlignment="1" applyBorder="1" applyFill="1" applyFont="1">
      <alignment vertical="bottom"/>
    </xf>
    <xf borderId="2" fillId="0" fontId="3" numFmtId="0" xfId="0" applyAlignment="1" applyBorder="1" applyFont="1">
      <alignment readingOrder="0"/>
    </xf>
    <xf borderId="2" fillId="0" fontId="3" numFmtId="167" xfId="0" applyAlignment="1" applyBorder="1" applyFont="1" applyNumberFormat="1">
      <alignment readingOrder="0"/>
    </xf>
    <xf borderId="0" fillId="2" fontId="10" numFmtId="167" xfId="0" applyAlignment="1" applyFill="1" applyFont="1" applyNumberFormat="1">
      <alignment horizontal="center" readingOrder="0" vertical="bottom"/>
    </xf>
    <xf borderId="0" fillId="2" fontId="11" numFmtId="167" xfId="0" applyAlignment="1" applyFill="1" applyFont="1" applyNumberFormat="1">
      <alignment vertical="bottom"/>
    </xf>
    <xf borderId="0" fillId="2" fontId="1" numFmtId="167" xfId="0" applyAlignment="1" applyFill="1" applyFont="1" applyNumberFormat="1">
      <alignment horizontal="center" vertical="bottom"/>
    </xf>
    <xf borderId="0" fillId="0" fontId="6" numFmtId="168" xfId="0" applyAlignment="1" applyFont="1" applyNumberFormat="1">
      <alignment vertical="bottom"/>
    </xf>
    <xf borderId="2" fillId="0" fontId="6" numFmtId="167" xfId="0" applyAlignment="1" applyBorder="1" applyFont="1" applyNumberFormat="1">
      <alignment horizontal="right" readingOrder="0" vertical="bottom"/>
    </xf>
    <xf borderId="2" fillId="0" fontId="6" numFmtId="165" xfId="0" applyAlignment="1" applyBorder="1" applyFont="1" applyNumberFormat="1">
      <alignment horizontal="right" readingOrder="0" vertical="bottom"/>
    </xf>
    <xf borderId="2" fillId="3" fontId="6" numFmtId="0" xfId="0" applyAlignment="1" applyBorder="1" applyFill="1" applyFont="1">
      <alignment vertical="bottom"/>
    </xf>
    <xf borderId="2" fillId="3" fontId="6" numFmtId="4" xfId="0" applyAlignment="1" applyBorder="1" applyFill="1" applyFont="1" applyNumberFormat="1">
      <alignment horizontal="right" readingOrder="0" vertical="bottom"/>
    </xf>
    <xf borderId="2" fillId="3" fontId="6" numFmtId="0" xfId="0" applyAlignment="1" applyBorder="1" applyFill="1" applyFont="1">
      <alignment horizontal="right" readingOrder="0" vertical="bottom"/>
    </xf>
    <xf borderId="2" fillId="3" fontId="6" numFmtId="4" xfId="0" applyAlignment="1" applyBorder="1" applyFill="1" applyFont="1" applyNumberFormat="1">
      <alignment readingOrder="0" vertical="bottom"/>
    </xf>
    <xf borderId="2" fillId="2" fontId="1" numFmtId="0" xfId="0" applyAlignment="1" applyBorder="1" applyFill="1" applyFont="1">
      <alignment horizontal="right" vertical="bottom"/>
    </xf>
    <xf borderId="2" fillId="2" fontId="1" numFmtId="4" xfId="0" applyAlignment="1" applyBorder="1" applyFill="1" applyFont="1" applyNumberFormat="1">
      <alignment horizontal="right" vertical="bottom"/>
    </xf>
    <xf borderId="2" fillId="2" fontId="6" numFmtId="4" xfId="0" applyAlignment="1" applyBorder="1" applyFill="1" applyFont="1" applyNumberFormat="1">
      <alignment vertical="bottom"/>
    </xf>
    <xf borderId="2" fillId="0" fontId="6" numFmtId="0" xfId="0" applyAlignment="1" applyBorder="1" applyFont="1">
      <alignment readingOrder="0" vertical="bottom"/>
    </xf>
    <xf borderId="2" fillId="0" fontId="6" numFmtId="168" xfId="0" applyAlignment="1" applyBorder="1" applyFont="1" applyNumberFormat="1">
      <alignment horizontal="right" readingOrder="0" vertical="bottom"/>
    </xf>
    <xf borderId="2" fillId="0" fontId="1" numFmtId="167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QiFaYdHDkmrS1nRAILuBepcJo9EBdQStRMedXHl8I4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-4ZSIobvuvPwLu5wkXqt5RUBwyQVvzKxneJWqQyF-Q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iw6RRS4yWI2uDwiAdlbHVmwgH4t5S2NkfVKVuXJQyg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1" max="1" width="3.75"/>
    <col customWidth="1" min="2" max="2" width="34.0"/>
    <col min="4" max="6" width="12.63" outlineLevel="1"/>
    <col customWidth="1" min="9" max="9" width="17.38"/>
  </cols>
  <sheetData>
    <row r="2">
      <c r="B2" s="1" t="s">
        <v>0</v>
      </c>
      <c r="C2" s="2"/>
      <c r="D2" s="3"/>
      <c r="E2" s="4"/>
      <c r="F2" s="4"/>
      <c r="G2" s="5"/>
    </row>
    <row r="3">
      <c r="B3" s="6" t="s">
        <v>1</v>
      </c>
      <c r="C3" s="7" t="s">
        <v>2</v>
      </c>
      <c r="D3" s="8" t="s">
        <v>3</v>
      </c>
      <c r="E3" s="9" t="s">
        <v>4</v>
      </c>
      <c r="F3" s="9" t="s">
        <v>5</v>
      </c>
      <c r="G3" s="5"/>
    </row>
    <row r="4">
      <c r="B4" s="10" t="s">
        <v>6</v>
      </c>
      <c r="C4" s="11">
        <f t="shared" ref="C4:F4" si="1">sum(C5,C11)</f>
        <v>280714.75</v>
      </c>
      <c r="D4" s="12">
        <f t="shared" si="1"/>
        <v>32157.75</v>
      </c>
      <c r="E4" s="13">
        <f t="shared" si="1"/>
        <v>164504</v>
      </c>
      <c r="F4" s="13">
        <f t="shared" si="1"/>
        <v>84053</v>
      </c>
      <c r="G4" s="5"/>
    </row>
    <row r="5" outlineLevel="1">
      <c r="B5" s="14" t="s">
        <v>7</v>
      </c>
      <c r="C5" s="11">
        <f t="shared" ref="C5:F5" si="2">sum(C6:C10)</f>
        <v>144764.75</v>
      </c>
      <c r="D5" s="12">
        <f t="shared" si="2"/>
        <v>23611.75</v>
      </c>
      <c r="E5" s="13">
        <f t="shared" si="2"/>
        <v>99368</v>
      </c>
      <c r="F5" s="13">
        <f t="shared" si="2"/>
        <v>21785</v>
      </c>
      <c r="G5" s="5"/>
    </row>
    <row r="6" outlineLevel="2">
      <c r="B6" s="15" t="s">
        <v>8</v>
      </c>
      <c r="C6" s="16">
        <f>District!C3</f>
        <v>50364</v>
      </c>
      <c r="D6" s="17">
        <f>District!B5</f>
        <v>9209</v>
      </c>
      <c r="E6" s="18">
        <f>District!B6</f>
        <v>28168</v>
      </c>
      <c r="F6" s="18">
        <f>District!B7</f>
        <v>12987</v>
      </c>
      <c r="G6" s="5"/>
    </row>
    <row r="7" outlineLevel="2">
      <c r="B7" s="15" t="s">
        <v>9</v>
      </c>
      <c r="C7" s="16">
        <f>Hudle!C7</f>
        <v>83759.25</v>
      </c>
      <c r="D7" s="19">
        <f>Hudle!B9</f>
        <v>11251.25</v>
      </c>
      <c r="E7" s="18">
        <f>Hudle!B10</f>
        <v>63710</v>
      </c>
      <c r="F7" s="18">
        <f>Hudle!B11</f>
        <v>8798</v>
      </c>
      <c r="G7" s="5"/>
    </row>
    <row r="8" outlineLevel="2">
      <c r="B8" s="15" t="s">
        <v>10</v>
      </c>
      <c r="C8" s="16">
        <f>Playo!C6</f>
        <v>10641.5</v>
      </c>
      <c r="D8" s="19">
        <f>Playo!B8</f>
        <v>3151.5</v>
      </c>
      <c r="E8" s="18">
        <f>Playo!B9</f>
        <v>7490</v>
      </c>
      <c r="F8" s="20">
        <v>0.0</v>
      </c>
      <c r="G8" s="5"/>
    </row>
    <row r="9" outlineLevel="2">
      <c r="B9" s="15" t="s">
        <v>11</v>
      </c>
      <c r="C9" s="21">
        <v>0.0</v>
      </c>
      <c r="D9" s="17">
        <v>0.0</v>
      </c>
      <c r="E9" s="20">
        <v>0.0</v>
      </c>
      <c r="F9" s="20">
        <v>0.0</v>
      </c>
      <c r="G9" s="5"/>
    </row>
    <row r="10" outlineLevel="2">
      <c r="B10" s="15" t="s">
        <v>12</v>
      </c>
      <c r="C10" s="21">
        <v>0.0</v>
      </c>
      <c r="D10" s="17">
        <v>0.0</v>
      </c>
      <c r="E10" s="20">
        <v>0.0</v>
      </c>
      <c r="F10" s="20">
        <v>0.0</v>
      </c>
      <c r="G10" s="5"/>
    </row>
    <row r="11" outlineLevel="1" collapsed="1">
      <c r="B11" s="14" t="s">
        <v>13</v>
      </c>
      <c r="C11" s="11">
        <f t="shared" ref="C11:F11" si="3">sum(C12:C13)</f>
        <v>135950</v>
      </c>
      <c r="D11" s="12">
        <f t="shared" si="3"/>
        <v>8546</v>
      </c>
      <c r="E11" s="13">
        <f t="shared" si="3"/>
        <v>65136</v>
      </c>
      <c r="F11" s="13">
        <f t="shared" si="3"/>
        <v>62268</v>
      </c>
      <c r="G11" s="5"/>
    </row>
    <row r="12" hidden="1" outlineLevel="2">
      <c r="B12" s="21" t="s">
        <v>14</v>
      </c>
      <c r="C12" s="16">
        <f>SUM(D12:F12)</f>
        <v>96950</v>
      </c>
      <c r="D12" s="19">
        <f>'Offline &amp; RG Community'!E33</f>
        <v>8546</v>
      </c>
      <c r="E12" s="18">
        <f>'Offline &amp; RG Community'!F33</f>
        <v>26136</v>
      </c>
      <c r="F12" s="18">
        <f>'Offline &amp; RG Community'!G33</f>
        <v>62268</v>
      </c>
      <c r="G12" s="5"/>
      <c r="H12" s="5">
        <f>C11+C21+C14</f>
        <v>159778</v>
      </c>
    </row>
    <row r="13" hidden="1" outlineLevel="2">
      <c r="B13" s="21" t="s">
        <v>15</v>
      </c>
      <c r="C13" s="21">
        <v>39000.0</v>
      </c>
      <c r="D13" s="22">
        <v>0.0</v>
      </c>
      <c r="E13" s="20">
        <f>Memberships!E2</f>
        <v>39000</v>
      </c>
      <c r="F13" s="20">
        <v>0.0</v>
      </c>
      <c r="G13" s="5"/>
    </row>
    <row r="14">
      <c r="B14" s="14" t="s">
        <v>16</v>
      </c>
      <c r="C14" s="11">
        <f t="shared" ref="C14:F14" si="4">sum(C15:C16)</f>
        <v>15178</v>
      </c>
      <c r="D14" s="12">
        <f t="shared" si="4"/>
        <v>0</v>
      </c>
      <c r="E14" s="13">
        <f t="shared" si="4"/>
        <v>15178</v>
      </c>
      <c r="F14" s="13">
        <f t="shared" si="4"/>
        <v>0</v>
      </c>
      <c r="G14" s="5"/>
    </row>
    <row r="15" outlineLevel="1">
      <c r="B15" s="21" t="s">
        <v>17</v>
      </c>
      <c r="C15" s="16">
        <f>'Offline &amp; RG Community'!H33</f>
        <v>0</v>
      </c>
      <c r="D15" s="17">
        <v>0.0</v>
      </c>
      <c r="E15" s="20">
        <v>0.0</v>
      </c>
      <c r="F15" s="20">
        <v>0.0</v>
      </c>
      <c r="G15" s="5"/>
    </row>
    <row r="16" outlineLevel="1">
      <c r="B16" s="21" t="s">
        <v>18</v>
      </c>
      <c r="C16" s="16">
        <f>SUM(D16:F16)</f>
        <v>15178</v>
      </c>
      <c r="D16" s="17">
        <v>0.0</v>
      </c>
      <c r="E16" s="20">
        <f>'Offline &amp; RG Community'!C38+'Offline &amp; RG Community'!C39</f>
        <v>15178</v>
      </c>
      <c r="F16" s="20">
        <v>0.0</v>
      </c>
      <c r="G16" s="5"/>
    </row>
    <row r="17">
      <c r="B17" s="14" t="s">
        <v>19</v>
      </c>
      <c r="C17" s="23">
        <v>0.0</v>
      </c>
      <c r="D17" s="22">
        <v>0.0</v>
      </c>
      <c r="E17" s="24">
        <v>0.0</v>
      </c>
      <c r="F17" s="24">
        <v>0.0</v>
      </c>
      <c r="G17" s="5"/>
    </row>
    <row r="18">
      <c r="B18" s="14" t="s">
        <v>20</v>
      </c>
      <c r="C18" s="11">
        <f>sum(C19,C20)</f>
        <v>0</v>
      </c>
      <c r="D18" s="12">
        <f t="shared" ref="D18:F18" si="5">sum(D19)</f>
        <v>0</v>
      </c>
      <c r="E18" s="13">
        <f t="shared" si="5"/>
        <v>0</v>
      </c>
      <c r="F18" s="13">
        <f t="shared" si="5"/>
        <v>0</v>
      </c>
      <c r="G18" s="5"/>
    </row>
    <row r="19" outlineLevel="1">
      <c r="B19" s="21" t="s">
        <v>21</v>
      </c>
      <c r="C19" s="21">
        <v>0.0</v>
      </c>
      <c r="D19" s="17">
        <v>0.0</v>
      </c>
      <c r="E19" s="20">
        <v>0.0</v>
      </c>
      <c r="F19" s="20">
        <v>0.0</v>
      </c>
      <c r="G19" s="5"/>
    </row>
    <row r="20" outlineLevel="1">
      <c r="B20" s="21" t="s">
        <v>22</v>
      </c>
      <c r="C20" s="21">
        <v>0.0</v>
      </c>
      <c r="D20" s="17">
        <v>0.0</v>
      </c>
      <c r="E20" s="20">
        <v>0.0</v>
      </c>
      <c r="F20" s="20">
        <v>0.0</v>
      </c>
      <c r="G20" s="5"/>
    </row>
    <row r="21">
      <c r="B21" s="14" t="s">
        <v>23</v>
      </c>
      <c r="C21" s="11">
        <f t="shared" ref="C21:F21" si="6">sum(C22:C24)</f>
        <v>8650</v>
      </c>
      <c r="D21" s="12">
        <f t="shared" si="6"/>
        <v>4550</v>
      </c>
      <c r="E21" s="13">
        <f t="shared" si="6"/>
        <v>0</v>
      </c>
      <c r="F21" s="13">
        <f t="shared" si="6"/>
        <v>4100</v>
      </c>
      <c r="G21" s="5"/>
    </row>
    <row r="22" outlineLevel="1">
      <c r="B22" s="21" t="s">
        <v>24</v>
      </c>
      <c r="C22" s="16">
        <f>'Offline &amp; RG Community'!I33+'Offline &amp; RG Community'!J33</f>
        <v>8650</v>
      </c>
      <c r="D22" s="17">
        <f>'Offline &amp; RG Community'!I33</f>
        <v>4550</v>
      </c>
      <c r="E22" s="20">
        <v>0.0</v>
      </c>
      <c r="F22" s="18">
        <f>'Offline &amp; RG Community'!J33</f>
        <v>4100</v>
      </c>
      <c r="G22" s="5"/>
    </row>
    <row r="23" outlineLevel="1">
      <c r="B23" s="21" t="s">
        <v>25</v>
      </c>
      <c r="C23" s="21">
        <v>0.0</v>
      </c>
      <c r="D23" s="17">
        <v>0.0</v>
      </c>
      <c r="E23" s="20">
        <v>0.0</v>
      </c>
      <c r="F23" s="20">
        <v>0.0</v>
      </c>
      <c r="G23" s="5"/>
    </row>
    <row r="24" outlineLevel="1">
      <c r="B24" s="21" t="s">
        <v>26</v>
      </c>
      <c r="C24" s="21">
        <v>0.0</v>
      </c>
      <c r="D24" s="17">
        <v>0.0</v>
      </c>
      <c r="E24" s="20">
        <v>0.0</v>
      </c>
      <c r="F24" s="20">
        <v>0.0</v>
      </c>
      <c r="G24" s="5"/>
    </row>
    <row r="25">
      <c r="B25" s="25" t="s">
        <v>27</v>
      </c>
      <c r="C25" s="23">
        <v>0.0</v>
      </c>
      <c r="D25" s="22">
        <v>0.0</v>
      </c>
      <c r="E25" s="24">
        <v>0.0</v>
      </c>
      <c r="F25" s="24">
        <v>0.0</v>
      </c>
      <c r="G25" s="5"/>
    </row>
    <row r="26">
      <c r="B26" s="26" t="s">
        <v>28</v>
      </c>
      <c r="C26" s="27">
        <f t="shared" ref="C26:F26" si="7">C4+C14+C21+C17+C18+C25</f>
        <v>304542.75</v>
      </c>
      <c r="D26" s="28">
        <f t="shared" si="7"/>
        <v>36707.75</v>
      </c>
      <c r="E26" s="29">
        <f t="shared" si="7"/>
        <v>179682</v>
      </c>
      <c r="F26" s="29">
        <f t="shared" si="7"/>
        <v>88153</v>
      </c>
      <c r="G26" s="5"/>
    </row>
    <row r="27">
      <c r="B27" s="30" t="s">
        <v>29</v>
      </c>
      <c r="C27" s="31">
        <f>'Offline &amp; RG Community'!M33+'Offline &amp; RG Community'!E40+Hudle!E7+District!F3+Playo!F6+Memberships!G2</f>
        <v>280112.876</v>
      </c>
      <c r="D27" s="32"/>
      <c r="E27" s="33"/>
      <c r="F27" s="33"/>
      <c r="G27" s="5"/>
    </row>
    <row r="28">
      <c r="B28" s="25" t="s">
        <v>30</v>
      </c>
      <c r="C28" s="11">
        <f>C27/1.18</f>
        <v>237383.7932</v>
      </c>
      <c r="D28" s="34"/>
      <c r="E28" s="35"/>
      <c r="F28" s="35"/>
      <c r="G28" s="5"/>
    </row>
    <row r="29">
      <c r="C29" s="36"/>
    </row>
    <row r="30">
      <c r="B30" s="37" t="s">
        <v>31</v>
      </c>
      <c r="C30" s="5">
        <f>C28*60%</f>
        <v>142430.2759</v>
      </c>
    </row>
    <row r="31">
      <c r="B31" s="37" t="s">
        <v>32</v>
      </c>
      <c r="C31" s="5">
        <f>C28*40%</f>
        <v>94953.51729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3" max="3" width="18.25"/>
    <col customWidth="1" min="4" max="4" width="13.25"/>
    <col customWidth="1" min="5" max="5" width="15.13"/>
    <col customWidth="1" min="6" max="8" width="17.63"/>
    <col customWidth="1" min="12" max="12" width="15.25"/>
  </cols>
  <sheetData>
    <row r="1">
      <c r="A1" s="38" t="s">
        <v>33</v>
      </c>
      <c r="B1" s="38" t="s">
        <v>34</v>
      </c>
      <c r="C1" s="39" t="s">
        <v>35</v>
      </c>
      <c r="D1" s="38" t="s">
        <v>36</v>
      </c>
      <c r="E1" s="40"/>
      <c r="F1" s="38" t="s">
        <v>37</v>
      </c>
      <c r="G1" s="40"/>
      <c r="H1" s="38" t="s">
        <v>38</v>
      </c>
      <c r="I1" s="38" t="s">
        <v>39</v>
      </c>
      <c r="J1" s="38" t="s">
        <v>40</v>
      </c>
      <c r="K1" s="38" t="s">
        <v>41</v>
      </c>
      <c r="L1" s="41" t="s">
        <v>42</v>
      </c>
      <c r="M1" s="41" t="s">
        <v>43</v>
      </c>
    </row>
    <row r="2">
      <c r="A2" s="40"/>
      <c r="B2" s="40"/>
      <c r="C2" s="40"/>
      <c r="D2" s="40"/>
      <c r="E2" s="38" t="s">
        <v>3</v>
      </c>
      <c r="F2" s="38" t="s">
        <v>5</v>
      </c>
      <c r="G2" s="38" t="s">
        <v>4</v>
      </c>
      <c r="H2" s="40"/>
      <c r="I2" s="40"/>
      <c r="J2" s="40"/>
      <c r="K2" s="40"/>
      <c r="L2" s="42"/>
      <c r="M2" s="42"/>
    </row>
    <row r="3">
      <c r="A3" s="43" t="s">
        <v>44</v>
      </c>
      <c r="B3" s="44" t="s">
        <v>45</v>
      </c>
      <c r="C3" s="45">
        <v>2.5</v>
      </c>
      <c r="D3" s="45" t="s">
        <v>46</v>
      </c>
      <c r="E3" s="45">
        <v>0.0</v>
      </c>
      <c r="F3" s="45">
        <f>1700</f>
        <v>1700</v>
      </c>
      <c r="G3" s="45">
        <f>1998</f>
        <v>1998</v>
      </c>
      <c r="H3" s="45">
        <v>0.0</v>
      </c>
      <c r="I3" s="45">
        <v>400.0</v>
      </c>
      <c r="J3" s="45">
        <v>200.0</v>
      </c>
      <c r="K3" s="45">
        <f t="shared" ref="K3:K17" si="1">sum(E3:J3)</f>
        <v>4298</v>
      </c>
      <c r="L3" s="46">
        <f t="shared" ref="L3:L32" si="2">K3*2.5%*1.18</f>
        <v>126.791</v>
      </c>
      <c r="M3" s="46">
        <f t="shared" ref="M3:M32" si="3">K3-L3</f>
        <v>4171.209</v>
      </c>
    </row>
    <row r="4">
      <c r="A4" s="43" t="s">
        <v>47</v>
      </c>
      <c r="B4" s="44" t="s">
        <v>48</v>
      </c>
      <c r="C4" s="45">
        <v>1.5</v>
      </c>
      <c r="D4" s="45" t="s">
        <v>46</v>
      </c>
      <c r="E4" s="45">
        <v>450.0</v>
      </c>
      <c r="F4" s="45">
        <v>1600.0</v>
      </c>
      <c r="G4" s="45">
        <v>0.0</v>
      </c>
      <c r="H4" s="45">
        <v>0.0</v>
      </c>
      <c r="I4" s="45">
        <v>100.0</v>
      </c>
      <c r="J4" s="45">
        <v>0.0</v>
      </c>
      <c r="K4" s="45">
        <f t="shared" si="1"/>
        <v>2150</v>
      </c>
      <c r="L4" s="46">
        <f t="shared" si="2"/>
        <v>63.425</v>
      </c>
      <c r="M4" s="46">
        <f t="shared" si="3"/>
        <v>2086.575</v>
      </c>
    </row>
    <row r="5">
      <c r="A5" s="43" t="s">
        <v>49</v>
      </c>
      <c r="B5" s="44" t="s">
        <v>50</v>
      </c>
      <c r="C5" s="43">
        <v>3.0</v>
      </c>
      <c r="D5" s="45" t="s">
        <v>46</v>
      </c>
      <c r="E5" s="45">
        <v>450.0</v>
      </c>
      <c r="F5" s="45">
        <v>3200.0</v>
      </c>
      <c r="G5" s="45">
        <v>0.0</v>
      </c>
      <c r="H5" s="45">
        <v>0.0</v>
      </c>
      <c r="I5" s="45">
        <v>450.0</v>
      </c>
      <c r="J5" s="45">
        <v>400.0</v>
      </c>
      <c r="K5" s="45">
        <f t="shared" si="1"/>
        <v>4500</v>
      </c>
      <c r="L5" s="46">
        <f t="shared" si="2"/>
        <v>132.75</v>
      </c>
      <c r="M5" s="46">
        <f t="shared" si="3"/>
        <v>4367.25</v>
      </c>
    </row>
    <row r="6">
      <c r="A6" s="43" t="s">
        <v>51</v>
      </c>
      <c r="B6" s="44" t="s">
        <v>52</v>
      </c>
      <c r="C6" s="45">
        <v>0.0</v>
      </c>
      <c r="D6" s="45" t="s">
        <v>46</v>
      </c>
      <c r="E6" s="45">
        <v>0.0</v>
      </c>
      <c r="F6" s="45">
        <v>0.0</v>
      </c>
      <c r="G6" s="45">
        <v>0.0</v>
      </c>
      <c r="H6" s="45">
        <v>0.0</v>
      </c>
      <c r="I6" s="45">
        <v>200.0</v>
      </c>
      <c r="J6" s="45">
        <v>0.0</v>
      </c>
      <c r="K6" s="45">
        <f t="shared" si="1"/>
        <v>200</v>
      </c>
      <c r="L6" s="46">
        <f t="shared" si="2"/>
        <v>5.9</v>
      </c>
      <c r="M6" s="46">
        <f t="shared" si="3"/>
        <v>194.1</v>
      </c>
    </row>
    <row r="7">
      <c r="A7" s="43" t="s">
        <v>53</v>
      </c>
      <c r="B7" s="44" t="s">
        <v>54</v>
      </c>
      <c r="C7" s="45">
        <v>1.5</v>
      </c>
      <c r="D7" s="45" t="s">
        <v>46</v>
      </c>
      <c r="E7" s="45">
        <v>900.0</v>
      </c>
      <c r="F7" s="45">
        <v>800.0</v>
      </c>
      <c r="G7" s="45">
        <v>0.0</v>
      </c>
      <c r="H7" s="45">
        <v>0.0</v>
      </c>
      <c r="I7" s="45">
        <v>600.0</v>
      </c>
      <c r="J7" s="45">
        <v>0.0</v>
      </c>
      <c r="K7" s="45">
        <f t="shared" si="1"/>
        <v>2300</v>
      </c>
      <c r="L7" s="46">
        <f t="shared" si="2"/>
        <v>67.85</v>
      </c>
      <c r="M7" s="46">
        <f t="shared" si="3"/>
        <v>2232.15</v>
      </c>
    </row>
    <row r="8">
      <c r="A8" s="43" t="s">
        <v>55</v>
      </c>
      <c r="B8" s="44" t="s">
        <v>56</v>
      </c>
      <c r="C8" s="45">
        <v>1.0</v>
      </c>
      <c r="D8" s="45" t="s">
        <v>46</v>
      </c>
      <c r="E8" s="45">
        <v>0.0</v>
      </c>
      <c r="F8" s="45">
        <v>0.0</v>
      </c>
      <c r="G8" s="45">
        <v>1500.0</v>
      </c>
      <c r="H8" s="45">
        <v>0.0</v>
      </c>
      <c r="I8" s="45">
        <v>0.0</v>
      </c>
      <c r="J8" s="45">
        <v>0.0</v>
      </c>
      <c r="K8" s="45">
        <f t="shared" si="1"/>
        <v>1500</v>
      </c>
      <c r="L8" s="46">
        <f t="shared" si="2"/>
        <v>44.25</v>
      </c>
      <c r="M8" s="46">
        <f t="shared" si="3"/>
        <v>1455.75</v>
      </c>
    </row>
    <row r="9">
      <c r="A9" s="43" t="s">
        <v>57</v>
      </c>
      <c r="B9" s="44" t="s">
        <v>58</v>
      </c>
      <c r="C9" s="45">
        <v>1.5</v>
      </c>
      <c r="D9" s="45" t="s">
        <v>46</v>
      </c>
      <c r="E9" s="45">
        <v>0.0</v>
      </c>
      <c r="F9" s="45">
        <v>2175.0</v>
      </c>
      <c r="G9" s="45">
        <v>0.0</v>
      </c>
      <c r="H9" s="45">
        <v>0.0</v>
      </c>
      <c r="I9" s="45">
        <v>0.0</v>
      </c>
      <c r="J9" s="45">
        <v>100.0</v>
      </c>
      <c r="K9" s="45">
        <f t="shared" si="1"/>
        <v>2275</v>
      </c>
      <c r="L9" s="46">
        <f t="shared" si="2"/>
        <v>67.1125</v>
      </c>
      <c r="M9" s="46">
        <f t="shared" si="3"/>
        <v>2207.8875</v>
      </c>
    </row>
    <row r="10">
      <c r="A10" s="43" t="s">
        <v>59</v>
      </c>
      <c r="B10" s="44" t="s">
        <v>45</v>
      </c>
      <c r="C10" s="45">
        <v>5.0</v>
      </c>
      <c r="D10" s="45" t="s">
        <v>46</v>
      </c>
      <c r="E10" s="45">
        <f>575</f>
        <v>575</v>
      </c>
      <c r="F10" s="45">
        <v>1635.0</v>
      </c>
      <c r="G10" s="45">
        <v>6807.0</v>
      </c>
      <c r="H10" s="45">
        <v>0.0</v>
      </c>
      <c r="I10" s="45">
        <v>100.0</v>
      </c>
      <c r="J10" s="45">
        <v>0.0</v>
      </c>
      <c r="K10" s="45">
        <f t="shared" si="1"/>
        <v>9117</v>
      </c>
      <c r="L10" s="46">
        <f t="shared" si="2"/>
        <v>268.9515</v>
      </c>
      <c r="M10" s="46">
        <f t="shared" si="3"/>
        <v>8848.0485</v>
      </c>
    </row>
    <row r="11">
      <c r="A11" s="43" t="s">
        <v>60</v>
      </c>
      <c r="B11" s="44" t="s">
        <v>48</v>
      </c>
      <c r="C11" s="45">
        <v>0.0</v>
      </c>
      <c r="D11" s="45" t="s">
        <v>46</v>
      </c>
      <c r="E11" s="45">
        <v>0.0</v>
      </c>
      <c r="F11" s="45">
        <v>0.0</v>
      </c>
      <c r="G11" s="45">
        <v>0.0</v>
      </c>
      <c r="H11" s="45">
        <v>0.0</v>
      </c>
      <c r="I11" s="45">
        <v>0.0</v>
      </c>
      <c r="J11" s="45">
        <v>400.0</v>
      </c>
      <c r="K11" s="45">
        <f t="shared" si="1"/>
        <v>400</v>
      </c>
      <c r="L11" s="46">
        <f t="shared" si="2"/>
        <v>11.8</v>
      </c>
      <c r="M11" s="46">
        <f t="shared" si="3"/>
        <v>388.2</v>
      </c>
    </row>
    <row r="12">
      <c r="A12" s="43" t="s">
        <v>61</v>
      </c>
      <c r="B12" s="44" t="s">
        <v>50</v>
      </c>
      <c r="C12" s="45">
        <v>6.0</v>
      </c>
      <c r="D12" s="45" t="s">
        <v>46</v>
      </c>
      <c r="E12" s="45">
        <v>900.0</v>
      </c>
      <c r="F12" s="45">
        <v>1600.0</v>
      </c>
      <c r="G12" s="45">
        <f>3000</f>
        <v>3000</v>
      </c>
      <c r="H12" s="45">
        <v>0.0</v>
      </c>
      <c r="I12" s="45">
        <v>0.0</v>
      </c>
      <c r="J12" s="45">
        <v>0.0</v>
      </c>
      <c r="K12" s="45">
        <f t="shared" si="1"/>
        <v>5500</v>
      </c>
      <c r="L12" s="46">
        <f t="shared" si="2"/>
        <v>162.25</v>
      </c>
      <c r="M12" s="46">
        <f t="shared" si="3"/>
        <v>5337.75</v>
      </c>
    </row>
    <row r="13">
      <c r="A13" s="43" t="s">
        <v>62</v>
      </c>
      <c r="B13" s="44" t="s">
        <v>52</v>
      </c>
      <c r="C13" s="45">
        <v>2.5</v>
      </c>
      <c r="D13" s="45" t="s">
        <v>46</v>
      </c>
      <c r="E13" s="45">
        <v>450.0</v>
      </c>
      <c r="F13" s="45">
        <v>1180.0</v>
      </c>
      <c r="G13" s="45">
        <v>1900.0</v>
      </c>
      <c r="H13" s="45">
        <v>0.0</v>
      </c>
      <c r="I13" s="45">
        <v>1100.0</v>
      </c>
      <c r="J13" s="45">
        <v>100.0</v>
      </c>
      <c r="K13" s="45">
        <f t="shared" si="1"/>
        <v>4730</v>
      </c>
      <c r="L13" s="46">
        <f t="shared" si="2"/>
        <v>139.535</v>
      </c>
      <c r="M13" s="46">
        <f t="shared" si="3"/>
        <v>4590.465</v>
      </c>
    </row>
    <row r="14">
      <c r="A14" s="43" t="s">
        <v>63</v>
      </c>
      <c r="B14" s="44" t="s">
        <v>54</v>
      </c>
      <c r="C14" s="45">
        <v>1.5</v>
      </c>
      <c r="D14" s="45" t="s">
        <v>46</v>
      </c>
      <c r="E14" s="45">
        <v>1050.0</v>
      </c>
      <c r="F14" s="45">
        <v>0.0</v>
      </c>
      <c r="G14" s="45">
        <v>0.0</v>
      </c>
      <c r="H14" s="45">
        <v>0.0</v>
      </c>
      <c r="I14" s="45">
        <v>0.0</v>
      </c>
      <c r="J14" s="45">
        <v>0.0</v>
      </c>
      <c r="K14" s="45">
        <f t="shared" si="1"/>
        <v>1050</v>
      </c>
      <c r="L14" s="46">
        <f t="shared" si="2"/>
        <v>30.975</v>
      </c>
      <c r="M14" s="46">
        <f t="shared" si="3"/>
        <v>1019.025</v>
      </c>
    </row>
    <row r="15">
      <c r="A15" s="43" t="s">
        <v>64</v>
      </c>
      <c r="B15" s="44" t="s">
        <v>56</v>
      </c>
      <c r="C15" s="45">
        <v>1.5</v>
      </c>
      <c r="D15" s="45" t="s">
        <v>46</v>
      </c>
      <c r="E15" s="45">
        <v>0.0</v>
      </c>
      <c r="F15" s="45">
        <v>0.0</v>
      </c>
      <c r="G15" s="45">
        <v>3040.0</v>
      </c>
      <c r="H15" s="45">
        <v>0.0</v>
      </c>
      <c r="I15" s="45">
        <v>0.0</v>
      </c>
      <c r="J15" s="45">
        <v>0.0</v>
      </c>
      <c r="K15" s="45">
        <f t="shared" si="1"/>
        <v>3040</v>
      </c>
      <c r="L15" s="46">
        <f t="shared" si="2"/>
        <v>89.68</v>
      </c>
      <c r="M15" s="46">
        <f t="shared" si="3"/>
        <v>2950.32</v>
      </c>
    </row>
    <row r="16">
      <c r="A16" s="43" t="s">
        <v>65</v>
      </c>
      <c r="B16" s="44" t="s">
        <v>58</v>
      </c>
      <c r="C16" s="45">
        <v>1.0</v>
      </c>
      <c r="D16" s="45" t="s">
        <v>46</v>
      </c>
      <c r="E16" s="45">
        <v>0.0</v>
      </c>
      <c r="F16" s="45">
        <v>0.0</v>
      </c>
      <c r="G16" s="45">
        <v>3000.0</v>
      </c>
      <c r="H16" s="45">
        <v>0.0</v>
      </c>
      <c r="I16" s="45">
        <v>0.0</v>
      </c>
      <c r="J16" s="45">
        <v>0.0</v>
      </c>
      <c r="K16" s="45">
        <f t="shared" si="1"/>
        <v>3000</v>
      </c>
      <c r="L16" s="46">
        <f t="shared" si="2"/>
        <v>88.5</v>
      </c>
      <c r="M16" s="46">
        <f t="shared" si="3"/>
        <v>2911.5</v>
      </c>
      <c r="N16" s="47" t="s">
        <v>66</v>
      </c>
    </row>
    <row r="17">
      <c r="A17" s="43" t="s">
        <v>67</v>
      </c>
      <c r="B17" s="44" t="s">
        <v>45</v>
      </c>
      <c r="C17" s="45">
        <v>2.0</v>
      </c>
      <c r="D17" s="45" t="s">
        <v>46</v>
      </c>
      <c r="E17" s="45">
        <v>0.0</v>
      </c>
      <c r="F17" s="45">
        <v>1350.0</v>
      </c>
      <c r="G17" s="45">
        <v>3000.0</v>
      </c>
      <c r="H17" s="45">
        <v>0.0</v>
      </c>
      <c r="I17" s="45">
        <v>0.0</v>
      </c>
      <c r="J17" s="45">
        <v>0.0</v>
      </c>
      <c r="K17" s="45">
        <f t="shared" si="1"/>
        <v>4350</v>
      </c>
      <c r="L17" s="46">
        <f t="shared" si="2"/>
        <v>128.325</v>
      </c>
      <c r="M17" s="46">
        <f t="shared" si="3"/>
        <v>4221.675</v>
      </c>
    </row>
    <row r="18">
      <c r="A18" s="43" t="s">
        <v>68</v>
      </c>
      <c r="B18" s="44" t="s">
        <v>48</v>
      </c>
      <c r="C18" s="45">
        <v>1.5</v>
      </c>
      <c r="D18" s="45" t="s">
        <v>46</v>
      </c>
      <c r="E18" s="45">
        <v>0.0</v>
      </c>
      <c r="F18" s="45">
        <v>2400.0</v>
      </c>
      <c r="G18" s="45">
        <v>0.0</v>
      </c>
      <c r="H18" s="45">
        <v>0.0</v>
      </c>
      <c r="I18" s="45">
        <v>0.0</v>
      </c>
      <c r="J18" s="45">
        <v>600.0</v>
      </c>
      <c r="K18" s="45">
        <f t="shared" ref="K18:K23" si="4">SUM(E18:J18)</f>
        <v>3000</v>
      </c>
      <c r="L18" s="46">
        <f t="shared" si="2"/>
        <v>88.5</v>
      </c>
      <c r="M18" s="46">
        <f t="shared" si="3"/>
        <v>2911.5</v>
      </c>
    </row>
    <row r="19">
      <c r="A19" s="43" t="s">
        <v>69</v>
      </c>
      <c r="B19" s="44" t="s">
        <v>50</v>
      </c>
      <c r="C19" s="45">
        <v>1.0</v>
      </c>
      <c r="D19" s="45" t="s">
        <v>46</v>
      </c>
      <c r="E19" s="45">
        <v>0.0</v>
      </c>
      <c r="F19" s="45">
        <v>1648.0</v>
      </c>
      <c r="G19" s="45">
        <v>0.0</v>
      </c>
      <c r="H19" s="45">
        <v>0.0</v>
      </c>
      <c r="I19" s="45">
        <v>0.0</v>
      </c>
      <c r="J19" s="45">
        <v>0.0</v>
      </c>
      <c r="K19" s="45">
        <f t="shared" si="4"/>
        <v>1648</v>
      </c>
      <c r="L19" s="46">
        <f t="shared" si="2"/>
        <v>48.616</v>
      </c>
      <c r="M19" s="46">
        <f t="shared" si="3"/>
        <v>1599.384</v>
      </c>
    </row>
    <row r="20">
      <c r="A20" s="43" t="s">
        <v>70</v>
      </c>
      <c r="B20" s="44" t="s">
        <v>52</v>
      </c>
      <c r="C20" s="45">
        <v>4.5</v>
      </c>
      <c r="D20" s="45" t="s">
        <v>46</v>
      </c>
      <c r="E20" s="45">
        <v>450.0</v>
      </c>
      <c r="F20" s="45">
        <v>1800.0</v>
      </c>
      <c r="G20" s="45">
        <v>4200.0</v>
      </c>
      <c r="H20" s="45">
        <v>0.0</v>
      </c>
      <c r="I20" s="45">
        <v>400.0</v>
      </c>
      <c r="J20" s="45">
        <v>100.0</v>
      </c>
      <c r="K20" s="45">
        <f t="shared" si="4"/>
        <v>6950</v>
      </c>
      <c r="L20" s="46">
        <f t="shared" si="2"/>
        <v>205.025</v>
      </c>
      <c r="M20" s="46">
        <f t="shared" si="3"/>
        <v>6744.975</v>
      </c>
    </row>
    <row r="21">
      <c r="A21" s="43" t="s">
        <v>71</v>
      </c>
      <c r="B21" s="44" t="s">
        <v>54</v>
      </c>
      <c r="C21" s="45">
        <v>0.0</v>
      </c>
      <c r="D21" s="45" t="s">
        <v>46</v>
      </c>
      <c r="E21" s="45">
        <v>0.0</v>
      </c>
      <c r="F21" s="45">
        <v>0.0</v>
      </c>
      <c r="G21" s="45">
        <v>0.0</v>
      </c>
      <c r="H21" s="45">
        <v>0.0</v>
      </c>
      <c r="I21" s="45">
        <v>0.0</v>
      </c>
      <c r="J21" s="45">
        <v>0.0</v>
      </c>
      <c r="K21" s="45">
        <f t="shared" si="4"/>
        <v>0</v>
      </c>
      <c r="L21" s="46">
        <f t="shared" si="2"/>
        <v>0</v>
      </c>
      <c r="M21" s="46">
        <f t="shared" si="3"/>
        <v>0</v>
      </c>
    </row>
    <row r="22">
      <c r="A22" s="43" t="s">
        <v>72</v>
      </c>
      <c r="B22" s="44" t="s">
        <v>56</v>
      </c>
      <c r="C22" s="45">
        <v>0.0</v>
      </c>
      <c r="D22" s="45" t="s">
        <v>46</v>
      </c>
      <c r="E22" s="45">
        <v>0.0</v>
      </c>
      <c r="F22" s="45">
        <v>0.0</v>
      </c>
      <c r="G22" s="45">
        <v>0.0</v>
      </c>
      <c r="H22" s="45">
        <v>0.0</v>
      </c>
      <c r="I22" s="45">
        <v>0.0</v>
      </c>
      <c r="J22" s="45">
        <v>0.0</v>
      </c>
      <c r="K22" s="45">
        <f t="shared" si="4"/>
        <v>0</v>
      </c>
      <c r="L22" s="46">
        <f t="shared" si="2"/>
        <v>0</v>
      </c>
      <c r="M22" s="46">
        <f t="shared" si="3"/>
        <v>0</v>
      </c>
    </row>
    <row r="23">
      <c r="A23" s="43" t="s">
        <v>73</v>
      </c>
      <c r="B23" s="44" t="s">
        <v>58</v>
      </c>
      <c r="C23" s="45">
        <v>2.5</v>
      </c>
      <c r="D23" s="45" t="s">
        <v>46</v>
      </c>
      <c r="E23" s="45">
        <f>675</f>
        <v>675</v>
      </c>
      <c r="F23" s="45">
        <v>0.0</v>
      </c>
      <c r="G23" s="45">
        <v>4230.0</v>
      </c>
      <c r="H23" s="45">
        <v>0.0</v>
      </c>
      <c r="I23" s="45">
        <v>0.0</v>
      </c>
      <c r="J23" s="45">
        <v>300.0</v>
      </c>
      <c r="K23" s="45">
        <f t="shared" si="4"/>
        <v>5205</v>
      </c>
      <c r="L23" s="46">
        <f t="shared" si="2"/>
        <v>153.5475</v>
      </c>
      <c r="M23" s="46">
        <f t="shared" si="3"/>
        <v>5051.4525</v>
      </c>
    </row>
    <row r="24">
      <c r="A24" s="43" t="s">
        <v>74</v>
      </c>
      <c r="B24" s="44" t="s">
        <v>45</v>
      </c>
      <c r="C24" s="45">
        <v>1.5</v>
      </c>
      <c r="D24" s="45" t="s">
        <v>46</v>
      </c>
      <c r="E24" s="45">
        <v>0.0</v>
      </c>
      <c r="F24" s="45">
        <v>0.0</v>
      </c>
      <c r="G24" s="45">
        <v>2318.0</v>
      </c>
      <c r="H24" s="45">
        <v>0.0</v>
      </c>
      <c r="I24" s="45">
        <v>0.0</v>
      </c>
      <c r="J24" s="45">
        <v>500.0</v>
      </c>
      <c r="K24" s="45">
        <f>sum(E24:J24)</f>
        <v>2818</v>
      </c>
      <c r="L24" s="46">
        <f t="shared" si="2"/>
        <v>83.131</v>
      </c>
      <c r="M24" s="46">
        <f t="shared" si="3"/>
        <v>2734.869</v>
      </c>
    </row>
    <row r="25">
      <c r="A25" s="43" t="s">
        <v>75</v>
      </c>
      <c r="B25" s="44" t="s">
        <v>48</v>
      </c>
      <c r="C25" s="45">
        <v>2.5</v>
      </c>
      <c r="D25" s="45" t="s">
        <v>46</v>
      </c>
      <c r="E25" s="45">
        <v>0.0</v>
      </c>
      <c r="F25" s="45">
        <v>1448.0</v>
      </c>
      <c r="G25" s="45">
        <v>4845.0</v>
      </c>
      <c r="H25" s="45">
        <v>0.0</v>
      </c>
      <c r="I25" s="45">
        <v>0.0</v>
      </c>
      <c r="J25" s="45">
        <v>350.0</v>
      </c>
      <c r="K25" s="45">
        <f t="shared" ref="K25:K30" si="5">SUM(E25:J25)</f>
        <v>6643</v>
      </c>
      <c r="L25" s="46">
        <f t="shared" si="2"/>
        <v>195.9685</v>
      </c>
      <c r="M25" s="46">
        <f t="shared" si="3"/>
        <v>6447.0315</v>
      </c>
    </row>
    <row r="26">
      <c r="A26" s="43" t="s">
        <v>76</v>
      </c>
      <c r="B26" s="44" t="s">
        <v>50</v>
      </c>
      <c r="C26" s="45">
        <v>3.5</v>
      </c>
      <c r="D26" s="45" t="s">
        <v>46</v>
      </c>
      <c r="E26" s="45">
        <v>450.0</v>
      </c>
      <c r="F26" s="45">
        <v>1400.0</v>
      </c>
      <c r="G26" s="45">
        <v>3200.0</v>
      </c>
      <c r="H26" s="45">
        <v>0.0</v>
      </c>
      <c r="I26" s="45">
        <v>200.0</v>
      </c>
      <c r="J26" s="45">
        <v>400.0</v>
      </c>
      <c r="K26" s="45">
        <f t="shared" si="5"/>
        <v>5650</v>
      </c>
      <c r="L26" s="46">
        <f t="shared" si="2"/>
        <v>166.675</v>
      </c>
      <c r="M26" s="46">
        <f t="shared" si="3"/>
        <v>5483.325</v>
      </c>
    </row>
    <row r="27">
      <c r="A27" s="43" t="s">
        <v>77</v>
      </c>
      <c r="B27" s="44" t="s">
        <v>52</v>
      </c>
      <c r="C27" s="45">
        <v>3.5</v>
      </c>
      <c r="D27" s="45" t="s">
        <v>46</v>
      </c>
      <c r="E27" s="45">
        <v>1197.0</v>
      </c>
      <c r="F27" s="45">
        <v>0.0</v>
      </c>
      <c r="G27" s="45">
        <v>4495.0</v>
      </c>
      <c r="H27" s="45">
        <v>0.0</v>
      </c>
      <c r="I27" s="45">
        <v>0.0</v>
      </c>
      <c r="J27" s="45">
        <v>150.0</v>
      </c>
      <c r="K27" s="45">
        <f t="shared" si="5"/>
        <v>5842</v>
      </c>
      <c r="L27" s="46">
        <f t="shared" si="2"/>
        <v>172.339</v>
      </c>
      <c r="M27" s="46">
        <f t="shared" si="3"/>
        <v>5669.661</v>
      </c>
    </row>
    <row r="28">
      <c r="A28" s="43" t="s">
        <v>78</v>
      </c>
      <c r="B28" s="44" t="s">
        <v>54</v>
      </c>
      <c r="C28" s="45">
        <v>3.5</v>
      </c>
      <c r="D28" s="45" t="s">
        <v>46</v>
      </c>
      <c r="E28" s="45">
        <v>0.0</v>
      </c>
      <c r="F28" s="45">
        <v>800.0</v>
      </c>
      <c r="G28" s="45">
        <v>5998.0</v>
      </c>
      <c r="H28" s="45">
        <v>0.0</v>
      </c>
      <c r="I28" s="45">
        <v>200.0</v>
      </c>
      <c r="J28" s="45">
        <v>100.0</v>
      </c>
      <c r="K28" s="45">
        <f t="shared" si="5"/>
        <v>7098</v>
      </c>
      <c r="L28" s="46">
        <f t="shared" si="2"/>
        <v>209.391</v>
      </c>
      <c r="M28" s="46">
        <f t="shared" si="3"/>
        <v>6888.609</v>
      </c>
    </row>
    <row r="29">
      <c r="A29" s="43" t="s">
        <v>79</v>
      </c>
      <c r="B29" s="44" t="s">
        <v>56</v>
      </c>
      <c r="C29" s="45">
        <v>0.0</v>
      </c>
      <c r="D29" s="45" t="s">
        <v>46</v>
      </c>
      <c r="E29" s="45">
        <v>0.0</v>
      </c>
      <c r="F29" s="45">
        <v>0.0</v>
      </c>
      <c r="G29" s="45">
        <v>0.0</v>
      </c>
      <c r="H29" s="45">
        <v>0.0</v>
      </c>
      <c r="I29" s="45">
        <v>0.0</v>
      </c>
      <c r="J29" s="45">
        <v>0.0</v>
      </c>
      <c r="K29" s="45">
        <f t="shared" si="5"/>
        <v>0</v>
      </c>
      <c r="L29" s="46">
        <f t="shared" si="2"/>
        <v>0</v>
      </c>
      <c r="M29" s="46">
        <f t="shared" si="3"/>
        <v>0</v>
      </c>
    </row>
    <row r="30">
      <c r="A30" s="43" t="s">
        <v>80</v>
      </c>
      <c r="B30" s="44" t="s">
        <v>58</v>
      </c>
      <c r="C30" s="45">
        <v>3.5</v>
      </c>
      <c r="D30" s="45" t="s">
        <v>46</v>
      </c>
      <c r="E30" s="45">
        <v>999.0</v>
      </c>
      <c r="F30" s="45">
        <v>1400.0</v>
      </c>
      <c r="G30" s="45">
        <v>3040.0</v>
      </c>
      <c r="H30" s="45">
        <v>0.0</v>
      </c>
      <c r="I30" s="45">
        <v>400.0</v>
      </c>
      <c r="J30" s="45">
        <v>400.0</v>
      </c>
      <c r="K30" s="45">
        <f t="shared" si="5"/>
        <v>6239</v>
      </c>
      <c r="L30" s="46">
        <f t="shared" si="2"/>
        <v>184.0505</v>
      </c>
      <c r="M30" s="46">
        <f t="shared" si="3"/>
        <v>6054.9495</v>
      </c>
    </row>
    <row r="31">
      <c r="A31" s="43" t="s">
        <v>81</v>
      </c>
      <c r="B31" s="44" t="s">
        <v>45</v>
      </c>
      <c r="C31" s="45">
        <v>1.0</v>
      </c>
      <c r="D31" s="45" t="s">
        <v>46</v>
      </c>
      <c r="E31" s="48">
        <v>0.0</v>
      </c>
      <c r="F31" s="49">
        <v>0.0</v>
      </c>
      <c r="G31" s="45">
        <v>5697.0</v>
      </c>
      <c r="H31" s="45">
        <v>0.0</v>
      </c>
      <c r="I31" s="45">
        <v>400.0</v>
      </c>
      <c r="J31" s="45">
        <v>0.0</v>
      </c>
      <c r="K31" s="45">
        <f>SUM(G31:J31)</f>
        <v>6097</v>
      </c>
      <c r="L31" s="46">
        <f t="shared" si="2"/>
        <v>179.8615</v>
      </c>
      <c r="M31" s="46">
        <f t="shared" si="3"/>
        <v>5917.1385</v>
      </c>
    </row>
    <row r="32">
      <c r="A32" s="43" t="s">
        <v>82</v>
      </c>
      <c r="B32" s="44" t="s">
        <v>48</v>
      </c>
      <c r="C32" s="45">
        <v>0.0</v>
      </c>
      <c r="D32" s="45" t="s">
        <v>46</v>
      </c>
      <c r="E32" s="45">
        <v>0.0</v>
      </c>
      <c r="F32" s="45">
        <v>0.0</v>
      </c>
      <c r="G32" s="45">
        <v>0.0</v>
      </c>
      <c r="H32" s="45">
        <v>0.0</v>
      </c>
      <c r="I32" s="45">
        <v>0.0</v>
      </c>
      <c r="J32" s="45">
        <v>0.0</v>
      </c>
      <c r="K32" s="45">
        <f>SUM(E32:J32)</f>
        <v>0</v>
      </c>
      <c r="L32" s="46">
        <f t="shared" si="2"/>
        <v>0</v>
      </c>
      <c r="M32" s="46">
        <f t="shared" si="3"/>
        <v>0</v>
      </c>
    </row>
    <row r="33">
      <c r="A33" s="50" t="s">
        <v>2</v>
      </c>
      <c r="B33" s="40"/>
      <c r="C33" s="39">
        <f>SUM(C3:C32)</f>
        <v>59</v>
      </c>
      <c r="D33" s="40"/>
      <c r="E33" s="51">
        <f t="shared" ref="E33:M33" si="6">SUM(E3:E32)</f>
        <v>8546</v>
      </c>
      <c r="F33" s="51">
        <f t="shared" si="6"/>
        <v>26136</v>
      </c>
      <c r="G33" s="51">
        <f t="shared" si="6"/>
        <v>62268</v>
      </c>
      <c r="H33" s="51">
        <f t="shared" si="6"/>
        <v>0</v>
      </c>
      <c r="I33" s="51">
        <f t="shared" si="6"/>
        <v>4550</v>
      </c>
      <c r="J33" s="51">
        <f t="shared" si="6"/>
        <v>4100</v>
      </c>
      <c r="K33" s="51">
        <f t="shared" si="6"/>
        <v>105600</v>
      </c>
      <c r="L33" s="51">
        <f t="shared" si="6"/>
        <v>3115.2</v>
      </c>
      <c r="M33" s="51">
        <f t="shared" si="6"/>
        <v>102484.8</v>
      </c>
    </row>
    <row r="36">
      <c r="A36" s="52" t="s">
        <v>83</v>
      </c>
      <c r="B36" s="53"/>
      <c r="C36" s="52"/>
      <c r="D36" s="53"/>
      <c r="E36" s="53"/>
      <c r="F36" s="54"/>
    </row>
    <row r="37">
      <c r="A37" s="52" t="s">
        <v>33</v>
      </c>
      <c r="B37" s="52" t="s">
        <v>34</v>
      </c>
      <c r="C37" s="52" t="s">
        <v>84</v>
      </c>
      <c r="D37" s="52" t="s">
        <v>85</v>
      </c>
      <c r="E37" s="52" t="s">
        <v>86</v>
      </c>
      <c r="F37" s="55" t="s">
        <v>87</v>
      </c>
    </row>
    <row r="38">
      <c r="A38" s="56">
        <v>46123.0</v>
      </c>
      <c r="B38" s="57" t="s">
        <v>54</v>
      </c>
      <c r="C38" s="57">
        <v>8928.0</v>
      </c>
      <c r="D38" s="57">
        <f>C38*19.3%</f>
        <v>1723.104</v>
      </c>
      <c r="E38" s="58">
        <f t="shared" ref="E38:E39" si="7">C38-D38</f>
        <v>7204.896</v>
      </c>
      <c r="F38" s="59" t="s">
        <v>88</v>
      </c>
    </row>
    <row r="39">
      <c r="A39" s="56">
        <v>46137.0</v>
      </c>
      <c r="B39" s="57" t="s">
        <v>54</v>
      </c>
      <c r="C39" s="57">
        <v>6250.0</v>
      </c>
      <c r="D39" s="57">
        <f>C39*60%</f>
        <v>3750</v>
      </c>
      <c r="E39" s="58">
        <f t="shared" si="7"/>
        <v>2500</v>
      </c>
      <c r="F39" s="59" t="s">
        <v>89</v>
      </c>
    </row>
    <row r="40">
      <c r="A40" s="54"/>
      <c r="B40" s="54"/>
      <c r="C40" s="60">
        <f>SUM(C38:C39)</f>
        <v>15178</v>
      </c>
      <c r="D40" s="54"/>
      <c r="E40" s="60">
        <f>SUM(E38:E39)</f>
        <v>9704.896</v>
      </c>
      <c r="F40" s="5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88"/>
  </cols>
  <sheetData>
    <row r="1">
      <c r="A1" s="61" t="s">
        <v>90</v>
      </c>
      <c r="B1" s="62" t="s">
        <v>33</v>
      </c>
      <c r="C1" s="62" t="s">
        <v>91</v>
      </c>
      <c r="D1" s="63" t="s">
        <v>92</v>
      </c>
      <c r="E1" s="62" t="s">
        <v>43</v>
      </c>
      <c r="F1" s="62" t="s">
        <v>93</v>
      </c>
      <c r="G1" s="62" t="s">
        <v>94</v>
      </c>
      <c r="H1" s="63" t="s">
        <v>95</v>
      </c>
    </row>
    <row r="2">
      <c r="A2" s="64"/>
      <c r="B2" s="65" t="s">
        <v>96</v>
      </c>
      <c r="C2" s="65">
        <v>23018.0</v>
      </c>
      <c r="D2" s="65">
        <v>2992.35</v>
      </c>
      <c r="E2" s="66">
        <f t="shared" ref="E2:E6" si="1">C2-D2</f>
        <v>20025.65</v>
      </c>
      <c r="F2" s="65">
        <v>19.5</v>
      </c>
      <c r="G2" s="65">
        <v>97.53</v>
      </c>
      <c r="H2" s="65">
        <v>19908.64</v>
      </c>
    </row>
    <row r="3">
      <c r="A3" s="67"/>
      <c r="B3" s="68" t="s">
        <v>97</v>
      </c>
      <c r="C3" s="69">
        <v>16765.5</v>
      </c>
      <c r="D3" s="70">
        <v>2179.52</v>
      </c>
      <c r="E3" s="66">
        <f t="shared" si="1"/>
        <v>14585.98</v>
      </c>
      <c r="F3" s="68">
        <v>14.2</v>
      </c>
      <c r="G3" s="68">
        <v>71.04</v>
      </c>
      <c r="H3" s="69">
        <v>14500.74</v>
      </c>
    </row>
    <row r="4">
      <c r="A4" s="67"/>
      <c r="B4" s="68" t="s">
        <v>98</v>
      </c>
      <c r="C4" s="69">
        <v>20063.25</v>
      </c>
      <c r="D4" s="70">
        <v>2608.23</v>
      </c>
      <c r="E4" s="66">
        <f t="shared" si="1"/>
        <v>17455.02</v>
      </c>
      <c r="F4" s="68">
        <v>17.0</v>
      </c>
      <c r="G4" s="68">
        <v>85.01</v>
      </c>
      <c r="H4" s="69">
        <v>17353.01</v>
      </c>
    </row>
    <row r="5">
      <c r="A5" s="67"/>
      <c r="B5" s="71" t="s">
        <v>99</v>
      </c>
      <c r="C5" s="69">
        <v>20223.5</v>
      </c>
      <c r="D5" s="70">
        <v>2629.0</v>
      </c>
      <c r="E5" s="66">
        <f t="shared" si="1"/>
        <v>17594.5</v>
      </c>
      <c r="F5" s="68">
        <v>17.0</v>
      </c>
      <c r="G5" s="68">
        <v>85.6</v>
      </c>
      <c r="H5" s="69">
        <v>17187.0</v>
      </c>
    </row>
    <row r="6">
      <c r="A6" s="67"/>
      <c r="B6" s="71" t="s">
        <v>100</v>
      </c>
      <c r="C6" s="69">
        <v>3689.0</v>
      </c>
      <c r="D6" s="70">
        <v>479.0</v>
      </c>
      <c r="E6" s="66">
        <f t="shared" si="1"/>
        <v>3210</v>
      </c>
      <c r="F6" s="68">
        <v>3.0</v>
      </c>
      <c r="G6" s="68">
        <v>15.0</v>
      </c>
      <c r="H6" s="69">
        <v>2921.0</v>
      </c>
    </row>
    <row r="7">
      <c r="A7" s="72"/>
      <c r="B7" s="41" t="s">
        <v>2</v>
      </c>
      <c r="C7" s="73">
        <f>SUM(C2:C6)</f>
        <v>83759.25</v>
      </c>
      <c r="D7" s="74"/>
      <c r="E7" s="73">
        <f>SUM(E2:E6)</f>
        <v>72871.15</v>
      </c>
      <c r="F7" s="75"/>
      <c r="G7" s="75"/>
      <c r="H7" s="73">
        <f>SUM(H2:H6)</f>
        <v>71870.39</v>
      </c>
    </row>
    <row r="9">
      <c r="A9" s="25" t="s">
        <v>3</v>
      </c>
      <c r="B9" s="11">
        <f>C7-B10-B11</f>
        <v>11251.25</v>
      </c>
    </row>
    <row r="10">
      <c r="A10" s="25" t="s">
        <v>4</v>
      </c>
      <c r="B10" s="23">
        <v>63710.0</v>
      </c>
    </row>
    <row r="11">
      <c r="A11" s="76" t="s">
        <v>5</v>
      </c>
      <c r="B11" s="77">
        <v>8798.0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75"/>
    <col customWidth="1" min="4" max="4" width="14.38"/>
    <col customWidth="1" min="5" max="5" width="16.0"/>
  </cols>
  <sheetData>
    <row r="1">
      <c r="A1" s="78" t="s">
        <v>90</v>
      </c>
      <c r="B1" s="63" t="s">
        <v>33</v>
      </c>
      <c r="C1" s="63" t="s">
        <v>101</v>
      </c>
      <c r="D1" s="63" t="s">
        <v>102</v>
      </c>
      <c r="E1" s="79" t="s">
        <v>103</v>
      </c>
      <c r="F1" s="63" t="s">
        <v>43</v>
      </c>
      <c r="G1" s="80" t="s">
        <v>94</v>
      </c>
      <c r="H1" s="80" t="s">
        <v>93</v>
      </c>
      <c r="I1" s="63" t="s">
        <v>104</v>
      </c>
    </row>
    <row r="2">
      <c r="A2" s="81"/>
      <c r="B2" s="65" t="s">
        <v>105</v>
      </c>
      <c r="C2" s="82">
        <v>50364.0</v>
      </c>
      <c r="D2" s="82">
        <v>2272.0</v>
      </c>
      <c r="E2" s="83">
        <v>409.0</v>
      </c>
      <c r="F2" s="66">
        <f>C2-D2-E2</f>
        <v>47683</v>
      </c>
      <c r="G2" s="82">
        <v>1046.0</v>
      </c>
      <c r="H2" s="82">
        <v>249.0</v>
      </c>
      <c r="I2" s="82">
        <v>46324.0</v>
      </c>
    </row>
    <row r="3">
      <c r="A3" s="72"/>
      <c r="B3" s="41" t="s">
        <v>2</v>
      </c>
      <c r="C3" s="51">
        <f>SUM(C2)</f>
        <v>50364</v>
      </c>
      <c r="D3" s="75"/>
      <c r="E3" s="75"/>
      <c r="F3" s="73">
        <f>SUM(F2)</f>
        <v>47683</v>
      </c>
      <c r="G3" s="75"/>
      <c r="H3" s="75"/>
      <c r="I3" s="51">
        <f>SUM(I2)</f>
        <v>46324</v>
      </c>
    </row>
    <row r="5">
      <c r="A5" s="25" t="s">
        <v>3</v>
      </c>
      <c r="B5" s="11">
        <f>C3-B6-B7</f>
        <v>9209</v>
      </c>
    </row>
    <row r="6">
      <c r="A6" s="25" t="s">
        <v>4</v>
      </c>
      <c r="B6" s="23">
        <f>2747+2897+1748+899+1998+2697+3896+5893+1898+1498+1997</f>
        <v>28168</v>
      </c>
    </row>
    <row r="7">
      <c r="A7" s="76" t="s">
        <v>5</v>
      </c>
      <c r="B7" s="77">
        <f>1998+2997+2997+1998+2997</f>
        <v>12987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4.38"/>
    <col customWidth="1" min="9" max="9" width="14.13"/>
  </cols>
  <sheetData>
    <row r="1">
      <c r="A1" s="61" t="s">
        <v>90</v>
      </c>
      <c r="B1" s="62" t="s">
        <v>33</v>
      </c>
      <c r="C1" s="62" t="s">
        <v>106</v>
      </c>
      <c r="D1" s="62" t="s">
        <v>102</v>
      </c>
      <c r="E1" s="62" t="s">
        <v>107</v>
      </c>
      <c r="F1" s="62" t="s">
        <v>43</v>
      </c>
      <c r="G1" s="62" t="s">
        <v>108</v>
      </c>
      <c r="H1" s="62" t="s">
        <v>109</v>
      </c>
      <c r="I1" s="62" t="s">
        <v>104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84"/>
      <c r="B2" s="68" t="s">
        <v>110</v>
      </c>
      <c r="C2" s="85">
        <v>675.0</v>
      </c>
      <c r="D2" s="85">
        <v>63.0</v>
      </c>
      <c r="E2" s="86">
        <v>11.4</v>
      </c>
      <c r="F2" s="66">
        <f t="shared" ref="F2:F4" si="1">C2-D2-E2</f>
        <v>600.6</v>
      </c>
      <c r="G2" s="86">
        <v>0.68</v>
      </c>
      <c r="H2" s="86">
        <v>3.38</v>
      </c>
      <c r="I2" s="85">
        <v>596.6</v>
      </c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84"/>
      <c r="B3" s="68" t="s">
        <v>111</v>
      </c>
      <c r="C3" s="87">
        <v>4722.5</v>
      </c>
      <c r="D3" s="87">
        <v>398.79</v>
      </c>
      <c r="E3" s="68">
        <v>71.78</v>
      </c>
      <c r="F3" s="66">
        <f t="shared" si="1"/>
        <v>4251.93</v>
      </c>
      <c r="G3" s="68">
        <v>3.07</v>
      </c>
      <c r="H3" s="68">
        <v>15.38</v>
      </c>
      <c r="I3" s="87">
        <v>2585.37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84"/>
      <c r="B4" s="59" t="s">
        <v>112</v>
      </c>
      <c r="C4" s="59">
        <v>5244.0</v>
      </c>
      <c r="D4" s="87">
        <v>489.0</v>
      </c>
      <c r="E4" s="68">
        <v>88.0</v>
      </c>
      <c r="F4" s="66">
        <f t="shared" si="1"/>
        <v>4667</v>
      </c>
      <c r="G4" s="68">
        <v>1.4</v>
      </c>
      <c r="H4" s="68">
        <v>7.0</v>
      </c>
      <c r="I4" s="87">
        <v>812.8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84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84"/>
      <c r="B6" s="88" t="s">
        <v>2</v>
      </c>
      <c r="C6" s="89">
        <f>sum(C2:C4)</f>
        <v>10641.5</v>
      </c>
      <c r="D6" s="90"/>
      <c r="E6" s="75"/>
      <c r="F6" s="89">
        <f>sum(F2:F4)</f>
        <v>9519.53</v>
      </c>
      <c r="G6" s="75"/>
      <c r="H6" s="75"/>
      <c r="I6" s="89">
        <f>sum(I2:I4)</f>
        <v>3994.77</v>
      </c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A8" s="25" t="s">
        <v>3</v>
      </c>
      <c r="B8" s="11">
        <f>C6-B9-B10</f>
        <v>3151.5</v>
      </c>
    </row>
    <row r="9">
      <c r="A9" s="25" t="s">
        <v>4</v>
      </c>
      <c r="B9" s="23">
        <v>7490.0</v>
      </c>
    </row>
    <row r="10">
      <c r="A10" s="76" t="s">
        <v>5</v>
      </c>
      <c r="B10" s="59">
        <v>0.0</v>
      </c>
    </row>
    <row r="1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  <row r="1001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</row>
    <row r="1002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7.88"/>
    <col customWidth="1" min="5" max="5" width="15.25"/>
  </cols>
  <sheetData>
    <row r="1">
      <c r="A1" s="63" t="s">
        <v>113</v>
      </c>
      <c r="B1" s="63" t="s">
        <v>114</v>
      </c>
      <c r="C1" s="63" t="s">
        <v>115</v>
      </c>
      <c r="D1" s="63" t="s">
        <v>116</v>
      </c>
      <c r="E1" s="88" t="s">
        <v>117</v>
      </c>
      <c r="F1" s="41" t="s">
        <v>42</v>
      </c>
      <c r="G1" s="41" t="s">
        <v>43</v>
      </c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</row>
    <row r="2">
      <c r="A2" s="91" t="s">
        <v>118</v>
      </c>
      <c r="B2" s="65" t="s">
        <v>119</v>
      </c>
      <c r="C2" s="65" t="s">
        <v>120</v>
      </c>
      <c r="D2" s="92">
        <v>46113.0</v>
      </c>
      <c r="E2" s="93">
        <v>39000.0</v>
      </c>
      <c r="F2" s="46">
        <f>E2*2.5%*1.18</f>
        <v>1150.5</v>
      </c>
      <c r="G2" s="46">
        <f>E2-F2</f>
        <v>37849.5</v>
      </c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</row>
    <row r="3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</row>
    <row r="4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</row>
    <row r="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</row>
    <row r="6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</row>
    <row r="7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</row>
    <row r="8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</row>
    <row r="9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</row>
    <row r="10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</row>
    <row r="1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</row>
    <row r="12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</row>
    <row r="13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</row>
    <row r="14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</row>
    <row r="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</row>
    <row r="16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</row>
    <row r="17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</row>
    <row r="18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</row>
    <row r="19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</row>
    <row r="20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</row>
    <row r="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</row>
    <row r="22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</row>
    <row r="2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</row>
    <row r="2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</row>
    <row r="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</row>
    <row r="26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</row>
    <row r="27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</row>
    <row r="30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</row>
    <row r="3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</row>
    <row r="3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</row>
  </sheetData>
  <dataValidations>
    <dataValidation type="list" allowBlank="1" showErrorMessage="1" sqref="C2">
      <formula1>"Kickoff Pack (7),Pro Pack (30),Rally Pack (15),Grand slam (90),Collab,Coaching"</formula1>
    </dataValidation>
  </dataValidations>
  <drawing r:id="rId1"/>
</worksheet>
</file>