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Academy" sheetId="5" r:id="rId9"/>
    <sheet state="visible" name="F&amp;B" sheetId="6" r:id="rId10"/>
  </sheets>
  <definedNames/>
  <calcPr/>
</workbook>
</file>

<file path=xl/sharedStrings.xml><?xml version="1.0" encoding="utf-8"?>
<sst xmlns="http://schemas.openxmlformats.org/spreadsheetml/2006/main" count="113" uniqueCount="71">
  <si>
    <t>Date</t>
  </si>
  <si>
    <t>1 - 30 Sept</t>
  </si>
  <si>
    <t>Day</t>
  </si>
  <si>
    <t>Offline Booking Hours</t>
  </si>
  <si>
    <t>Link</t>
  </si>
  <si>
    <t>Booking Revenue</t>
  </si>
  <si>
    <t>Community Partnership</t>
  </si>
  <si>
    <t>Particulars</t>
  </si>
  <si>
    <t>Community Revenue</t>
  </si>
  <si>
    <t>Amount</t>
  </si>
  <si>
    <t xml:space="preserve">Paddle Rental </t>
  </si>
  <si>
    <t>Total Revenue</t>
  </si>
  <si>
    <t>Payment Gateway</t>
  </si>
  <si>
    <t>Pickleball</t>
  </si>
  <si>
    <t>Net Revenue</t>
  </si>
  <si>
    <t>Pay &amp; Play</t>
  </si>
  <si>
    <t>Sport</t>
  </si>
  <si>
    <t>Type</t>
  </si>
  <si>
    <t>Amt</t>
  </si>
  <si>
    <t>Tuesday</t>
  </si>
  <si>
    <t>Post Comission</t>
  </si>
  <si>
    <t>Event Cost</t>
  </si>
  <si>
    <t xml:space="preserve">TDS </t>
  </si>
  <si>
    <t>Final Amount (₹)</t>
  </si>
  <si>
    <t>Notes</t>
  </si>
  <si>
    <t xml:space="preserve">Online </t>
  </si>
  <si>
    <t>26 Sept</t>
  </si>
  <si>
    <t>Double Shuffle</t>
  </si>
  <si>
    <t>District</t>
  </si>
  <si>
    <t>Paid to District</t>
  </si>
  <si>
    <t>Commissions (₹)</t>
  </si>
  <si>
    <t>GST on Commission</t>
  </si>
  <si>
    <t>Hudle</t>
  </si>
  <si>
    <t>Playo</t>
  </si>
  <si>
    <t>Khelomore</t>
  </si>
  <si>
    <t>TCS</t>
  </si>
  <si>
    <t>TDS</t>
  </si>
  <si>
    <t>Zplys</t>
  </si>
  <si>
    <t>Offline</t>
  </si>
  <si>
    <t>Wednesday</t>
  </si>
  <si>
    <t>Bookings</t>
  </si>
  <si>
    <t>Thursday</t>
  </si>
  <si>
    <t>Memberships</t>
  </si>
  <si>
    <t>Friday</t>
  </si>
  <si>
    <t>Community</t>
  </si>
  <si>
    <t>Saturday</t>
  </si>
  <si>
    <t>Pickup games</t>
  </si>
  <si>
    <t>Total</t>
  </si>
  <si>
    <t>Sunday</t>
  </si>
  <si>
    <t>Social Events/Tournaments</t>
  </si>
  <si>
    <t>Monday</t>
  </si>
  <si>
    <t>Community Partnerships</t>
  </si>
  <si>
    <t>Academy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</si>
  <si>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</si>
  <si>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</si>
  <si>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</si>
  <si>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</si>
  <si>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</si>
  <si>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</si>
  <si>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</si>
  <si>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</si>
  <si>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</si>
  <si>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</si>
  <si>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</si>
  <si>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</si>
  <si>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</si>
  <si>
    <t>Sports</t>
  </si>
  <si>
    <t>Month</t>
  </si>
  <si>
    <t>Sept</t>
  </si>
  <si>
    <t>Paid to brand (75%)</t>
  </si>
  <si>
    <t>Our Margin (25%)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</si>
</sst>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"/>
    <numFmt numFmtId="165" formatCode="[$₹]#,##0.0"/>
    <numFmt numFmtId="166" formatCode="[&gt;9999999][$₹]##\,##\,##\,##0;[&gt;99999][$₹]##\,##\,##0;[$₹]##,##0"/>
    <numFmt numFmtId="167" formatCode="d mmmm"/>
    <numFmt numFmtId="168" formatCode="[$₹]#,##0.00"/>
    <numFmt numFmtId="169" formatCode="d 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3" fontId="4" numFmtId="167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vertical="bottom"/>
    </xf>
    <xf borderId="0" fillId="2" fontId="6" numFmtId="164" xfId="0" applyAlignment="1" applyFill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0" fillId="2" fontId="2" numFmtId="164" xfId="0" applyAlignment="1" applyFill="1" applyFont="1" applyNumberForma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horizontal="right" readingOrder="0" vertical="bottom"/>
    </xf>
    <xf borderId="0" fillId="0" fontId="4" numFmtId="164" xfId="0" applyAlignment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0" fillId="0" fontId="4" numFmtId="169" xfId="0" applyAlignment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4" numFmtId="166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vertical="bottom"/>
    </xf>
    <xf borderId="4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 shrinkToFit="0" vertical="bottom" wrapText="1"/>
    </xf>
    <xf borderId="1" fillId="0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0" fillId="3" fontId="7" numFmtId="0" xfId="0" applyFill="1" applyFont="1"/>
    <xf borderId="1" fillId="2" fontId="4" numFmtId="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readingOrder="0"/>
    </xf>
    <xf borderId="1" fillId="2" fontId="2" numFmtId="165" xfId="0" applyAlignment="1" applyBorder="1" applyFill="1" applyFont="1" applyNumberFormat="1">
      <alignment vertical="bottom"/>
    </xf>
    <xf borderId="1" fillId="0" fontId="7" numFmtId="0" xfId="0" applyAlignment="1" applyBorder="1" applyFont="1">
      <alignment readingOrder="0"/>
    </xf>
    <xf borderId="1" fillId="0" fontId="7" numFmtId="168" xfId="0" applyAlignment="1" applyBorder="1" applyFont="1" applyNumberFormat="1">
      <alignment readingOrder="0"/>
    </xf>
    <xf borderId="1" fillId="2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4" t="s">
        <v>1</v>
      </c>
      <c r="C2" s="5"/>
    </row>
    <row r="3">
      <c r="B3" s="6" t="s">
        <v>7</v>
      </c>
      <c r="C3" s="6" t="s">
        <v>9</v>
      </c>
      <c r="E3" s="7"/>
    </row>
    <row r="4">
      <c r="B4" s="8"/>
      <c r="C4" s="10" t="s">
        <v>13</v>
      </c>
      <c r="E4" s="7"/>
    </row>
    <row r="5">
      <c r="B5" s="11" t="s">
        <v>15</v>
      </c>
      <c r="C5" s="18">
        <f>sum(C6,C12)</f>
        <v>180690</v>
      </c>
      <c r="E5" s="7"/>
    </row>
    <row r="6">
      <c r="B6" s="11" t="s">
        <v>25</v>
      </c>
      <c r="C6" s="18">
        <f>sum(C7:C11)</f>
        <v>149821</v>
      </c>
      <c r="E6" s="7"/>
    </row>
    <row r="7" outlineLevel="1">
      <c r="B7" s="22" t="s">
        <v>28</v>
      </c>
      <c r="C7" s="23">
        <f>District!C4</f>
        <v>149821</v>
      </c>
      <c r="E7" s="7"/>
    </row>
    <row r="8" outlineLevel="1">
      <c r="B8" s="22" t="s">
        <v>32</v>
      </c>
      <c r="C8" s="26">
        <v>0.0</v>
      </c>
      <c r="E8" s="7"/>
    </row>
    <row r="9" outlineLevel="1">
      <c r="B9" s="22" t="s">
        <v>33</v>
      </c>
      <c r="C9" s="26">
        <v>0.0</v>
      </c>
      <c r="E9" s="7"/>
    </row>
    <row r="10" outlineLevel="1">
      <c r="B10" s="27" t="s">
        <v>34</v>
      </c>
      <c r="C10" s="26">
        <v>0.0</v>
      </c>
      <c r="E10" s="29"/>
    </row>
    <row r="11" outlineLevel="1">
      <c r="B11" s="22" t="s">
        <v>37</v>
      </c>
      <c r="C11" s="26">
        <v>0.0</v>
      </c>
      <c r="E11" s="29"/>
    </row>
    <row r="12">
      <c r="B12" s="30" t="s">
        <v>38</v>
      </c>
      <c r="C12" s="18">
        <f>sum(C13:C14)</f>
        <v>30869</v>
      </c>
    </row>
    <row r="13" outlineLevel="1">
      <c r="B13" s="22" t="s">
        <v>40</v>
      </c>
      <c r="C13" s="23">
        <f>'Offline &amp; RG Community'!D32</f>
        <v>30869</v>
      </c>
    </row>
    <row r="14" outlineLevel="1">
      <c r="B14" s="35" t="s">
        <v>42</v>
      </c>
      <c r="C14" s="26">
        <v>0.0</v>
      </c>
      <c r="E14" s="7"/>
    </row>
    <row r="15">
      <c r="B15" s="30" t="s">
        <v>44</v>
      </c>
      <c r="C15" s="18">
        <f>sum(C16:C18)</f>
        <v>123004</v>
      </c>
      <c r="E15" s="7"/>
    </row>
    <row r="16" outlineLevel="1">
      <c r="B16" s="27" t="s">
        <v>46</v>
      </c>
      <c r="C16" s="23">
        <f>'Offline &amp; RG Community'!F32</f>
        <v>61300</v>
      </c>
      <c r="E16" s="7"/>
    </row>
    <row r="17" outlineLevel="1">
      <c r="B17" s="27" t="s">
        <v>49</v>
      </c>
      <c r="C17" s="26">
        <f>'Social EventsTournaments'!D3</f>
        <v>7984</v>
      </c>
    </row>
    <row r="18">
      <c r="B18" s="40" t="s">
        <v>51</v>
      </c>
      <c r="C18" s="41">
        <f>'Offline &amp; RG Community'!E32</f>
        <v>53720</v>
      </c>
      <c r="E18" s="7"/>
    </row>
    <row r="19">
      <c r="B19" s="30" t="s">
        <v>52</v>
      </c>
      <c r="C19" s="42">
        <f>Academy!C2</f>
        <v>6500</v>
      </c>
      <c r="E19" s="7"/>
    </row>
    <row r="20">
      <c r="B20" s="43" t="s">
        <v>53</v>
      </c>
      <c r="C20" s="42">
        <f>sum(C21,C22)</f>
        <v>0</v>
      </c>
    </row>
    <row r="21" outlineLevel="1">
      <c r="B21" s="22" t="s">
        <v>54</v>
      </c>
      <c r="C21" s="41">
        <v>0.0</v>
      </c>
    </row>
    <row r="22" outlineLevel="1">
      <c r="B22" s="27" t="s">
        <v>55</v>
      </c>
      <c r="C22" s="41">
        <v>0.0</v>
      </c>
    </row>
    <row r="23">
      <c r="B23" s="11" t="s">
        <v>56</v>
      </c>
      <c r="C23" s="18">
        <f>sum(C24:C26)</f>
        <v>11135</v>
      </c>
    </row>
    <row r="24" outlineLevel="1">
      <c r="B24" s="22" t="s">
        <v>57</v>
      </c>
      <c r="C24" s="46">
        <f>'Offline &amp; RG Community'!G32</f>
        <v>6850</v>
      </c>
    </row>
    <row r="25" outlineLevel="1">
      <c r="B25" s="22" t="s">
        <v>58</v>
      </c>
      <c r="C25" s="26">
        <v>0.0</v>
      </c>
    </row>
    <row r="26" outlineLevel="1">
      <c r="B26" s="22" t="s">
        <v>59</v>
      </c>
      <c r="C26" s="46">
        <f>'F&amp;B'!B32</f>
        <v>4285</v>
      </c>
    </row>
    <row r="27">
      <c r="B27" s="11" t="s">
        <v>60</v>
      </c>
      <c r="C27" s="18">
        <v>0.0</v>
      </c>
    </row>
    <row r="28">
      <c r="B28" s="47" t="s">
        <v>61</v>
      </c>
      <c r="C28" s="37">
        <f>C5+C15+C19+C20+C23+C27</f>
        <v>321329</v>
      </c>
    </row>
    <row r="29">
      <c r="B29" s="49" t="s">
        <v>62</v>
      </c>
      <c r="C29" s="50">
        <f>C28-(C28/1.18)</f>
        <v>49016.28814</v>
      </c>
    </row>
    <row r="30">
      <c r="B30" s="51" t="s">
        <v>63</v>
      </c>
      <c r="C30" s="52">
        <f>C28-C29</f>
        <v>272312.7119</v>
      </c>
    </row>
    <row r="31">
      <c r="B31" s="49" t="s">
        <v>64</v>
      </c>
      <c r="C31" s="52">
        <f>'Offline &amp; RG Community'!I32+District!D4+District!E4+'Social EventsTournaments'!F3+Academy!D2+'F&amp;B'!C32+'F&amp;B'!E32</f>
        <v>16806.565</v>
      </c>
    </row>
    <row r="32">
      <c r="B32" s="53" t="s">
        <v>65</v>
      </c>
      <c r="C32" s="52">
        <f>C28-C29-C31</f>
        <v>255506.1469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1.5"/>
    <col customWidth="1" min="2" max="2" width="9.75"/>
    <col customWidth="1" min="3" max="3" width="18.25"/>
    <col customWidth="1" min="4" max="4" width="17.63"/>
    <col customWidth="1" min="5" max="5" width="19.88"/>
    <col customWidth="1" min="6" max="6" width="17.63"/>
    <col customWidth="1" min="7" max="7" width="12.5"/>
    <col customWidth="1" min="8" max="8" width="12.25"/>
    <col customWidth="1" min="9" max="9" width="15.25"/>
  </cols>
  <sheetData>
    <row r="1">
      <c r="A1" s="2" t="s">
        <v>0</v>
      </c>
      <c r="B1" s="2" t="s">
        <v>2</v>
      </c>
      <c r="C1" s="3" t="s">
        <v>3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11</v>
      </c>
      <c r="I1" s="9" t="s">
        <v>12</v>
      </c>
      <c r="J1" s="2" t="s">
        <v>14</v>
      </c>
    </row>
    <row r="2">
      <c r="A2" s="12">
        <v>46266.0</v>
      </c>
      <c r="B2" s="13" t="s">
        <v>19</v>
      </c>
      <c r="C2" s="14">
        <v>0.0</v>
      </c>
      <c r="D2" s="15">
        <v>0.0</v>
      </c>
      <c r="E2" s="15">
        <v>0.0</v>
      </c>
      <c r="F2" s="15">
        <v>800.0</v>
      </c>
      <c r="G2" s="15">
        <v>100.0</v>
      </c>
      <c r="H2" s="15">
        <f t="shared" ref="H2:H9" si="1">sum(D2:G2)</f>
        <v>900</v>
      </c>
      <c r="I2" s="25">
        <f t="shared" ref="I2:I31" si="2">H2*1.75%</f>
        <v>15.75</v>
      </c>
      <c r="J2" s="15">
        <f t="shared" ref="J2:J31" si="3">H2-I2</f>
        <v>884.25</v>
      </c>
    </row>
    <row r="3">
      <c r="A3" s="12">
        <v>46267.0</v>
      </c>
      <c r="B3" s="13" t="s">
        <v>39</v>
      </c>
      <c r="C3" s="14">
        <v>3.5</v>
      </c>
      <c r="D3" s="15">
        <v>1919.0</v>
      </c>
      <c r="E3" s="15">
        <v>680.0</v>
      </c>
      <c r="F3" s="15">
        <v>3000.0</v>
      </c>
      <c r="G3" s="15">
        <v>150.0</v>
      </c>
      <c r="H3" s="15">
        <f t="shared" si="1"/>
        <v>5749</v>
      </c>
      <c r="I3" s="25">
        <f t="shared" si="2"/>
        <v>100.6075</v>
      </c>
      <c r="J3" s="15">
        <f t="shared" si="3"/>
        <v>5648.3925</v>
      </c>
    </row>
    <row r="4">
      <c r="A4" s="12">
        <v>46268.0</v>
      </c>
      <c r="B4" s="13" t="s">
        <v>41</v>
      </c>
      <c r="C4" s="33">
        <v>5.5</v>
      </c>
      <c r="D4" s="15">
        <v>2317.0</v>
      </c>
      <c r="E4" s="15">
        <v>1020.0</v>
      </c>
      <c r="F4" s="15">
        <v>1800.0</v>
      </c>
      <c r="G4" s="15">
        <v>300.0</v>
      </c>
      <c r="H4" s="15">
        <f t="shared" si="1"/>
        <v>5437</v>
      </c>
      <c r="I4" s="25">
        <f t="shared" si="2"/>
        <v>95.1475</v>
      </c>
      <c r="J4" s="15">
        <f t="shared" si="3"/>
        <v>5341.8525</v>
      </c>
    </row>
    <row r="5">
      <c r="A5" s="12">
        <v>46269.0</v>
      </c>
      <c r="B5" s="13" t="s">
        <v>43</v>
      </c>
      <c r="C5" s="33">
        <v>0.0</v>
      </c>
      <c r="D5" s="15">
        <v>0.0</v>
      </c>
      <c r="E5" s="15">
        <v>0.0</v>
      </c>
      <c r="F5" s="15">
        <v>0.0</v>
      </c>
      <c r="G5" s="15">
        <v>0.0</v>
      </c>
      <c r="H5" s="15">
        <f t="shared" si="1"/>
        <v>0</v>
      </c>
      <c r="I5" s="25">
        <f t="shared" si="2"/>
        <v>0</v>
      </c>
      <c r="J5" s="15">
        <f t="shared" si="3"/>
        <v>0</v>
      </c>
    </row>
    <row r="6">
      <c r="A6" s="12">
        <v>46270.0</v>
      </c>
      <c r="B6" s="13" t="s">
        <v>45</v>
      </c>
      <c r="C6" s="14">
        <v>9.0</v>
      </c>
      <c r="D6" s="36">
        <v>1518.0</v>
      </c>
      <c r="E6" s="36">
        <v>4760.0</v>
      </c>
      <c r="F6" s="36">
        <v>1600.0</v>
      </c>
      <c r="G6" s="36">
        <v>200.0</v>
      </c>
      <c r="H6" s="15">
        <f t="shared" si="1"/>
        <v>8078</v>
      </c>
      <c r="I6" s="25">
        <f t="shared" si="2"/>
        <v>141.365</v>
      </c>
      <c r="J6" s="15">
        <f t="shared" si="3"/>
        <v>7936.635</v>
      </c>
    </row>
    <row r="7">
      <c r="A7" s="12">
        <v>46271.0</v>
      </c>
      <c r="B7" s="13" t="s">
        <v>48</v>
      </c>
      <c r="C7" s="33">
        <v>5.0</v>
      </c>
      <c r="D7" s="15">
        <v>1950.0</v>
      </c>
      <c r="E7" s="15">
        <v>1700.0</v>
      </c>
      <c r="F7" s="15">
        <v>2400.0</v>
      </c>
      <c r="G7" s="39">
        <v>725.0</v>
      </c>
      <c r="H7" s="15">
        <f t="shared" si="1"/>
        <v>6775</v>
      </c>
      <c r="I7" s="25">
        <f t="shared" si="2"/>
        <v>118.5625</v>
      </c>
      <c r="J7" s="15">
        <f t="shared" si="3"/>
        <v>6656.4375</v>
      </c>
    </row>
    <row r="8">
      <c r="A8" s="12">
        <v>46272.0</v>
      </c>
      <c r="B8" s="13" t="s">
        <v>50</v>
      </c>
      <c r="C8" s="33">
        <v>5.0</v>
      </c>
      <c r="D8" s="15">
        <v>1920.0</v>
      </c>
      <c r="E8" s="15">
        <v>1700.0</v>
      </c>
      <c r="F8" s="15">
        <v>2200.0</v>
      </c>
      <c r="G8" s="15">
        <v>200.0</v>
      </c>
      <c r="H8" s="15">
        <f t="shared" si="1"/>
        <v>6020</v>
      </c>
      <c r="I8" s="25">
        <f t="shared" si="2"/>
        <v>105.35</v>
      </c>
      <c r="J8" s="15">
        <f t="shared" si="3"/>
        <v>5914.65</v>
      </c>
    </row>
    <row r="9">
      <c r="A9" s="12">
        <v>46273.0</v>
      </c>
      <c r="B9" s="13" t="s">
        <v>19</v>
      </c>
      <c r="C9" s="33">
        <v>4.0</v>
      </c>
      <c r="D9" s="15">
        <v>798.0</v>
      </c>
      <c r="E9" s="15">
        <v>2040.0</v>
      </c>
      <c r="F9" s="15">
        <v>2000.0</v>
      </c>
      <c r="G9" s="39">
        <v>150.0</v>
      </c>
      <c r="H9" s="15">
        <f t="shared" si="1"/>
        <v>4988</v>
      </c>
      <c r="I9" s="25">
        <f t="shared" si="2"/>
        <v>87.29</v>
      </c>
      <c r="J9" s="15">
        <f t="shared" si="3"/>
        <v>4900.71</v>
      </c>
    </row>
    <row r="10">
      <c r="A10" s="12">
        <v>46274.0</v>
      </c>
      <c r="B10" s="13" t="s">
        <v>39</v>
      </c>
      <c r="C10" s="33">
        <v>3.0</v>
      </c>
      <c r="D10" s="15">
        <v>0.0</v>
      </c>
      <c r="E10" s="15">
        <v>2040.0</v>
      </c>
      <c r="F10" s="15">
        <v>800.0</v>
      </c>
      <c r="G10" s="15">
        <v>50.0</v>
      </c>
      <c r="H10" s="15">
        <v>0.0</v>
      </c>
      <c r="I10" s="25">
        <f t="shared" si="2"/>
        <v>0</v>
      </c>
      <c r="J10" s="15">
        <f t="shared" si="3"/>
        <v>0</v>
      </c>
    </row>
    <row r="11">
      <c r="A11" s="12">
        <v>46275.0</v>
      </c>
      <c r="B11" s="13" t="s">
        <v>41</v>
      </c>
      <c r="C11" s="14">
        <v>2.0</v>
      </c>
      <c r="D11" s="36">
        <v>1520.0</v>
      </c>
      <c r="E11" s="36">
        <v>0.0</v>
      </c>
      <c r="F11" s="36">
        <v>2200.0</v>
      </c>
      <c r="G11" s="36">
        <v>100.0</v>
      </c>
      <c r="H11" s="15">
        <f t="shared" ref="H11:H31" si="4">sum(D11:G11)</f>
        <v>3820</v>
      </c>
      <c r="I11" s="25">
        <f t="shared" si="2"/>
        <v>66.85</v>
      </c>
      <c r="J11" s="15">
        <f t="shared" si="3"/>
        <v>3753.15</v>
      </c>
    </row>
    <row r="12">
      <c r="A12" s="12">
        <v>46276.0</v>
      </c>
      <c r="B12" s="13" t="s">
        <v>43</v>
      </c>
      <c r="C12" s="33">
        <v>3.0</v>
      </c>
      <c r="D12" s="15">
        <v>798.0</v>
      </c>
      <c r="E12" s="15">
        <v>1360.0</v>
      </c>
      <c r="F12" s="15">
        <v>6800.0</v>
      </c>
      <c r="G12" s="15">
        <v>200.0</v>
      </c>
      <c r="H12" s="15">
        <f t="shared" si="4"/>
        <v>9158</v>
      </c>
      <c r="I12" s="25">
        <f t="shared" si="2"/>
        <v>160.265</v>
      </c>
      <c r="J12" s="15">
        <f t="shared" si="3"/>
        <v>8997.735</v>
      </c>
    </row>
    <row r="13">
      <c r="A13" s="12">
        <v>46277.0</v>
      </c>
      <c r="B13" s="13" t="s">
        <v>45</v>
      </c>
      <c r="C13" s="33">
        <v>5.5</v>
      </c>
      <c r="D13" s="15">
        <v>2793.0</v>
      </c>
      <c r="E13" s="15">
        <v>1360.0</v>
      </c>
      <c r="F13" s="15">
        <v>1200.0</v>
      </c>
      <c r="G13" s="15">
        <v>500.0</v>
      </c>
      <c r="H13" s="15">
        <f t="shared" si="4"/>
        <v>5853</v>
      </c>
      <c r="I13" s="25">
        <f t="shared" si="2"/>
        <v>102.4275</v>
      </c>
      <c r="J13" s="15">
        <f t="shared" si="3"/>
        <v>5750.5725</v>
      </c>
    </row>
    <row r="14">
      <c r="A14" s="12">
        <v>46278.0</v>
      </c>
      <c r="B14" s="13" t="s">
        <v>48</v>
      </c>
      <c r="C14" s="33">
        <v>4.0</v>
      </c>
      <c r="D14" s="15">
        <v>1450.0</v>
      </c>
      <c r="E14" s="15">
        <v>2720.0</v>
      </c>
      <c r="F14" s="15">
        <v>2200.0</v>
      </c>
      <c r="G14" s="15">
        <v>200.0</v>
      </c>
      <c r="H14" s="15">
        <f t="shared" si="4"/>
        <v>6570</v>
      </c>
      <c r="I14" s="25">
        <f t="shared" si="2"/>
        <v>114.975</v>
      </c>
      <c r="J14" s="15">
        <f t="shared" si="3"/>
        <v>6455.025</v>
      </c>
    </row>
    <row r="15">
      <c r="A15" s="12">
        <v>46279.0</v>
      </c>
      <c r="B15" s="13" t="s">
        <v>50</v>
      </c>
      <c r="C15" s="33">
        <v>4.0</v>
      </c>
      <c r="D15" s="15">
        <v>1200.0</v>
      </c>
      <c r="E15" s="15">
        <v>2040.0</v>
      </c>
      <c r="F15" s="15">
        <v>3200.0</v>
      </c>
      <c r="G15" s="15">
        <v>0.0</v>
      </c>
      <c r="H15" s="15">
        <f t="shared" si="4"/>
        <v>6440</v>
      </c>
      <c r="I15" s="25">
        <f t="shared" si="2"/>
        <v>112.7</v>
      </c>
      <c r="J15" s="15">
        <f t="shared" si="3"/>
        <v>6327.3</v>
      </c>
    </row>
    <row r="16">
      <c r="A16" s="12">
        <v>46280.0</v>
      </c>
      <c r="B16" s="13" t="s">
        <v>19</v>
      </c>
      <c r="C16" s="33">
        <v>3.0</v>
      </c>
      <c r="D16" s="15">
        <v>0.0</v>
      </c>
      <c r="E16" s="15">
        <v>2040.0</v>
      </c>
      <c r="F16" s="15">
        <v>3000.0</v>
      </c>
      <c r="G16" s="15">
        <v>150.0</v>
      </c>
      <c r="H16" s="15">
        <f t="shared" si="4"/>
        <v>5190</v>
      </c>
      <c r="I16" s="25">
        <f t="shared" si="2"/>
        <v>90.825</v>
      </c>
      <c r="J16" s="15">
        <f t="shared" si="3"/>
        <v>5099.175</v>
      </c>
    </row>
    <row r="17">
      <c r="A17" s="12">
        <v>46281.0</v>
      </c>
      <c r="B17" s="13" t="s">
        <v>39</v>
      </c>
      <c r="C17" s="33">
        <v>3.0</v>
      </c>
      <c r="D17" s="48">
        <v>0.0</v>
      </c>
      <c r="E17" s="48">
        <v>2040.0</v>
      </c>
      <c r="F17" s="39">
        <v>2200.0</v>
      </c>
      <c r="G17" s="15">
        <v>50.0</v>
      </c>
      <c r="H17" s="15">
        <f t="shared" si="4"/>
        <v>4290</v>
      </c>
      <c r="I17" s="25">
        <f t="shared" si="2"/>
        <v>75.075</v>
      </c>
      <c r="J17" s="15">
        <f t="shared" si="3"/>
        <v>4214.925</v>
      </c>
    </row>
    <row r="18">
      <c r="A18" s="12">
        <v>46282.0</v>
      </c>
      <c r="B18" s="13" t="s">
        <v>41</v>
      </c>
      <c r="C18" s="33">
        <v>5.5</v>
      </c>
      <c r="D18" s="15">
        <v>1398.0</v>
      </c>
      <c r="E18" s="15">
        <v>1700.0</v>
      </c>
      <c r="F18" s="15">
        <v>2800.0</v>
      </c>
      <c r="G18" s="15">
        <v>150.0</v>
      </c>
      <c r="H18" s="15">
        <f t="shared" si="4"/>
        <v>6048</v>
      </c>
      <c r="I18" s="25">
        <f t="shared" si="2"/>
        <v>105.84</v>
      </c>
      <c r="J18" s="15">
        <f t="shared" si="3"/>
        <v>5942.16</v>
      </c>
    </row>
    <row r="19">
      <c r="A19" s="12">
        <v>46283.0</v>
      </c>
      <c r="B19" s="13" t="s">
        <v>43</v>
      </c>
      <c r="C19" s="33">
        <v>6.5</v>
      </c>
      <c r="D19" s="15">
        <v>1920.0</v>
      </c>
      <c r="E19" s="15">
        <v>2720.0</v>
      </c>
      <c r="F19" s="15">
        <v>0.0</v>
      </c>
      <c r="G19" s="15">
        <v>600.0</v>
      </c>
      <c r="H19" s="15">
        <f t="shared" si="4"/>
        <v>5240</v>
      </c>
      <c r="I19" s="25">
        <f t="shared" si="2"/>
        <v>91.7</v>
      </c>
      <c r="J19" s="15">
        <f t="shared" si="3"/>
        <v>5148.3</v>
      </c>
    </row>
    <row r="20">
      <c r="A20" s="12">
        <v>46284.0</v>
      </c>
      <c r="B20" s="13" t="s">
        <v>45</v>
      </c>
      <c r="C20" s="33">
        <v>3.0</v>
      </c>
      <c r="D20" s="15">
        <v>400.0</v>
      </c>
      <c r="E20" s="15">
        <v>1700.0</v>
      </c>
      <c r="F20" s="15">
        <v>2800.0</v>
      </c>
      <c r="G20" s="15">
        <v>300.0</v>
      </c>
      <c r="H20" s="15">
        <f t="shared" si="4"/>
        <v>5200</v>
      </c>
      <c r="I20" s="25">
        <f t="shared" si="2"/>
        <v>91</v>
      </c>
      <c r="J20" s="15">
        <f t="shared" si="3"/>
        <v>5109</v>
      </c>
    </row>
    <row r="21">
      <c r="A21" s="12">
        <v>46285.0</v>
      </c>
      <c r="B21" s="13" t="s">
        <v>48</v>
      </c>
      <c r="C21" s="33">
        <v>4.5</v>
      </c>
      <c r="D21" s="15">
        <v>798.0</v>
      </c>
      <c r="E21" s="15">
        <v>2380.0</v>
      </c>
      <c r="F21" s="15">
        <v>1600.0</v>
      </c>
      <c r="G21" s="15">
        <v>550.0</v>
      </c>
      <c r="H21" s="15">
        <f t="shared" si="4"/>
        <v>5328</v>
      </c>
      <c r="I21" s="25">
        <f t="shared" si="2"/>
        <v>93.24</v>
      </c>
      <c r="J21" s="15">
        <f t="shared" si="3"/>
        <v>5234.76</v>
      </c>
    </row>
    <row r="22">
      <c r="A22" s="12">
        <v>46286.0</v>
      </c>
      <c r="B22" s="13" t="s">
        <v>50</v>
      </c>
      <c r="C22" s="33">
        <v>3.5</v>
      </c>
      <c r="D22" s="15">
        <v>0.0</v>
      </c>
      <c r="E22" s="15">
        <v>2380.0</v>
      </c>
      <c r="F22" s="15">
        <v>2400.0</v>
      </c>
      <c r="G22" s="15">
        <v>150.0</v>
      </c>
      <c r="H22" s="15">
        <f t="shared" si="4"/>
        <v>4930</v>
      </c>
      <c r="I22" s="25">
        <f t="shared" si="2"/>
        <v>86.275</v>
      </c>
      <c r="J22" s="15">
        <f t="shared" si="3"/>
        <v>4843.725</v>
      </c>
    </row>
    <row r="23">
      <c r="A23" s="12">
        <v>46287.0</v>
      </c>
      <c r="B23" s="13" t="s">
        <v>19</v>
      </c>
      <c r="C23" s="33">
        <v>2.5</v>
      </c>
      <c r="D23" s="15">
        <v>400.0</v>
      </c>
      <c r="E23" s="15">
        <v>1360.0</v>
      </c>
      <c r="F23" s="15">
        <v>1400.0</v>
      </c>
      <c r="G23" s="15">
        <v>350.0</v>
      </c>
      <c r="H23" s="15">
        <f t="shared" si="4"/>
        <v>3510</v>
      </c>
      <c r="I23" s="25">
        <f t="shared" si="2"/>
        <v>61.425</v>
      </c>
      <c r="J23" s="15">
        <f t="shared" si="3"/>
        <v>3448.575</v>
      </c>
    </row>
    <row r="24">
      <c r="A24" s="12">
        <v>46288.0</v>
      </c>
      <c r="B24" s="13" t="s">
        <v>39</v>
      </c>
      <c r="C24" s="33">
        <v>3.5</v>
      </c>
      <c r="D24" s="15">
        <v>0.0</v>
      </c>
      <c r="E24" s="15">
        <v>2380.0</v>
      </c>
      <c r="F24" s="15">
        <v>2600.0</v>
      </c>
      <c r="G24" s="15">
        <v>200.0</v>
      </c>
      <c r="H24" s="15">
        <f t="shared" si="4"/>
        <v>5180</v>
      </c>
      <c r="I24" s="25">
        <f t="shared" si="2"/>
        <v>90.65</v>
      </c>
      <c r="J24" s="15">
        <f t="shared" si="3"/>
        <v>5089.35</v>
      </c>
    </row>
    <row r="25">
      <c r="A25" s="12">
        <v>46289.0</v>
      </c>
      <c r="B25" s="13" t="s">
        <v>41</v>
      </c>
      <c r="C25" s="33">
        <v>2.5</v>
      </c>
      <c r="D25" s="15">
        <v>800.0</v>
      </c>
      <c r="E25" s="15">
        <v>1020.0</v>
      </c>
      <c r="F25" s="15">
        <v>2200.0</v>
      </c>
      <c r="G25" s="15">
        <v>300.0</v>
      </c>
      <c r="H25" s="15">
        <f t="shared" si="4"/>
        <v>4320</v>
      </c>
      <c r="I25" s="25">
        <f t="shared" si="2"/>
        <v>75.6</v>
      </c>
      <c r="J25" s="15">
        <f t="shared" si="3"/>
        <v>4244.4</v>
      </c>
    </row>
    <row r="26">
      <c r="A26" s="12">
        <v>46290.0</v>
      </c>
      <c r="B26" s="13" t="s">
        <v>43</v>
      </c>
      <c r="C26" s="33">
        <v>2.0</v>
      </c>
      <c r="D26" s="15">
        <v>0.0</v>
      </c>
      <c r="E26" s="15">
        <v>1360.0</v>
      </c>
      <c r="F26" s="15">
        <v>2800.0</v>
      </c>
      <c r="G26" s="15">
        <v>250.0</v>
      </c>
      <c r="H26" s="15">
        <f t="shared" si="4"/>
        <v>4410</v>
      </c>
      <c r="I26" s="25">
        <f t="shared" si="2"/>
        <v>77.175</v>
      </c>
      <c r="J26" s="15">
        <f t="shared" si="3"/>
        <v>4332.825</v>
      </c>
    </row>
    <row r="27">
      <c r="A27" s="12">
        <v>46291.0</v>
      </c>
      <c r="B27" s="13" t="s">
        <v>45</v>
      </c>
      <c r="C27" s="33">
        <v>2.0</v>
      </c>
      <c r="D27" s="15">
        <v>1596.0</v>
      </c>
      <c r="E27" s="15">
        <v>0.0</v>
      </c>
      <c r="F27" s="15">
        <v>900.0</v>
      </c>
      <c r="G27" s="15">
        <v>375.0</v>
      </c>
      <c r="H27" s="15">
        <f t="shared" si="4"/>
        <v>2871</v>
      </c>
      <c r="I27" s="25">
        <f t="shared" si="2"/>
        <v>50.2425</v>
      </c>
      <c r="J27" s="15">
        <f t="shared" si="3"/>
        <v>2820.7575</v>
      </c>
    </row>
    <row r="28">
      <c r="A28" s="12">
        <v>46292.0</v>
      </c>
      <c r="B28" s="13" t="s">
        <v>48</v>
      </c>
      <c r="C28" s="33">
        <v>5.5</v>
      </c>
      <c r="D28" s="15">
        <v>340.0</v>
      </c>
      <c r="E28" s="15">
        <v>3400.0</v>
      </c>
      <c r="F28" s="15">
        <v>0.0</v>
      </c>
      <c r="G28" s="15">
        <v>150.0</v>
      </c>
      <c r="H28" s="15">
        <f t="shared" si="4"/>
        <v>3890</v>
      </c>
      <c r="I28" s="25">
        <f t="shared" si="2"/>
        <v>68.075</v>
      </c>
      <c r="J28" s="15">
        <f t="shared" si="3"/>
        <v>3821.925</v>
      </c>
    </row>
    <row r="29">
      <c r="A29" s="12">
        <v>46293.0</v>
      </c>
      <c r="B29" s="13" t="s">
        <v>50</v>
      </c>
      <c r="C29" s="33">
        <v>5.5</v>
      </c>
      <c r="D29" s="15">
        <v>2319.0</v>
      </c>
      <c r="E29" s="15">
        <v>1700.0</v>
      </c>
      <c r="F29" s="15">
        <v>2800.0</v>
      </c>
      <c r="G29" s="15">
        <v>200.0</v>
      </c>
      <c r="H29" s="15">
        <f t="shared" si="4"/>
        <v>7019</v>
      </c>
      <c r="I29" s="25">
        <f t="shared" si="2"/>
        <v>122.8325</v>
      </c>
      <c r="J29" s="15">
        <f t="shared" si="3"/>
        <v>6896.1675</v>
      </c>
    </row>
    <row r="30">
      <c r="A30" s="12">
        <v>46294.0</v>
      </c>
      <c r="B30" s="13" t="s">
        <v>19</v>
      </c>
      <c r="C30" s="33">
        <v>4.5</v>
      </c>
      <c r="D30" s="15">
        <v>720.0</v>
      </c>
      <c r="E30" s="15">
        <v>2380.0</v>
      </c>
      <c r="F30" s="15">
        <v>2200.0</v>
      </c>
      <c r="G30" s="15">
        <v>100.0</v>
      </c>
      <c r="H30" s="15">
        <f t="shared" si="4"/>
        <v>5400</v>
      </c>
      <c r="I30" s="25">
        <f t="shared" si="2"/>
        <v>94.5</v>
      </c>
      <c r="J30" s="15">
        <f t="shared" si="3"/>
        <v>5305.5</v>
      </c>
    </row>
    <row r="31">
      <c r="A31" s="12">
        <v>46295.0</v>
      </c>
      <c r="B31" s="13" t="s">
        <v>39</v>
      </c>
      <c r="C31" s="14">
        <v>8.0</v>
      </c>
      <c r="D31" s="36">
        <v>1995.0</v>
      </c>
      <c r="E31" s="36">
        <v>3740.0</v>
      </c>
      <c r="F31" s="36">
        <v>1400.0</v>
      </c>
      <c r="G31" s="36">
        <v>100.0</v>
      </c>
      <c r="H31" s="15">
        <f t="shared" si="4"/>
        <v>7235</v>
      </c>
      <c r="I31" s="25">
        <f t="shared" si="2"/>
        <v>126.6125</v>
      </c>
      <c r="J31" s="15">
        <f t="shared" si="3"/>
        <v>7108.3875</v>
      </c>
      <c r="K31" s="54"/>
      <c r="L31" s="54"/>
      <c r="M31" s="54"/>
      <c r="N31" s="54"/>
      <c r="O31" s="54"/>
    </row>
    <row r="32">
      <c r="A32" s="45" t="s">
        <v>47</v>
      </c>
      <c r="B32" s="38"/>
      <c r="C32" s="55"/>
      <c r="D32" s="37">
        <f t="shared" ref="D32:I32" si="5">SUM(D2:D31)</f>
        <v>30869</v>
      </c>
      <c r="E32" s="37">
        <f t="shared" si="5"/>
        <v>53720</v>
      </c>
      <c r="F32" s="37">
        <f t="shared" si="5"/>
        <v>61300</v>
      </c>
      <c r="G32" s="37">
        <f t="shared" si="5"/>
        <v>6850</v>
      </c>
      <c r="H32" s="37">
        <f t="shared" si="5"/>
        <v>149849</v>
      </c>
      <c r="I32" s="37">
        <f t="shared" si="5"/>
        <v>2622.3575</v>
      </c>
      <c r="J32" s="37">
        <f>SUM(J1:J31)</f>
        <v>147226.6425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7" t="s">
        <v>4</v>
      </c>
      <c r="B1" s="2" t="s">
        <v>0</v>
      </c>
      <c r="C1" s="2" t="s">
        <v>29</v>
      </c>
      <c r="D1" s="2" t="s">
        <v>30</v>
      </c>
      <c r="E1" s="24" t="s">
        <v>31</v>
      </c>
      <c r="F1" s="2" t="s">
        <v>14</v>
      </c>
      <c r="G1" s="28" t="s">
        <v>35</v>
      </c>
      <c r="H1" s="28" t="s">
        <v>36</v>
      </c>
      <c r="I1" s="2" t="s">
        <v>23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2"/>
      <c r="B2" s="34" t="s">
        <v>1</v>
      </c>
      <c r="C2" s="19">
        <v>149821.0</v>
      </c>
      <c r="D2" s="19">
        <v>9019.0</v>
      </c>
      <c r="E2" s="19">
        <v>1623.0</v>
      </c>
      <c r="F2" s="15">
        <f>C2-D2-E2</f>
        <v>139179</v>
      </c>
      <c r="G2" s="19">
        <v>479.0</v>
      </c>
      <c r="H2" s="19">
        <v>96.0</v>
      </c>
      <c r="I2" s="19">
        <f>F2-G2-H2</f>
        <v>138604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2"/>
      <c r="B3" s="21"/>
      <c r="C3" s="21"/>
      <c r="D3" s="21"/>
      <c r="E3" s="21"/>
      <c r="F3" s="15"/>
      <c r="G3" s="21"/>
      <c r="H3" s="21"/>
      <c r="I3" s="20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2"/>
      <c r="B4" s="45" t="s">
        <v>47</v>
      </c>
      <c r="C4" s="37">
        <f t="shared" ref="C4:F4" si="1">SUM(C2:C3)</f>
        <v>149821</v>
      </c>
      <c r="D4" s="37">
        <f t="shared" si="1"/>
        <v>9019</v>
      </c>
      <c r="E4" s="37">
        <f t="shared" si="1"/>
        <v>1623</v>
      </c>
      <c r="F4" s="37">
        <f t="shared" si="1"/>
        <v>139179</v>
      </c>
      <c r="G4" s="38"/>
      <c r="H4" s="38"/>
      <c r="I4" s="37">
        <f>SUM(I2:I3)</f>
        <v>138604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6" width="15.25"/>
    <col customWidth="1" min="10" max="10" width="14.13"/>
  </cols>
  <sheetData>
    <row r="1">
      <c r="A1" s="2" t="s">
        <v>0</v>
      </c>
      <c r="B1" s="2" t="s">
        <v>16</v>
      </c>
      <c r="C1" s="2" t="s">
        <v>17</v>
      </c>
      <c r="D1" s="2" t="s">
        <v>18</v>
      </c>
      <c r="E1" s="2" t="s">
        <v>20</v>
      </c>
      <c r="F1" s="2" t="s">
        <v>12</v>
      </c>
      <c r="G1" s="16" t="s">
        <v>21</v>
      </c>
      <c r="H1" s="2" t="s">
        <v>14</v>
      </c>
      <c r="I1" s="2" t="s">
        <v>22</v>
      </c>
      <c r="J1" s="2" t="s">
        <v>23</v>
      </c>
      <c r="K1" s="16" t="s">
        <v>24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19" t="s">
        <v>26</v>
      </c>
      <c r="B2" s="20" t="s">
        <v>13</v>
      </c>
      <c r="C2" s="21" t="s">
        <v>27</v>
      </c>
      <c r="D2" s="19">
        <v>7984.0</v>
      </c>
      <c r="E2" s="19">
        <v>0.0</v>
      </c>
      <c r="F2" s="31">
        <f>D2*1.75%</f>
        <v>139.72</v>
      </c>
      <c r="G2" s="19">
        <v>0.0</v>
      </c>
      <c r="H2" s="15">
        <f>D2-E2-F2-G2</f>
        <v>7844.28</v>
      </c>
      <c r="I2" s="19">
        <v>0.0</v>
      </c>
      <c r="J2" s="15">
        <f>H2-I2</f>
        <v>7844.28</v>
      </c>
      <c r="K2" s="2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37" t="s">
        <v>47</v>
      </c>
      <c r="B3" s="38"/>
      <c r="C3" s="38"/>
      <c r="D3" s="37">
        <f t="shared" ref="D3:J3" si="1">SUM(D2)</f>
        <v>7984</v>
      </c>
      <c r="E3" s="37">
        <f t="shared" si="1"/>
        <v>0</v>
      </c>
      <c r="F3" s="37">
        <f t="shared" si="1"/>
        <v>139.72</v>
      </c>
      <c r="G3" s="37">
        <f t="shared" si="1"/>
        <v>0</v>
      </c>
      <c r="H3" s="37">
        <f t="shared" si="1"/>
        <v>7844.28</v>
      </c>
      <c r="I3" s="37">
        <f t="shared" si="1"/>
        <v>0</v>
      </c>
      <c r="J3" s="37">
        <f t="shared" si="1"/>
        <v>7844.28</v>
      </c>
      <c r="K3" s="2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56" t="s">
        <v>66</v>
      </c>
      <c r="B1" s="56" t="s">
        <v>67</v>
      </c>
      <c r="C1" s="56" t="s">
        <v>18</v>
      </c>
      <c r="D1" s="57" t="s">
        <v>12</v>
      </c>
      <c r="E1" s="47" t="s">
        <v>14</v>
      </c>
    </row>
    <row r="2">
      <c r="A2" s="58" t="s">
        <v>13</v>
      </c>
      <c r="B2" s="58" t="s">
        <v>68</v>
      </c>
      <c r="C2" s="59">
        <v>6500.0</v>
      </c>
      <c r="D2" s="15">
        <f>C2*1.75%</f>
        <v>113.75</v>
      </c>
      <c r="E2" s="15">
        <f>C2-D2</f>
        <v>6386.25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6.5"/>
    <col customWidth="1" min="4" max="4" width="14.75"/>
    <col customWidth="1" min="5" max="5" width="15.25"/>
  </cols>
  <sheetData>
    <row r="1">
      <c r="A1" s="2" t="s">
        <v>0</v>
      </c>
      <c r="B1" s="2" t="s">
        <v>59</v>
      </c>
      <c r="C1" s="60" t="s">
        <v>69</v>
      </c>
      <c r="D1" s="60" t="s">
        <v>70</v>
      </c>
      <c r="E1" s="60" t="s">
        <v>12</v>
      </c>
      <c r="F1" s="60" t="s">
        <v>14</v>
      </c>
    </row>
    <row r="2">
      <c r="A2" s="12">
        <v>46266.0</v>
      </c>
      <c r="B2" s="15">
        <v>35.0</v>
      </c>
      <c r="C2" s="15">
        <f t="shared" ref="C2:C31" si="1">B2*75%</f>
        <v>26.25</v>
      </c>
      <c r="D2" s="15">
        <f t="shared" ref="D2:D31" si="2">B2*25%</f>
        <v>8.75</v>
      </c>
      <c r="E2" s="25">
        <f t="shared" ref="E2:E31" si="3">B2*1.75%</f>
        <v>0.6125</v>
      </c>
      <c r="F2" s="15">
        <f t="shared" ref="F2:F31" si="4">D2-E2</f>
        <v>8.1375</v>
      </c>
    </row>
    <row r="3">
      <c r="A3" s="12">
        <v>46267.0</v>
      </c>
      <c r="B3" s="15">
        <v>0.0</v>
      </c>
      <c r="C3" s="15">
        <f t="shared" si="1"/>
        <v>0</v>
      </c>
      <c r="D3" s="15">
        <f t="shared" si="2"/>
        <v>0</v>
      </c>
      <c r="E3" s="25">
        <f t="shared" si="3"/>
        <v>0</v>
      </c>
      <c r="F3" s="15">
        <f t="shared" si="4"/>
        <v>0</v>
      </c>
    </row>
    <row r="4">
      <c r="A4" s="12">
        <v>46268.0</v>
      </c>
      <c r="B4" s="15">
        <v>0.0</v>
      </c>
      <c r="C4" s="15">
        <f t="shared" si="1"/>
        <v>0</v>
      </c>
      <c r="D4" s="15">
        <f t="shared" si="2"/>
        <v>0</v>
      </c>
      <c r="E4" s="25">
        <f t="shared" si="3"/>
        <v>0</v>
      </c>
      <c r="F4" s="15">
        <f t="shared" si="4"/>
        <v>0</v>
      </c>
    </row>
    <row r="5">
      <c r="A5" s="12">
        <v>46269.0</v>
      </c>
      <c r="B5" s="15">
        <v>0.0</v>
      </c>
      <c r="C5" s="15">
        <f t="shared" si="1"/>
        <v>0</v>
      </c>
      <c r="D5" s="15">
        <f t="shared" si="2"/>
        <v>0</v>
      </c>
      <c r="E5" s="25">
        <f t="shared" si="3"/>
        <v>0</v>
      </c>
      <c r="F5" s="15">
        <f t="shared" si="4"/>
        <v>0</v>
      </c>
    </row>
    <row r="6">
      <c r="A6" s="12">
        <v>46270.0</v>
      </c>
      <c r="B6" s="36">
        <v>70.0</v>
      </c>
      <c r="C6" s="15">
        <f t="shared" si="1"/>
        <v>52.5</v>
      </c>
      <c r="D6" s="15">
        <f t="shared" si="2"/>
        <v>17.5</v>
      </c>
      <c r="E6" s="25">
        <f t="shared" si="3"/>
        <v>1.225</v>
      </c>
      <c r="F6" s="15">
        <f t="shared" si="4"/>
        <v>16.275</v>
      </c>
    </row>
    <row r="7">
      <c r="A7" s="12">
        <v>46271.0</v>
      </c>
      <c r="B7" s="15">
        <v>105.0</v>
      </c>
      <c r="C7" s="15">
        <f t="shared" si="1"/>
        <v>78.75</v>
      </c>
      <c r="D7" s="15">
        <f t="shared" si="2"/>
        <v>26.25</v>
      </c>
      <c r="E7" s="25">
        <f t="shared" si="3"/>
        <v>1.8375</v>
      </c>
      <c r="F7" s="15">
        <f t="shared" si="4"/>
        <v>24.4125</v>
      </c>
    </row>
    <row r="8">
      <c r="A8" s="12">
        <v>46272.0</v>
      </c>
      <c r="B8" s="15">
        <v>350.0</v>
      </c>
      <c r="C8" s="15">
        <f t="shared" si="1"/>
        <v>262.5</v>
      </c>
      <c r="D8" s="15">
        <f t="shared" si="2"/>
        <v>87.5</v>
      </c>
      <c r="E8" s="25">
        <f t="shared" si="3"/>
        <v>6.125</v>
      </c>
      <c r="F8" s="15">
        <f t="shared" si="4"/>
        <v>81.375</v>
      </c>
    </row>
    <row r="9">
      <c r="A9" s="12">
        <v>46273.0</v>
      </c>
      <c r="B9" s="15">
        <v>385.0</v>
      </c>
      <c r="C9" s="15">
        <f t="shared" si="1"/>
        <v>288.75</v>
      </c>
      <c r="D9" s="15">
        <f t="shared" si="2"/>
        <v>96.25</v>
      </c>
      <c r="E9" s="25">
        <f t="shared" si="3"/>
        <v>6.7375</v>
      </c>
      <c r="F9" s="15">
        <f t="shared" si="4"/>
        <v>89.5125</v>
      </c>
    </row>
    <row r="10">
      <c r="A10" s="12">
        <v>46274.0</v>
      </c>
      <c r="B10" s="15">
        <v>0.0</v>
      </c>
      <c r="C10" s="15">
        <f t="shared" si="1"/>
        <v>0</v>
      </c>
      <c r="D10" s="15">
        <f t="shared" si="2"/>
        <v>0</v>
      </c>
      <c r="E10" s="25">
        <f t="shared" si="3"/>
        <v>0</v>
      </c>
      <c r="F10" s="15">
        <f t="shared" si="4"/>
        <v>0</v>
      </c>
    </row>
    <row r="11">
      <c r="A11" s="12">
        <v>46275.0</v>
      </c>
      <c r="B11" s="36">
        <v>335.0</v>
      </c>
      <c r="C11" s="15">
        <f t="shared" si="1"/>
        <v>251.25</v>
      </c>
      <c r="D11" s="15">
        <f t="shared" si="2"/>
        <v>83.75</v>
      </c>
      <c r="E11" s="25">
        <f t="shared" si="3"/>
        <v>5.8625</v>
      </c>
      <c r="F11" s="15">
        <f t="shared" si="4"/>
        <v>77.8875</v>
      </c>
    </row>
    <row r="12">
      <c r="A12" s="12">
        <v>46276.0</v>
      </c>
      <c r="B12" s="15">
        <v>0.0</v>
      </c>
      <c r="C12" s="15">
        <f t="shared" si="1"/>
        <v>0</v>
      </c>
      <c r="D12" s="15">
        <f t="shared" si="2"/>
        <v>0</v>
      </c>
      <c r="E12" s="25">
        <f t="shared" si="3"/>
        <v>0</v>
      </c>
      <c r="F12" s="15">
        <f t="shared" si="4"/>
        <v>0</v>
      </c>
    </row>
    <row r="13">
      <c r="A13" s="12">
        <v>46277.0</v>
      </c>
      <c r="B13" s="15">
        <v>210.0</v>
      </c>
      <c r="C13" s="15">
        <f t="shared" si="1"/>
        <v>157.5</v>
      </c>
      <c r="D13" s="15">
        <f t="shared" si="2"/>
        <v>52.5</v>
      </c>
      <c r="E13" s="25">
        <f t="shared" si="3"/>
        <v>3.675</v>
      </c>
      <c r="F13" s="15">
        <f t="shared" si="4"/>
        <v>48.825</v>
      </c>
    </row>
    <row r="14">
      <c r="A14" s="12">
        <v>46278.0</v>
      </c>
      <c r="B14" s="15">
        <v>210.0</v>
      </c>
      <c r="C14" s="15">
        <f t="shared" si="1"/>
        <v>157.5</v>
      </c>
      <c r="D14" s="15">
        <f t="shared" si="2"/>
        <v>52.5</v>
      </c>
      <c r="E14" s="25">
        <f t="shared" si="3"/>
        <v>3.675</v>
      </c>
      <c r="F14" s="15">
        <f t="shared" si="4"/>
        <v>48.825</v>
      </c>
    </row>
    <row r="15">
      <c r="A15" s="12">
        <v>46279.0</v>
      </c>
      <c r="B15" s="15">
        <v>350.0</v>
      </c>
      <c r="C15" s="15">
        <f t="shared" si="1"/>
        <v>262.5</v>
      </c>
      <c r="D15" s="15">
        <f t="shared" si="2"/>
        <v>87.5</v>
      </c>
      <c r="E15" s="25">
        <f t="shared" si="3"/>
        <v>6.125</v>
      </c>
      <c r="F15" s="15">
        <f t="shared" si="4"/>
        <v>81.375</v>
      </c>
    </row>
    <row r="16">
      <c r="A16" s="12">
        <v>46280.0</v>
      </c>
      <c r="B16" s="15">
        <v>0.0</v>
      </c>
      <c r="C16" s="15">
        <f t="shared" si="1"/>
        <v>0</v>
      </c>
      <c r="D16" s="15">
        <f t="shared" si="2"/>
        <v>0</v>
      </c>
      <c r="E16" s="25">
        <f t="shared" si="3"/>
        <v>0</v>
      </c>
      <c r="F16" s="15">
        <f t="shared" si="4"/>
        <v>0</v>
      </c>
    </row>
    <row r="17">
      <c r="A17" s="12">
        <v>46281.0</v>
      </c>
      <c r="B17" s="15">
        <v>230.0</v>
      </c>
      <c r="C17" s="15">
        <f t="shared" si="1"/>
        <v>172.5</v>
      </c>
      <c r="D17" s="15">
        <f t="shared" si="2"/>
        <v>57.5</v>
      </c>
      <c r="E17" s="25">
        <f t="shared" si="3"/>
        <v>4.025</v>
      </c>
      <c r="F17" s="15">
        <f t="shared" si="4"/>
        <v>53.475</v>
      </c>
    </row>
    <row r="18">
      <c r="A18" s="12">
        <v>46282.0</v>
      </c>
      <c r="B18" s="15">
        <v>0.0</v>
      </c>
      <c r="C18" s="15">
        <f t="shared" si="1"/>
        <v>0</v>
      </c>
      <c r="D18" s="15">
        <f t="shared" si="2"/>
        <v>0</v>
      </c>
      <c r="E18" s="25">
        <f t="shared" si="3"/>
        <v>0</v>
      </c>
      <c r="F18" s="15">
        <f t="shared" si="4"/>
        <v>0</v>
      </c>
    </row>
    <row r="19">
      <c r="A19" s="12">
        <v>46283.0</v>
      </c>
      <c r="B19" s="15">
        <v>105.0</v>
      </c>
      <c r="C19" s="15">
        <f t="shared" si="1"/>
        <v>78.75</v>
      </c>
      <c r="D19" s="15">
        <f t="shared" si="2"/>
        <v>26.25</v>
      </c>
      <c r="E19" s="25">
        <f t="shared" si="3"/>
        <v>1.8375</v>
      </c>
      <c r="F19" s="15">
        <f t="shared" si="4"/>
        <v>24.4125</v>
      </c>
    </row>
    <row r="20">
      <c r="A20" s="12">
        <v>46284.0</v>
      </c>
      <c r="B20" s="15">
        <v>235.0</v>
      </c>
      <c r="C20" s="15">
        <f t="shared" si="1"/>
        <v>176.25</v>
      </c>
      <c r="D20" s="15">
        <f t="shared" si="2"/>
        <v>58.75</v>
      </c>
      <c r="E20" s="25">
        <f t="shared" si="3"/>
        <v>4.1125</v>
      </c>
      <c r="F20" s="15">
        <f t="shared" si="4"/>
        <v>54.6375</v>
      </c>
    </row>
    <row r="21">
      <c r="A21" s="12">
        <v>46285.0</v>
      </c>
      <c r="B21" s="15">
        <v>305.0</v>
      </c>
      <c r="C21" s="15">
        <f t="shared" si="1"/>
        <v>228.75</v>
      </c>
      <c r="D21" s="15">
        <f t="shared" si="2"/>
        <v>76.25</v>
      </c>
      <c r="E21" s="25">
        <f t="shared" si="3"/>
        <v>5.3375</v>
      </c>
      <c r="F21" s="15">
        <f t="shared" si="4"/>
        <v>70.9125</v>
      </c>
    </row>
    <row r="22">
      <c r="A22" s="12">
        <v>46286.0</v>
      </c>
      <c r="B22" s="15">
        <v>235.0</v>
      </c>
      <c r="C22" s="15">
        <f t="shared" si="1"/>
        <v>176.25</v>
      </c>
      <c r="D22" s="15">
        <f t="shared" si="2"/>
        <v>58.75</v>
      </c>
      <c r="E22" s="25">
        <f t="shared" si="3"/>
        <v>4.1125</v>
      </c>
      <c r="F22" s="15">
        <f t="shared" si="4"/>
        <v>54.6375</v>
      </c>
    </row>
    <row r="23">
      <c r="A23" s="12">
        <v>46287.0</v>
      </c>
      <c r="B23" s="15">
        <v>105.0</v>
      </c>
      <c r="C23" s="15">
        <f t="shared" si="1"/>
        <v>78.75</v>
      </c>
      <c r="D23" s="15">
        <f t="shared" si="2"/>
        <v>26.25</v>
      </c>
      <c r="E23" s="25">
        <f t="shared" si="3"/>
        <v>1.8375</v>
      </c>
      <c r="F23" s="15">
        <f t="shared" si="4"/>
        <v>24.4125</v>
      </c>
    </row>
    <row r="24">
      <c r="A24" s="12">
        <v>46288.0</v>
      </c>
      <c r="B24" s="15">
        <v>200.0</v>
      </c>
      <c r="C24" s="15">
        <f t="shared" si="1"/>
        <v>150</v>
      </c>
      <c r="D24" s="15">
        <f t="shared" si="2"/>
        <v>50</v>
      </c>
      <c r="E24" s="25">
        <f t="shared" si="3"/>
        <v>3.5</v>
      </c>
      <c r="F24" s="15">
        <f t="shared" si="4"/>
        <v>46.5</v>
      </c>
    </row>
    <row r="25">
      <c r="A25" s="12">
        <v>46289.0</v>
      </c>
      <c r="B25" s="15">
        <v>0.0</v>
      </c>
      <c r="C25" s="15">
        <f t="shared" si="1"/>
        <v>0</v>
      </c>
      <c r="D25" s="15">
        <f t="shared" si="2"/>
        <v>0</v>
      </c>
      <c r="E25" s="25">
        <f t="shared" si="3"/>
        <v>0</v>
      </c>
      <c r="F25" s="15">
        <f t="shared" si="4"/>
        <v>0</v>
      </c>
    </row>
    <row r="26">
      <c r="A26" s="12">
        <v>46290.0</v>
      </c>
      <c r="B26" s="15">
        <v>70.0</v>
      </c>
      <c r="C26" s="15">
        <f t="shared" si="1"/>
        <v>52.5</v>
      </c>
      <c r="D26" s="15">
        <f t="shared" si="2"/>
        <v>17.5</v>
      </c>
      <c r="E26" s="25">
        <f t="shared" si="3"/>
        <v>1.225</v>
      </c>
      <c r="F26" s="15">
        <f t="shared" si="4"/>
        <v>16.275</v>
      </c>
    </row>
    <row r="27">
      <c r="A27" s="12">
        <v>46291.0</v>
      </c>
      <c r="B27" s="15">
        <v>140.0</v>
      </c>
      <c r="C27" s="15">
        <f t="shared" si="1"/>
        <v>105</v>
      </c>
      <c r="D27" s="15">
        <f t="shared" si="2"/>
        <v>35</v>
      </c>
      <c r="E27" s="25">
        <f t="shared" si="3"/>
        <v>2.45</v>
      </c>
      <c r="F27" s="15">
        <f t="shared" si="4"/>
        <v>32.55</v>
      </c>
    </row>
    <row r="28">
      <c r="A28" s="12">
        <v>46292.0</v>
      </c>
      <c r="B28" s="15">
        <v>260.0</v>
      </c>
      <c r="C28" s="15">
        <f t="shared" si="1"/>
        <v>195</v>
      </c>
      <c r="D28" s="15">
        <f t="shared" si="2"/>
        <v>65</v>
      </c>
      <c r="E28" s="25">
        <f t="shared" si="3"/>
        <v>4.55</v>
      </c>
      <c r="F28" s="15">
        <f t="shared" si="4"/>
        <v>60.45</v>
      </c>
    </row>
    <row r="29">
      <c r="A29" s="12">
        <v>46293.0</v>
      </c>
      <c r="B29" s="15">
        <v>0.0</v>
      </c>
      <c r="C29" s="15">
        <f t="shared" si="1"/>
        <v>0</v>
      </c>
      <c r="D29" s="15">
        <f t="shared" si="2"/>
        <v>0</v>
      </c>
      <c r="E29" s="25">
        <f t="shared" si="3"/>
        <v>0</v>
      </c>
      <c r="F29" s="15">
        <f t="shared" si="4"/>
        <v>0</v>
      </c>
    </row>
    <row r="30">
      <c r="A30" s="12">
        <v>46294.0</v>
      </c>
      <c r="B30" s="15">
        <v>245.0</v>
      </c>
      <c r="C30" s="15">
        <f t="shared" si="1"/>
        <v>183.75</v>
      </c>
      <c r="D30" s="15">
        <f t="shared" si="2"/>
        <v>61.25</v>
      </c>
      <c r="E30" s="25">
        <f t="shared" si="3"/>
        <v>4.2875</v>
      </c>
      <c r="F30" s="15">
        <f t="shared" si="4"/>
        <v>56.9625</v>
      </c>
    </row>
    <row r="31">
      <c r="A31" s="12">
        <v>46295.0</v>
      </c>
      <c r="B31" s="36">
        <v>105.0</v>
      </c>
      <c r="C31" s="15">
        <f t="shared" si="1"/>
        <v>78.75</v>
      </c>
      <c r="D31" s="15">
        <f t="shared" si="2"/>
        <v>26.25</v>
      </c>
      <c r="E31" s="25">
        <f t="shared" si="3"/>
        <v>1.8375</v>
      </c>
      <c r="F31" s="15">
        <f t="shared" si="4"/>
        <v>24.4125</v>
      </c>
    </row>
    <row r="32">
      <c r="A32" s="2" t="s">
        <v>47</v>
      </c>
      <c r="B32" s="37">
        <f t="shared" ref="B32:F32" si="5">SUM(B2:B31)</f>
        <v>4285</v>
      </c>
      <c r="C32" s="37">
        <f t="shared" si="5"/>
        <v>3213.75</v>
      </c>
      <c r="D32" s="37">
        <f t="shared" si="5"/>
        <v>1071.25</v>
      </c>
      <c r="E32" s="37">
        <f t="shared" si="5"/>
        <v>74.9875</v>
      </c>
      <c r="F32" s="37">
        <f t="shared" si="5"/>
        <v>996.2625</v>
      </c>
    </row>
  </sheetData>
  <drawing r:id="rId1"/>
</worksheet>
</file>