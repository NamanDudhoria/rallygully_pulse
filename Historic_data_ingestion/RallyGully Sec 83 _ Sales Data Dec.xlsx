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  <sheet state="visible" name="Membership" sheetId="9" r:id="rId13"/>
    <sheet state="visible" name="Brand Activation" sheetId="10" r:id="rId14"/>
    <sheet state="visible" name="Corporate Event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740 RECEIVED OFFLINE
</t>
      </text>
    </comment>
  </commentList>
</comments>
</file>

<file path=xl/sharedStrings.xml><?xml version="1.0" encoding="utf-8"?>
<sst xmlns="http://schemas.openxmlformats.org/spreadsheetml/2006/main" count="180" uniqueCount="92">
  <si>
    <t>Link</t>
  </si>
  <si>
    <t>Date</t>
  </si>
  <si>
    <t>Date: 1st - 31st Dec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</si>
  <si>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</si>
  <si>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</si>
  <si>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</si>
  <si>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</si>
  <si>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</si>
  <si>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</si>
  <si>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Particulars</t>
  </si>
  <si>
    <t>Total Revenue</t>
  </si>
  <si>
    <t>Amount</t>
  </si>
  <si>
    <t>Monday</t>
  </si>
  <si>
    <t>Offline</t>
  </si>
  <si>
    <t>25% B, 25% P</t>
  </si>
  <si>
    <t>Paid to Playo (₹)</t>
  </si>
  <si>
    <t>Commissions (₹)</t>
  </si>
  <si>
    <t>Paid to Hudle</t>
  </si>
  <si>
    <t>GST (₹)</t>
  </si>
  <si>
    <t>Commisions (Including GST)</t>
  </si>
  <si>
    <t>Net Revenue</t>
  </si>
  <si>
    <t>TDS (₹)</t>
  </si>
  <si>
    <t>TCS (₹)</t>
  </si>
  <si>
    <t>Final Amount (₹)</t>
  </si>
  <si>
    <t>1 - 15 Dec</t>
  </si>
  <si>
    <t>TDS</t>
  </si>
  <si>
    <t>TCS</t>
  </si>
  <si>
    <t>Rentals</t>
  </si>
  <si>
    <t>Tuesday</t>
  </si>
  <si>
    <t>1 - 8 Dec</t>
  </si>
  <si>
    <t>Wednesday</t>
  </si>
  <si>
    <t>Thursday</t>
  </si>
  <si>
    <t>F&amp;B</t>
  </si>
  <si>
    <t>Friday</t>
  </si>
  <si>
    <t>Product Sales</t>
  </si>
  <si>
    <t>Saturday</t>
  </si>
  <si>
    <t>15 - 31 Dec</t>
  </si>
  <si>
    <t>Bookings</t>
  </si>
  <si>
    <t>Sunday</t>
  </si>
  <si>
    <t>Online: Third Party Platform</t>
  </si>
  <si>
    <t>9 - 16 Dec</t>
  </si>
  <si>
    <t>16  - 23 Dec</t>
  </si>
  <si>
    <t>Hudle</t>
  </si>
  <si>
    <t>23 - 31 Dec</t>
  </si>
  <si>
    <t>Playo</t>
  </si>
  <si>
    <t>District</t>
  </si>
  <si>
    <t>Khelomore</t>
  </si>
  <si>
    <t>Community</t>
  </si>
  <si>
    <t>Courtly</t>
  </si>
  <si>
    <t>Sportomic</t>
  </si>
  <si>
    <t>Rallygully Community games</t>
  </si>
  <si>
    <t>Misfits Community</t>
  </si>
  <si>
    <t>25% B, 50% P</t>
  </si>
  <si>
    <t>Memberships</t>
  </si>
  <si>
    <t>Corporate Events</t>
  </si>
  <si>
    <t>Brand Activation</t>
  </si>
  <si>
    <t>Other Income</t>
  </si>
  <si>
    <t>Total Gross Revenue</t>
  </si>
  <si>
    <t>Total</t>
  </si>
  <si>
    <t>Total Net Revenue (Post Commissions)</t>
  </si>
  <si>
    <t>Total Revenue post GST</t>
  </si>
  <si>
    <t>Paid to District</t>
  </si>
  <si>
    <t>GST on Commission</t>
  </si>
  <si>
    <t>1 - 31 Dec</t>
  </si>
  <si>
    <t>Paid to Khelomore (₹)</t>
  </si>
  <si>
    <t>Paid to Misfits (₹)</t>
  </si>
  <si>
    <t>Post Comission (20%)</t>
  </si>
  <si>
    <t>Paid to Sportomic (₹)</t>
  </si>
  <si>
    <t xml:space="preserve">TDS </t>
  </si>
  <si>
    <t>Date &amp; Day</t>
  </si>
  <si>
    <t>Brand Name</t>
  </si>
  <si>
    <t>Timings</t>
  </si>
  <si>
    <t>Type of collab</t>
  </si>
  <si>
    <t>Member Name</t>
  </si>
  <si>
    <t>Sports Type</t>
  </si>
  <si>
    <t>Membership Type</t>
  </si>
  <si>
    <t>Start Date</t>
  </si>
  <si>
    <t>Amount Collected</t>
  </si>
  <si>
    <t>Indian School of hospitality</t>
  </si>
  <si>
    <t>Pickle &amp; Box</t>
  </si>
  <si>
    <t>Collab</t>
  </si>
  <si>
    <t>Sunil</t>
  </si>
  <si>
    <t>Box Cricket</t>
  </si>
  <si>
    <t>Custom</t>
  </si>
  <si>
    <t>Arshdeep</t>
  </si>
  <si>
    <t>Pickleball</t>
  </si>
  <si>
    <t>Rally Pack (15)</t>
  </si>
  <si>
    <t>Type</t>
  </si>
  <si>
    <t>Deliverables</t>
  </si>
  <si>
    <t>Team Event</t>
  </si>
  <si>
    <t>Reel, Linkedin</t>
  </si>
  <si>
    <t xml:space="preserve">Only Space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</si>
</sst>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sz val="10.0"/>
      <color rgb="FF000000"/>
      <name val="Arial"/>
    </font>
    <font>
      <color theme="1"/>
      <name val="Arial"/>
    </font>
    <font>
      <b/>
      <u/>
      <color rgb="FF0000FF"/>
      <name val="Arial"/>
    </font>
    <font>
      <sz val="10.0"/>
      <color theme="1"/>
      <name val="Arial"/>
    </font>
    <font>
      <b/>
      <u/>
      <color rgb="FF1155CC"/>
      <name val="Arial"/>
    </font>
    <font>
      <b/>
      <sz val="11.0"/>
      <color theme="1"/>
      <name val="Calibri"/>
    </font>
    <font>
      <b/>
      <u/>
      <color rgb="FF0000F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0" fillId="0" fontId="4" numFmtId="0" xfId="0" applyFont="1"/>
    <xf borderId="3" fillId="0" fontId="2" numFmtId="0" xfId="0" applyAlignment="1" applyBorder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9" xfId="0" applyAlignment="1" applyFont="1" applyNumberFormat="1">
      <alignment horizontal="right" vertical="bottom"/>
    </xf>
    <xf borderId="0" fillId="2" fontId="6" numFmtId="0" xfId="0" applyAlignment="1" applyFill="1" applyFont="1">
      <alignment horizontal="center" readingOrder="0" vertical="bottom"/>
    </xf>
    <xf borderId="3" fillId="2" fontId="2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3" fillId="0" fontId="2" numFmtId="165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vertical="bottom"/>
    </xf>
    <xf borderId="3" fillId="0" fontId="5" numFmtId="166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horizontal="right" readingOrder="0" vertical="bottom"/>
    </xf>
    <xf borderId="0" fillId="0" fontId="5" numFmtId="3" xfId="0" applyAlignment="1" applyFont="1" applyNumberFormat="1">
      <alignment horizontal="right" vertical="bottom"/>
    </xf>
    <xf borderId="3" fillId="0" fontId="5" numFmtId="167" xfId="0" applyAlignment="1" applyBorder="1" applyFont="1" applyNumberFormat="1">
      <alignment readingOrder="0" vertical="bottom"/>
    </xf>
    <xf borderId="3" fillId="0" fontId="5" numFmtId="165" xfId="0" applyAlignment="1" applyBorder="1" applyFont="1" applyNumberFormat="1">
      <alignment horizontal="right" vertical="bottom"/>
    </xf>
    <xf borderId="3" fillId="0" fontId="5" numFmtId="165" xfId="0" applyAlignment="1" applyBorder="1" applyFont="1" applyNumberFormat="1">
      <alignment horizontal="right" readingOrder="0" vertical="bottom"/>
    </xf>
    <xf borderId="3" fillId="0" fontId="5" numFmtId="167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3" fillId="0" fontId="5" numFmtId="166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3" fillId="0" fontId="7" numFmtId="0" xfId="0" applyAlignment="1" applyBorder="1" applyFont="1">
      <alignment shrinkToFit="0" vertical="bottom" wrapText="0"/>
    </xf>
    <xf borderId="3" fillId="0" fontId="5" numFmtId="4" xfId="0" applyAlignment="1" applyBorder="1" applyFont="1" applyNumberFormat="1">
      <alignment horizontal="right" readingOrder="0" vertical="bottom"/>
    </xf>
    <xf borderId="3" fillId="0" fontId="5" numFmtId="4" xfId="0" applyAlignment="1" applyBorder="1" applyFont="1" applyNumberFormat="1">
      <alignment readingOrder="0" vertical="bottom"/>
    </xf>
    <xf borderId="3" fillId="0" fontId="2" numFmtId="167" xfId="0" applyAlignment="1" applyBorder="1" applyFont="1" applyNumberFormat="1">
      <alignment horizontal="right" vertical="bottom"/>
    </xf>
    <xf borderId="3" fillId="0" fontId="5" numFmtId="167" xfId="0" applyAlignment="1" applyBorder="1" applyFont="1" applyNumberFormat="1">
      <alignment horizontal="right" readingOrder="0" vertical="bottom"/>
    </xf>
    <xf borderId="3" fillId="0" fontId="2" numFmtId="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readingOrder="0" vertical="bottom"/>
    </xf>
    <xf borderId="3" fillId="0" fontId="5" numFmtId="4" xfId="0" applyAlignment="1" applyBorder="1" applyFont="1" applyNumberFormat="1">
      <alignment vertical="bottom"/>
    </xf>
    <xf borderId="3" fillId="0" fontId="5" numFmtId="166" xfId="0" applyAlignment="1" applyBorder="1" applyFont="1" applyNumberFormat="1">
      <alignment vertical="bottom"/>
    </xf>
    <xf borderId="3" fillId="0" fontId="2" numFmtId="165" xfId="0" applyAlignment="1" applyBorder="1" applyFont="1" applyNumberFormat="1">
      <alignment horizontal="right" readingOrder="0" vertical="bottom"/>
    </xf>
    <xf borderId="3" fillId="0" fontId="2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readingOrder="0" vertical="bottom"/>
    </xf>
    <xf borderId="0" fillId="2" fontId="5" numFmtId="0" xfId="0" applyAlignment="1" applyFill="1" applyFont="1">
      <alignment vertical="bottom"/>
    </xf>
    <xf borderId="3" fillId="0" fontId="5" numFmtId="0" xfId="0" applyAlignment="1" applyBorder="1" applyFont="1">
      <alignment shrinkToFit="0" vertical="bottom" wrapText="1"/>
    </xf>
    <xf borderId="3" fillId="0" fontId="2" numFmtId="3" xfId="0" applyAlignment="1" applyBorder="1" applyFont="1" applyNumberFormat="1">
      <alignment horizontal="right" vertical="bottom"/>
    </xf>
    <xf borderId="0" fillId="2" fontId="8" numFmtId="0" xfId="0" applyAlignment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0" fillId="2" fontId="9" numFmtId="0" xfId="0" applyAlignment="1" applyFill="1" applyFont="1">
      <alignment vertical="bottom"/>
    </xf>
    <xf borderId="3" fillId="2" fontId="10" numFmtId="0" xfId="0" applyAlignment="1" applyBorder="1" applyFill="1" applyFont="1">
      <alignment horizontal="center" readingOrder="0" vertical="bottom"/>
    </xf>
    <xf borderId="0" fillId="0" fontId="5" numFmtId="164" xfId="0" applyAlignment="1" applyFont="1" applyNumberFormat="1">
      <alignment vertical="bottom"/>
    </xf>
    <xf borderId="3" fillId="2" fontId="2" numFmtId="0" xfId="0" applyAlignment="1" applyBorder="1" applyFill="1" applyFont="1">
      <alignment horizontal="center" vertical="bottom"/>
    </xf>
    <xf borderId="3" fillId="0" fontId="5" numFmtId="0" xfId="0" applyAlignment="1" applyBorder="1" applyFont="1">
      <alignment vertical="bottom"/>
    </xf>
    <xf borderId="3" fillId="2" fontId="2" numFmtId="0" xfId="0" applyAlignment="1" applyBorder="1" applyFill="1" applyFont="1">
      <alignment horizontal="center" readingOrder="0" vertical="bottom"/>
    </xf>
    <xf borderId="3" fillId="0" fontId="5" numFmtId="164" xfId="0" applyAlignment="1" applyBorder="1" applyFont="1" applyNumberFormat="1">
      <alignment horizontal="right" vertical="bottom"/>
    </xf>
    <xf borderId="0" fillId="0" fontId="11" numFmtId="164" xfId="0" applyAlignment="1" applyFont="1" applyNumberFormat="1">
      <alignment readingOrder="0"/>
    </xf>
    <xf borderId="3" fillId="0" fontId="9" numFmtId="0" xfId="0" applyAlignment="1" applyBorder="1" applyFont="1">
      <alignment horizontal="right" vertical="bottom"/>
    </xf>
    <xf borderId="0" fillId="0" fontId="12" numFmtId="0" xfId="0" applyFont="1"/>
    <xf borderId="0" fillId="0" fontId="12" numFmtId="0" xfId="0" applyAlignment="1" applyFont="1">
      <alignment horizontal="center" readingOrder="0"/>
    </xf>
    <xf borderId="3" fillId="0" fontId="5" numFmtId="167" xfId="0" applyAlignment="1" applyBorder="1" applyFont="1" applyNumberFormat="1">
      <alignment vertical="bottom"/>
    </xf>
    <xf borderId="0" fillId="0" fontId="12" numFmtId="165" xfId="0" applyFont="1" applyNumberFormat="1"/>
    <xf borderId="3" fillId="0" fontId="2" numFmtId="0" xfId="0" applyAlignment="1" applyBorder="1" applyFont="1">
      <alignment horizontal="right" vertical="bottom"/>
    </xf>
    <xf borderId="3" fillId="2" fontId="2" numFmtId="0" xfId="0" applyAlignment="1" applyBorder="1" applyFill="1" applyFont="1">
      <alignment horizontal="right" vertical="bottom"/>
    </xf>
    <xf borderId="3" fillId="0" fontId="11" numFmtId="0" xfId="0" applyAlignment="1" applyBorder="1" applyFont="1">
      <alignment readingOrder="0"/>
    </xf>
    <xf borderId="3" fillId="0" fontId="11" numFmtId="164" xfId="0" applyAlignment="1" applyBorder="1" applyFont="1" applyNumberFormat="1">
      <alignment readingOrder="0"/>
    </xf>
    <xf borderId="3" fillId="0" fontId="5" numFmtId="164" xfId="0" applyAlignment="1" applyBorder="1" applyFont="1" applyNumberFormat="1">
      <alignment vertical="bottom"/>
    </xf>
    <xf borderId="3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3" fillId="2" fontId="12" numFmtId="0" xfId="0" applyAlignment="1" applyBorder="1" applyFill="1" applyFont="1">
      <alignment horizontal="center" readingOrder="0"/>
    </xf>
    <xf borderId="3" fillId="2" fontId="12" numFmtId="0" xfId="0" applyAlignment="1" applyBorder="1" applyFill="1" applyFont="1">
      <alignment horizontal="center"/>
    </xf>
    <xf borderId="3" fillId="2" fontId="12" numFmtId="166" xfId="0" applyAlignment="1" applyBorder="1" applyFill="1" applyFont="1" applyNumberFormat="1">
      <alignment horizontal="center"/>
    </xf>
    <xf borderId="0" fillId="0" fontId="11" numFmtId="0" xfId="0" applyAlignment="1" applyFont="1">
      <alignment readingOrder="0"/>
    </xf>
    <xf borderId="0" fillId="0" fontId="1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HKU1ST88wC7Rvh2DmccLuArchm6aZ5NOnNP50kPnRlw/edit?usp=sharing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9Wa28gIIbCIp9MAL_vgaQwWHx04GsbZsnm-w7Q_JWg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4" width="12.63"/>
  </cols>
  <sheetData>
    <row r="1" ht="15.75" customHeight="1">
      <c r="A1" s="1"/>
    </row>
    <row r="2" ht="15.75" customHeight="1">
      <c r="B2" s="3" t="s">
        <v>2</v>
      </c>
      <c r="C2" s="4"/>
    </row>
    <row r="3" ht="15.75" customHeight="1">
      <c r="A3" s="5"/>
      <c r="B3" s="6" t="s">
        <v>9</v>
      </c>
      <c r="C3" s="6" t="s">
        <v>11</v>
      </c>
    </row>
    <row r="4" ht="15.75" customHeight="1">
      <c r="A4" s="5"/>
      <c r="B4" s="10" t="s">
        <v>13</v>
      </c>
      <c r="C4" s="17">
        <f>SUM(C5,C6,C7,C8)</f>
        <v>79990</v>
      </c>
    </row>
    <row r="5" ht="15.75" customHeight="1" outlineLevel="1">
      <c r="A5" s="5"/>
      <c r="B5" s="19" t="s">
        <v>27</v>
      </c>
      <c r="C5" s="24">
        <f>'Offline &amp; RG Community'!G33</f>
        <v>7725</v>
      </c>
    </row>
    <row r="6" ht="15.75" customHeight="1" outlineLevel="1">
      <c r="A6" s="5"/>
      <c r="B6" s="19" t="s">
        <v>32</v>
      </c>
      <c r="C6" s="25">
        <v>0.0</v>
      </c>
    </row>
    <row r="7" ht="15.75" customHeight="1" outlineLevel="1">
      <c r="A7" s="5"/>
      <c r="B7" s="19" t="s">
        <v>34</v>
      </c>
      <c r="C7" s="25">
        <f>0</f>
        <v>0</v>
      </c>
    </row>
    <row r="8" ht="15.75" customHeight="1" outlineLevel="1">
      <c r="A8" s="5"/>
      <c r="B8" s="19" t="s">
        <v>37</v>
      </c>
      <c r="C8" s="24">
        <f>'Offline &amp; RG Community'!E33</f>
        <v>72265</v>
      </c>
    </row>
    <row r="9" ht="15.75" customHeight="1">
      <c r="A9" s="5"/>
      <c r="B9" s="10" t="s">
        <v>39</v>
      </c>
      <c r="C9" s="17">
        <f>SUM(C10:C13)</f>
        <v>39150</v>
      </c>
    </row>
    <row r="10" ht="15.75" customHeight="1" outlineLevel="1">
      <c r="B10" s="19" t="s">
        <v>42</v>
      </c>
      <c r="C10" s="24">
        <f>Hudle!C7</f>
        <v>34800</v>
      </c>
    </row>
    <row r="11" ht="15.75" customHeight="1" outlineLevel="1">
      <c r="B11" s="19" t="s">
        <v>44</v>
      </c>
      <c r="C11" s="24">
        <f>Playo!C7</f>
        <v>2050</v>
      </c>
    </row>
    <row r="12" ht="15.75" customHeight="1" outlineLevel="1">
      <c r="B12" s="19" t="s">
        <v>45</v>
      </c>
      <c r="C12" s="25">
        <f>District!C4</f>
        <v>2300</v>
      </c>
    </row>
    <row r="13" ht="15.75" customHeight="1" outlineLevel="1">
      <c r="B13" s="19" t="s">
        <v>46</v>
      </c>
      <c r="C13" s="25">
        <f>Khelomore!C4</f>
        <v>0</v>
      </c>
    </row>
    <row r="14" ht="15.75" customHeight="1">
      <c r="B14" s="37" t="s">
        <v>47</v>
      </c>
      <c r="C14" s="40">
        <f>sum(C16:C18)</f>
        <v>1500</v>
      </c>
    </row>
    <row r="15" ht="15.75" customHeight="1" outlineLevel="1">
      <c r="B15" s="18" t="s">
        <v>48</v>
      </c>
      <c r="C15" s="25">
        <v>0.0</v>
      </c>
    </row>
    <row r="16" ht="15.75" customHeight="1" outlineLevel="1">
      <c r="B16" s="18" t="s">
        <v>49</v>
      </c>
      <c r="C16" s="25">
        <f>Sportomic!C2</f>
        <v>320</v>
      </c>
    </row>
    <row r="17" ht="15.75" customHeight="1" outlineLevel="1">
      <c r="A17" s="5"/>
      <c r="B17" s="19" t="s">
        <v>50</v>
      </c>
      <c r="C17" s="25">
        <f>'Offline &amp; RG Community'!F33</f>
        <v>360</v>
      </c>
    </row>
    <row r="18" ht="15.75" customHeight="1" outlineLevel="1">
      <c r="B18" s="19" t="s">
        <v>51</v>
      </c>
      <c r="C18" s="25">
        <f>Misfits!C2</f>
        <v>820</v>
      </c>
    </row>
    <row r="19" ht="15.75" customHeight="1">
      <c r="B19" s="10" t="s">
        <v>53</v>
      </c>
      <c r="C19" s="17">
        <f>Membership!E5</f>
        <v>29660</v>
      </c>
    </row>
    <row r="20" ht="15.75" customHeight="1">
      <c r="B20" s="10" t="s">
        <v>54</v>
      </c>
      <c r="C20" s="25">
        <f>'Corporate Events'!E4</f>
        <v>20680</v>
      </c>
    </row>
    <row r="21" ht="15.75" customHeight="1">
      <c r="B21" s="10" t="s">
        <v>55</v>
      </c>
      <c r="C21" s="25">
        <v>0.0</v>
      </c>
    </row>
    <row r="22" ht="15.75" customHeight="1">
      <c r="B22" s="42" t="s">
        <v>56</v>
      </c>
      <c r="C22" s="43">
        <v>0.0</v>
      </c>
    </row>
    <row r="23" ht="15.75" customHeight="1">
      <c r="B23" s="10" t="s">
        <v>57</v>
      </c>
      <c r="C23" s="17">
        <f>sum(C21,C22,C20, C19,C14,C9,C4)</f>
        <v>170980</v>
      </c>
    </row>
    <row r="24" ht="15.75" customHeight="1">
      <c r="B24" s="45" t="s">
        <v>59</v>
      </c>
      <c r="C24" s="46">
        <f>'Offline &amp; RG Community'!H33 + Hudle!E7 +Playo!F7 +District!F4 + Misfits!F3 +Sportomic!D2 +Membership!E5 +'Corporate Events'!E4</f>
        <v>165970.3</v>
      </c>
    </row>
    <row r="25" ht="15.75" customHeight="1">
      <c r="B25" s="10" t="s">
        <v>60</v>
      </c>
      <c r="C25" s="17">
        <f>C24/1.18</f>
        <v>140652.7966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6.25"/>
    <col customWidth="1" min="2" max="2" width="9.75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12.25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7" t="s">
        <v>10</v>
      </c>
    </row>
    <row r="2" ht="15.75" customHeight="1">
      <c r="A2" s="8">
        <v>45992.0</v>
      </c>
      <c r="B2" s="9" t="s">
        <v>12</v>
      </c>
      <c r="C2" s="11">
        <v>0.0</v>
      </c>
      <c r="D2" s="12" t="s">
        <v>14</v>
      </c>
      <c r="E2" s="11">
        <v>0.0</v>
      </c>
      <c r="F2" s="11">
        <v>0.0</v>
      </c>
      <c r="G2" s="11">
        <v>0.0</v>
      </c>
      <c r="H2" s="16">
        <f t="shared" ref="H2:H32" si="1">sum(E2:G2)</f>
        <v>0</v>
      </c>
    </row>
    <row r="3" ht="15.75" customHeight="1">
      <c r="A3" s="8">
        <v>45993.0</v>
      </c>
      <c r="B3" s="9" t="s">
        <v>28</v>
      </c>
      <c r="C3" s="11">
        <v>1.0</v>
      </c>
      <c r="D3" s="12" t="s">
        <v>14</v>
      </c>
      <c r="E3" s="22">
        <v>560.0</v>
      </c>
      <c r="F3" s="11">
        <v>0.0</v>
      </c>
      <c r="G3" s="22">
        <v>100.0</v>
      </c>
      <c r="H3" s="22">
        <f t="shared" si="1"/>
        <v>660</v>
      </c>
    </row>
    <row r="4" ht="15.75" customHeight="1">
      <c r="A4" s="8">
        <v>45994.0</v>
      </c>
      <c r="B4" s="9" t="s">
        <v>30</v>
      </c>
      <c r="C4" s="11">
        <v>2.5</v>
      </c>
      <c r="D4" s="12" t="s">
        <v>14</v>
      </c>
      <c r="E4" s="11">
        <v>1400.0</v>
      </c>
      <c r="F4" s="11">
        <v>0.0</v>
      </c>
      <c r="G4" s="11">
        <v>300.0</v>
      </c>
      <c r="H4" s="16">
        <f t="shared" si="1"/>
        <v>1700</v>
      </c>
    </row>
    <row r="5" ht="15.75" customHeight="1">
      <c r="A5" s="8">
        <v>45995.0</v>
      </c>
      <c r="B5" s="9" t="s">
        <v>31</v>
      </c>
      <c r="C5" s="11">
        <v>4.0</v>
      </c>
      <c r="D5" s="12" t="s">
        <v>14</v>
      </c>
      <c r="E5" s="11">
        <v>2980.0</v>
      </c>
      <c r="F5" s="11">
        <v>0.0</v>
      </c>
      <c r="G5" s="11">
        <v>200.0</v>
      </c>
      <c r="H5" s="16">
        <f t="shared" si="1"/>
        <v>3180</v>
      </c>
    </row>
    <row r="6" ht="15.75" customHeight="1">
      <c r="A6" s="8">
        <v>45996.0</v>
      </c>
      <c r="B6" s="9" t="s">
        <v>33</v>
      </c>
      <c r="C6" s="11">
        <v>4.0</v>
      </c>
      <c r="D6" s="12" t="s">
        <v>14</v>
      </c>
      <c r="E6" s="22">
        <v>3000.0</v>
      </c>
      <c r="F6" s="11">
        <v>0.0</v>
      </c>
      <c r="G6" s="22">
        <v>275.0</v>
      </c>
      <c r="H6" s="22">
        <f t="shared" si="1"/>
        <v>3275</v>
      </c>
    </row>
    <row r="7" ht="15.75" customHeight="1">
      <c r="A7" s="8">
        <v>45997.0</v>
      </c>
      <c r="B7" s="9" t="s">
        <v>35</v>
      </c>
      <c r="C7" s="11">
        <v>3.5</v>
      </c>
      <c r="D7" s="12" t="s">
        <v>14</v>
      </c>
      <c r="E7" s="22">
        <v>3280.0</v>
      </c>
      <c r="F7" s="11">
        <v>0.0</v>
      </c>
      <c r="G7" s="22">
        <v>450.0</v>
      </c>
      <c r="H7" s="22">
        <f t="shared" si="1"/>
        <v>3730</v>
      </c>
    </row>
    <row r="8" ht="15.75" customHeight="1">
      <c r="A8" s="8">
        <v>45998.0</v>
      </c>
      <c r="B8" s="9" t="s">
        <v>38</v>
      </c>
      <c r="C8" s="11">
        <v>0.5</v>
      </c>
      <c r="D8" s="12" t="s">
        <v>14</v>
      </c>
      <c r="E8" s="22">
        <v>300.0</v>
      </c>
      <c r="F8" s="11">
        <v>160.0</v>
      </c>
      <c r="G8" s="22">
        <v>200.0</v>
      </c>
      <c r="H8" s="22">
        <f t="shared" si="1"/>
        <v>660</v>
      </c>
    </row>
    <row r="9" ht="15.75" customHeight="1">
      <c r="A9" s="8">
        <v>45999.0</v>
      </c>
      <c r="B9" s="9" t="s">
        <v>12</v>
      </c>
      <c r="C9" s="11">
        <v>6.0</v>
      </c>
      <c r="D9" s="12" t="s">
        <v>14</v>
      </c>
      <c r="E9" s="22">
        <v>2700.0</v>
      </c>
      <c r="F9" s="11">
        <v>0.0</v>
      </c>
      <c r="G9" s="22">
        <v>350.0</v>
      </c>
      <c r="H9" s="22">
        <f t="shared" si="1"/>
        <v>3050</v>
      </c>
    </row>
    <row r="10" ht="15.75" customHeight="1">
      <c r="A10" s="8">
        <v>46000.0</v>
      </c>
      <c r="B10" s="9" t="s">
        <v>28</v>
      </c>
      <c r="C10" s="11">
        <v>3.5</v>
      </c>
      <c r="D10" s="12" t="s">
        <v>14</v>
      </c>
      <c r="E10" s="22">
        <v>2100.0</v>
      </c>
      <c r="F10" s="11">
        <v>0.0</v>
      </c>
      <c r="G10" s="22">
        <v>100.0</v>
      </c>
      <c r="H10" s="22">
        <f t="shared" si="1"/>
        <v>2200</v>
      </c>
    </row>
    <row r="11" ht="15.75" customHeight="1">
      <c r="A11" s="8">
        <v>46001.0</v>
      </c>
      <c r="B11" s="9" t="s">
        <v>30</v>
      </c>
      <c r="C11" s="11">
        <v>0.0</v>
      </c>
      <c r="D11" s="12" t="s">
        <v>14</v>
      </c>
      <c r="E11" s="30">
        <v>0.0</v>
      </c>
      <c r="F11" s="30">
        <v>0.0</v>
      </c>
      <c r="G11" s="30">
        <v>0.0</v>
      </c>
      <c r="H11" s="16">
        <f t="shared" si="1"/>
        <v>0</v>
      </c>
    </row>
    <row r="12" ht="15.75" customHeight="1">
      <c r="A12" s="8">
        <v>46002.0</v>
      </c>
      <c r="B12" s="9" t="s">
        <v>31</v>
      </c>
      <c r="C12" s="11">
        <v>4.5</v>
      </c>
      <c r="D12" s="12" t="s">
        <v>14</v>
      </c>
      <c r="E12" s="22">
        <v>3900.0</v>
      </c>
      <c r="F12" s="11">
        <v>0.0</v>
      </c>
      <c r="G12" s="22">
        <v>400.0</v>
      </c>
      <c r="H12" s="22">
        <f t="shared" si="1"/>
        <v>4300</v>
      </c>
    </row>
    <row r="13" ht="15.75" customHeight="1">
      <c r="A13" s="8">
        <v>46003.0</v>
      </c>
      <c r="B13" s="9" t="s">
        <v>33</v>
      </c>
      <c r="C13" s="11">
        <v>3.0</v>
      </c>
      <c r="D13" s="12" t="s">
        <v>14</v>
      </c>
      <c r="E13" s="22">
        <v>2600.0</v>
      </c>
      <c r="F13" s="11">
        <v>0.0</v>
      </c>
      <c r="G13" s="22">
        <v>300.0</v>
      </c>
      <c r="H13" s="22">
        <f t="shared" si="1"/>
        <v>2900</v>
      </c>
    </row>
    <row r="14" ht="15.75" customHeight="1">
      <c r="A14" s="8">
        <v>46004.0</v>
      </c>
      <c r="B14" s="9" t="s">
        <v>35</v>
      </c>
      <c r="C14" s="11">
        <v>3.5</v>
      </c>
      <c r="D14" s="12" t="s">
        <v>14</v>
      </c>
      <c r="E14" s="22">
        <v>2625.0</v>
      </c>
      <c r="F14" s="11">
        <v>0.0</v>
      </c>
      <c r="G14" s="22">
        <v>450.0</v>
      </c>
      <c r="H14" s="22">
        <f t="shared" si="1"/>
        <v>3075</v>
      </c>
    </row>
    <row r="15" ht="15.75" customHeight="1">
      <c r="A15" s="8">
        <v>46005.0</v>
      </c>
      <c r="B15" s="9" t="s">
        <v>38</v>
      </c>
      <c r="C15" s="11">
        <v>4.0</v>
      </c>
      <c r="D15" s="12" t="s">
        <v>14</v>
      </c>
      <c r="E15" s="11">
        <v>1670.0</v>
      </c>
      <c r="F15" s="11">
        <v>200.0</v>
      </c>
      <c r="G15" s="11">
        <v>100.0</v>
      </c>
      <c r="H15" s="16">
        <f t="shared" si="1"/>
        <v>1970</v>
      </c>
    </row>
    <row r="16" ht="15.75" customHeight="1">
      <c r="A16" s="8">
        <v>46006.0</v>
      </c>
      <c r="B16" s="9" t="s">
        <v>12</v>
      </c>
      <c r="C16" s="11">
        <v>0.5</v>
      </c>
      <c r="D16" s="11" t="s">
        <v>14</v>
      </c>
      <c r="E16" s="22">
        <v>300.0</v>
      </c>
      <c r="F16" s="11">
        <v>0.0</v>
      </c>
      <c r="G16" s="22">
        <v>0.0</v>
      </c>
      <c r="H16" s="22">
        <f t="shared" si="1"/>
        <v>300</v>
      </c>
    </row>
    <row r="17" ht="15.75" customHeight="1">
      <c r="A17" s="8">
        <v>46007.0</v>
      </c>
      <c r="B17" s="9" t="s">
        <v>28</v>
      </c>
      <c r="C17" s="11">
        <v>2.5</v>
      </c>
      <c r="D17" s="11" t="s">
        <v>14</v>
      </c>
      <c r="E17" s="22">
        <v>1800.0</v>
      </c>
      <c r="F17" s="11">
        <v>0.0</v>
      </c>
      <c r="G17" s="22">
        <v>175.0</v>
      </c>
      <c r="H17" s="22">
        <f t="shared" si="1"/>
        <v>1975</v>
      </c>
    </row>
    <row r="18" ht="15.75" customHeight="1">
      <c r="A18" s="8">
        <v>46008.0</v>
      </c>
      <c r="B18" s="9" t="s">
        <v>30</v>
      </c>
      <c r="C18" s="11">
        <v>1.5</v>
      </c>
      <c r="D18" s="11" t="s">
        <v>14</v>
      </c>
      <c r="E18" s="11">
        <v>900.0</v>
      </c>
      <c r="F18" s="11">
        <v>0.0</v>
      </c>
      <c r="G18" s="11">
        <v>350.0</v>
      </c>
      <c r="H18" s="16">
        <f t="shared" si="1"/>
        <v>1250</v>
      </c>
    </row>
    <row r="19" ht="15.75" customHeight="1">
      <c r="A19" s="8">
        <v>46009.0</v>
      </c>
      <c r="B19" s="9" t="s">
        <v>31</v>
      </c>
      <c r="C19" s="11">
        <v>4.5</v>
      </c>
      <c r="D19" s="11" t="s">
        <v>14</v>
      </c>
      <c r="E19" s="22">
        <v>2500.0</v>
      </c>
      <c r="F19" s="11">
        <v>0.0</v>
      </c>
      <c r="G19" s="22">
        <v>200.0</v>
      </c>
      <c r="H19" s="22">
        <f t="shared" si="1"/>
        <v>2700</v>
      </c>
    </row>
    <row r="20" ht="15.75" customHeight="1">
      <c r="A20" s="8">
        <v>46010.0</v>
      </c>
      <c r="B20" s="9" t="s">
        <v>33</v>
      </c>
      <c r="C20" s="11">
        <v>2.5</v>
      </c>
      <c r="D20" s="11" t="s">
        <v>14</v>
      </c>
      <c r="E20" s="16">
        <v>2700.0</v>
      </c>
      <c r="F20" s="16">
        <v>0.0</v>
      </c>
      <c r="G20" s="16">
        <v>0.0</v>
      </c>
      <c r="H20" s="16">
        <f t="shared" si="1"/>
        <v>2700</v>
      </c>
    </row>
    <row r="21" ht="15.75" customHeight="1">
      <c r="A21" s="8">
        <v>46011.0</v>
      </c>
      <c r="B21" s="9" t="s">
        <v>35</v>
      </c>
      <c r="C21" s="11">
        <v>2.0</v>
      </c>
      <c r="D21" s="11" t="s">
        <v>14</v>
      </c>
      <c r="E21" s="22">
        <v>1200.0</v>
      </c>
      <c r="F21" s="11">
        <v>0.0</v>
      </c>
      <c r="G21" s="22">
        <v>200.0</v>
      </c>
      <c r="H21" s="22">
        <f t="shared" si="1"/>
        <v>1400</v>
      </c>
    </row>
    <row r="22" ht="15.75" customHeight="1">
      <c r="A22" s="8">
        <v>46012.0</v>
      </c>
      <c r="B22" s="9" t="s">
        <v>38</v>
      </c>
      <c r="C22" s="11">
        <v>5.5</v>
      </c>
      <c r="D22" s="11" t="s">
        <v>14</v>
      </c>
      <c r="E22" s="11">
        <v>3900.0</v>
      </c>
      <c r="F22" s="11">
        <v>0.0</v>
      </c>
      <c r="G22" s="22">
        <v>450.0</v>
      </c>
      <c r="H22" s="16">
        <f t="shared" si="1"/>
        <v>4350</v>
      </c>
    </row>
    <row r="23" ht="15.75" customHeight="1">
      <c r="A23" s="8">
        <v>46013.0</v>
      </c>
      <c r="B23" s="9" t="s">
        <v>12</v>
      </c>
      <c r="C23" s="11">
        <v>6.0</v>
      </c>
      <c r="D23" s="11" t="s">
        <v>14</v>
      </c>
      <c r="E23" s="11">
        <v>4700.0</v>
      </c>
      <c r="F23" s="11">
        <v>0.0</v>
      </c>
      <c r="G23" s="11">
        <v>500.0</v>
      </c>
      <c r="H23" s="16">
        <f t="shared" si="1"/>
        <v>5200</v>
      </c>
    </row>
    <row r="24" ht="15.75" customHeight="1">
      <c r="A24" s="8">
        <v>46014.0</v>
      </c>
      <c r="B24" s="9" t="s">
        <v>28</v>
      </c>
      <c r="C24" s="11">
        <v>6.5</v>
      </c>
      <c r="D24" s="11" t="s">
        <v>14</v>
      </c>
      <c r="E24" s="22">
        <v>6000.0</v>
      </c>
      <c r="F24" s="11">
        <v>0.0</v>
      </c>
      <c r="G24" s="22">
        <v>250.0</v>
      </c>
      <c r="H24" s="22">
        <f t="shared" si="1"/>
        <v>6250</v>
      </c>
    </row>
    <row r="25" ht="15.75" customHeight="1">
      <c r="A25" s="8">
        <v>46015.0</v>
      </c>
      <c r="B25" s="9" t="s">
        <v>30</v>
      </c>
      <c r="C25" s="11">
        <v>6.5</v>
      </c>
      <c r="D25" s="11" t="s">
        <v>14</v>
      </c>
      <c r="E25" s="22">
        <v>4800.0</v>
      </c>
      <c r="F25" s="11">
        <v>0.0</v>
      </c>
      <c r="G25" s="22">
        <v>150.0</v>
      </c>
      <c r="H25" s="22">
        <f t="shared" si="1"/>
        <v>4950</v>
      </c>
    </row>
    <row r="26" ht="15.75" customHeight="1">
      <c r="A26" s="8">
        <v>46016.0</v>
      </c>
      <c r="B26" s="9" t="s">
        <v>31</v>
      </c>
      <c r="C26" s="11">
        <v>7.0</v>
      </c>
      <c r="D26" s="11" t="s">
        <v>52</v>
      </c>
      <c r="E26" s="22">
        <v>3050.0</v>
      </c>
      <c r="F26" s="11">
        <v>0.0</v>
      </c>
      <c r="G26" s="22">
        <v>600.0</v>
      </c>
      <c r="H26" s="22">
        <f t="shared" si="1"/>
        <v>3650</v>
      </c>
    </row>
    <row r="27" ht="15.75" customHeight="1">
      <c r="A27" s="8">
        <v>46017.0</v>
      </c>
      <c r="B27" s="9" t="s">
        <v>33</v>
      </c>
      <c r="C27" s="11">
        <v>5.5</v>
      </c>
      <c r="D27" s="11" t="s">
        <v>52</v>
      </c>
      <c r="E27" s="22">
        <v>4300.0</v>
      </c>
      <c r="F27" s="11">
        <v>0.0</v>
      </c>
      <c r="G27" s="11">
        <v>150.0</v>
      </c>
      <c r="H27" s="22">
        <f t="shared" si="1"/>
        <v>4450</v>
      </c>
    </row>
    <row r="28" ht="15.75" customHeight="1">
      <c r="A28" s="8">
        <v>46018.0</v>
      </c>
      <c r="B28" s="9" t="s">
        <v>35</v>
      </c>
      <c r="C28" s="11">
        <v>4.5</v>
      </c>
      <c r="D28" s="11" t="s">
        <v>52</v>
      </c>
      <c r="E28" s="11">
        <v>1750.0</v>
      </c>
      <c r="F28" s="11">
        <v>0.0</v>
      </c>
      <c r="G28" s="22">
        <v>500.0</v>
      </c>
      <c r="H28" s="16">
        <f t="shared" si="1"/>
        <v>2250</v>
      </c>
    </row>
    <row r="29" ht="15.75" customHeight="1">
      <c r="A29" s="8">
        <v>46019.0</v>
      </c>
      <c r="B29" s="9" t="s">
        <v>38</v>
      </c>
      <c r="C29" s="16">
        <v>4.0</v>
      </c>
      <c r="D29" s="11" t="s">
        <v>52</v>
      </c>
      <c r="E29" s="22">
        <v>2350.0</v>
      </c>
      <c r="F29" s="30">
        <v>0.0</v>
      </c>
      <c r="G29" s="22">
        <v>575.0</v>
      </c>
      <c r="H29" s="22">
        <f t="shared" si="1"/>
        <v>2925</v>
      </c>
    </row>
    <row r="30" ht="15.75" customHeight="1">
      <c r="A30" s="8">
        <v>46020.0</v>
      </c>
      <c r="B30" s="9" t="s">
        <v>12</v>
      </c>
      <c r="C30" s="30">
        <v>3.0</v>
      </c>
      <c r="D30" s="11" t="s">
        <v>52</v>
      </c>
      <c r="E30" s="30">
        <v>2400.0</v>
      </c>
      <c r="F30" s="30">
        <v>0.0</v>
      </c>
      <c r="G30" s="11">
        <v>200.0</v>
      </c>
      <c r="H30" s="16">
        <f t="shared" si="1"/>
        <v>2600</v>
      </c>
    </row>
    <row r="31" ht="15.75" customHeight="1">
      <c r="A31" s="8">
        <v>46021.0</v>
      </c>
      <c r="B31" s="9" t="s">
        <v>28</v>
      </c>
      <c r="C31" s="30">
        <v>1.5</v>
      </c>
      <c r="D31" s="11" t="s">
        <v>52</v>
      </c>
      <c r="E31" s="30">
        <v>700.0</v>
      </c>
      <c r="F31" s="30">
        <v>0.0</v>
      </c>
      <c r="G31" s="11">
        <v>50.0</v>
      </c>
      <c r="H31" s="16">
        <f t="shared" si="1"/>
        <v>750</v>
      </c>
    </row>
    <row r="32" ht="15.75" customHeight="1">
      <c r="A32" s="8">
        <v>46022.0</v>
      </c>
      <c r="B32" s="9" t="s">
        <v>30</v>
      </c>
      <c r="C32" s="11">
        <v>2.0</v>
      </c>
      <c r="D32" s="12" t="s">
        <v>52</v>
      </c>
      <c r="E32" s="11">
        <v>1800.0</v>
      </c>
      <c r="F32" s="11">
        <v>0.0</v>
      </c>
      <c r="G32" s="11">
        <v>150.0</v>
      </c>
      <c r="H32" s="16">
        <f t="shared" si="1"/>
        <v>1950</v>
      </c>
    </row>
    <row r="33" ht="15.75" customHeight="1">
      <c r="A33" s="7" t="s">
        <v>58</v>
      </c>
      <c r="B33" s="44"/>
      <c r="C33" s="7">
        <f>SUM(C2:C32)</f>
        <v>105.5</v>
      </c>
      <c r="D33" s="44"/>
      <c r="E33" s="7">
        <f t="shared" ref="E33:H33" si="2">SUM(E2:E32)</f>
        <v>72265</v>
      </c>
      <c r="F33" s="7">
        <f t="shared" si="2"/>
        <v>360</v>
      </c>
      <c r="G33" s="7">
        <f t="shared" si="2"/>
        <v>7725</v>
      </c>
      <c r="H33" s="7">
        <f t="shared" si="2"/>
        <v>80350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0"/>
    <col customWidth="1" min="3" max="3" width="12.63"/>
    <col customWidth="1" min="4" max="4" width="23.88"/>
    <col customWidth="1" min="5" max="8" width="12.63"/>
  </cols>
  <sheetData>
    <row r="1" ht="15.75" customHeight="1">
      <c r="A1" s="13" t="s">
        <v>0</v>
      </c>
      <c r="B1" s="14" t="s">
        <v>1</v>
      </c>
      <c r="C1" s="14" t="s">
        <v>17</v>
      </c>
      <c r="D1" s="14" t="s">
        <v>19</v>
      </c>
      <c r="E1" s="14" t="s">
        <v>20</v>
      </c>
      <c r="F1" s="14" t="s">
        <v>25</v>
      </c>
      <c r="G1" s="14" t="s">
        <v>26</v>
      </c>
      <c r="H1" s="14" t="s">
        <v>11</v>
      </c>
    </row>
    <row r="2" ht="15.75" customHeight="1">
      <c r="A2" s="15"/>
      <c r="B2" s="18" t="s">
        <v>29</v>
      </c>
      <c r="C2" s="23">
        <v>7550.0</v>
      </c>
      <c r="D2" s="23">
        <v>988.0</v>
      </c>
      <c r="E2" s="26">
        <f t="shared" ref="E2:E5" si="1">C2-D2</f>
        <v>6562</v>
      </c>
      <c r="F2" s="28">
        <v>6.44</v>
      </c>
      <c r="G2" s="28">
        <v>32.3</v>
      </c>
      <c r="H2" s="28">
        <v>6573.37</v>
      </c>
    </row>
    <row r="3" ht="15.75" customHeight="1">
      <c r="A3" s="15"/>
      <c r="B3" s="18" t="s">
        <v>40</v>
      </c>
      <c r="C3" s="23">
        <v>8000.0</v>
      </c>
      <c r="D3" s="18">
        <v>1040.0</v>
      </c>
      <c r="E3" s="26">
        <f t="shared" si="1"/>
        <v>6960</v>
      </c>
      <c r="F3" s="28">
        <v>6.77</v>
      </c>
      <c r="G3" s="28">
        <v>33.8</v>
      </c>
      <c r="H3" s="28">
        <v>6919.33</v>
      </c>
    </row>
    <row r="4" ht="15.75" customHeight="1">
      <c r="A4" s="15"/>
      <c r="B4" s="18" t="s">
        <v>41</v>
      </c>
      <c r="C4" s="23">
        <v>6900.0</v>
      </c>
      <c r="D4" s="18">
        <v>897.0</v>
      </c>
      <c r="E4" s="26">
        <f t="shared" si="1"/>
        <v>6003</v>
      </c>
      <c r="F4" s="28">
        <v>5.84</v>
      </c>
      <c r="G4" s="28">
        <v>29.23</v>
      </c>
      <c r="H4" s="28">
        <v>5967.92</v>
      </c>
    </row>
    <row r="5" ht="15.75" customHeight="1">
      <c r="A5" s="15"/>
      <c r="B5" s="18" t="s">
        <v>43</v>
      </c>
      <c r="C5" s="23">
        <v>12350.0</v>
      </c>
      <c r="D5" s="18">
        <v>1605.5</v>
      </c>
      <c r="E5" s="26">
        <f t="shared" si="1"/>
        <v>10744.5</v>
      </c>
      <c r="F5" s="28">
        <v>10.4</v>
      </c>
      <c r="G5" s="28">
        <v>52.33</v>
      </c>
      <c r="H5" s="28">
        <v>10681.73</v>
      </c>
    </row>
    <row r="6" ht="15.75" customHeight="1">
      <c r="A6" s="29"/>
      <c r="B6" s="18"/>
      <c r="C6" s="35"/>
      <c r="D6" s="18"/>
      <c r="E6" s="26"/>
      <c r="F6" s="28"/>
      <c r="G6" s="28"/>
      <c r="H6" s="20"/>
    </row>
    <row r="7" ht="15.75" customHeight="1">
      <c r="A7" s="15"/>
      <c r="B7" s="19"/>
      <c r="C7" s="34">
        <f>SUM(C2:C5)</f>
        <v>34800</v>
      </c>
      <c r="D7" s="19"/>
      <c r="E7" s="34">
        <f>SUM(E2:E6)</f>
        <v>30269.5</v>
      </c>
      <c r="F7" s="39"/>
      <c r="G7" s="39"/>
      <c r="H7" s="41">
        <f>SUM(H2:H6)</f>
        <v>30142.35</v>
      </c>
    </row>
    <row r="8" ht="15.75" customHeight="1">
      <c r="E8" s="34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25"/>
    <col customWidth="1" min="3" max="4" width="14.0"/>
    <col customWidth="1" min="5" max="5" width="23.88"/>
    <col customWidth="1" min="6" max="7" width="12.63"/>
    <col customWidth="1" min="8" max="8" width="6.88"/>
    <col customWidth="1" min="9" max="10" width="14.13"/>
  </cols>
  <sheetData>
    <row r="1" ht="15.75" customHeight="1">
      <c r="A1" s="13" t="s">
        <v>0</v>
      </c>
      <c r="B1" s="14" t="s">
        <v>1</v>
      </c>
      <c r="C1" s="14" t="s">
        <v>15</v>
      </c>
      <c r="D1" s="14" t="s">
        <v>16</v>
      </c>
      <c r="E1" s="14" t="s">
        <v>18</v>
      </c>
      <c r="F1" s="14" t="s">
        <v>20</v>
      </c>
      <c r="G1" s="14" t="s">
        <v>21</v>
      </c>
      <c r="H1" s="14" t="s">
        <v>22</v>
      </c>
      <c r="I1" s="14" t="s">
        <v>23</v>
      </c>
    </row>
    <row r="2" ht="15.75" customHeight="1">
      <c r="A2" s="15"/>
      <c r="B2" s="18" t="s">
        <v>24</v>
      </c>
      <c r="C2" s="20">
        <v>1050.0</v>
      </c>
      <c r="D2" s="21">
        <v>98.0</v>
      </c>
      <c r="E2" s="21">
        <v>17.64</v>
      </c>
      <c r="F2" s="26">
        <f t="shared" ref="F2:F3" si="1">C2-D2-E2</f>
        <v>934.36</v>
      </c>
      <c r="G2" s="21">
        <v>1.05</v>
      </c>
      <c r="H2" s="21">
        <v>5.25</v>
      </c>
      <c r="I2" s="27">
        <v>928.06</v>
      </c>
    </row>
    <row r="3" ht="15.75" customHeight="1">
      <c r="A3" s="15"/>
      <c r="B3" s="18" t="s">
        <v>36</v>
      </c>
      <c r="C3" s="21">
        <v>1000.0</v>
      </c>
      <c r="D3" s="16">
        <v>112.0</v>
      </c>
      <c r="E3" s="16">
        <v>20.16</v>
      </c>
      <c r="F3" s="26">
        <f t="shared" si="1"/>
        <v>867.84</v>
      </c>
      <c r="G3" s="16">
        <v>0.24</v>
      </c>
      <c r="H3" s="16">
        <v>1.2</v>
      </c>
      <c r="I3" s="16">
        <v>106.4</v>
      </c>
    </row>
    <row r="4" ht="15.75" customHeight="1">
      <c r="A4" s="29"/>
      <c r="B4" s="18"/>
      <c r="C4" s="18"/>
      <c r="D4" s="18"/>
      <c r="E4" s="18"/>
      <c r="F4" s="26"/>
      <c r="G4" s="18"/>
      <c r="H4" s="18"/>
      <c r="I4" s="18"/>
    </row>
    <row r="5" ht="15.75" customHeight="1">
      <c r="A5" s="29"/>
      <c r="B5" s="18"/>
      <c r="C5" s="31"/>
      <c r="D5" s="31"/>
      <c r="E5" s="31"/>
      <c r="F5" s="26"/>
      <c r="G5" s="31"/>
      <c r="H5" s="31"/>
      <c r="I5" s="31"/>
    </row>
    <row r="6" ht="15.75" customHeight="1">
      <c r="A6" s="29"/>
      <c r="B6" s="18"/>
      <c r="C6" s="32"/>
      <c r="D6" s="33"/>
      <c r="E6" s="18"/>
      <c r="F6" s="34"/>
      <c r="G6" s="19"/>
      <c r="H6" s="18"/>
      <c r="I6" s="32"/>
    </row>
    <row r="7" ht="15.75" customHeight="1">
      <c r="A7" s="15"/>
      <c r="B7" s="19"/>
      <c r="C7" s="36">
        <f>SUM(C2:C5)</f>
        <v>2050</v>
      </c>
      <c r="D7" s="38"/>
      <c r="E7" s="19"/>
      <c r="F7" s="34">
        <f>SUM(F2:F6)</f>
        <v>1802.2</v>
      </c>
      <c r="G7" s="19"/>
      <c r="H7" s="19"/>
      <c r="I7" s="36">
        <f>SUM(I2:I5)</f>
        <v>1034.46</v>
      </c>
    </row>
    <row r="8" ht="15.75" customHeight="1">
      <c r="F8" s="34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:id="rId2" ref="A1"/>
  </hyperlinks>
  <printOptions/>
  <pageMargins bottom="0.75" footer="0.0" header="0.0" left="0.7" right="0.7" top="0.75"/>
  <pageSetup orientation="landscape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3" max="3" width="18.25"/>
    <col customWidth="1" min="4" max="4" width="14.38"/>
    <col customWidth="1" min="5" max="5" width="14.13"/>
  </cols>
  <sheetData>
    <row r="1">
      <c r="A1" s="47" t="s">
        <v>0</v>
      </c>
      <c r="B1" s="14" t="s">
        <v>1</v>
      </c>
      <c r="C1" s="48" t="s">
        <v>61</v>
      </c>
      <c r="D1" s="14" t="s">
        <v>16</v>
      </c>
      <c r="E1" s="49" t="s">
        <v>62</v>
      </c>
      <c r="F1" s="14" t="s">
        <v>20</v>
      </c>
      <c r="G1" s="7" t="s">
        <v>26</v>
      </c>
      <c r="H1" s="7" t="s">
        <v>25</v>
      </c>
      <c r="I1" s="14" t="s">
        <v>23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51"/>
      <c r="B2" s="53" t="s">
        <v>63</v>
      </c>
      <c r="C2" s="21">
        <v>2300.0</v>
      </c>
      <c r="D2" s="21">
        <v>46.0</v>
      </c>
      <c r="E2" s="21">
        <v>8.28</v>
      </c>
      <c r="F2" s="26">
        <f>C2 -D2-E2</f>
        <v>2245.72</v>
      </c>
      <c r="G2" s="21">
        <v>11.5</v>
      </c>
      <c r="H2" s="21">
        <v>2.3</v>
      </c>
      <c r="I2" s="21">
        <v>2235.92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5"/>
      <c r="B3" s="53"/>
      <c r="C3" s="38"/>
      <c r="D3" s="38"/>
      <c r="E3" s="19"/>
      <c r="F3" s="60"/>
      <c r="G3" s="19"/>
      <c r="H3" s="19"/>
      <c r="I3" s="38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53" t="s">
        <v>58</v>
      </c>
      <c r="C4" s="62">
        <f>SUM(C2)</f>
        <v>2300</v>
      </c>
      <c r="D4" s="19"/>
      <c r="E4" s="19"/>
      <c r="F4" s="34">
        <f>SUM(F2)</f>
        <v>2245.72</v>
      </c>
      <c r="G4" s="19"/>
      <c r="H4" s="19"/>
      <c r="I4" s="62">
        <f>SUM(I2)</f>
        <v>2235.92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8.25"/>
    <col customWidth="1" min="4" max="4" width="23.88"/>
    <col customWidth="1" min="5" max="5" width="14.13"/>
    <col customWidth="1" min="6" max="7" width="12.63"/>
    <col customWidth="1" min="8" max="8" width="14.13"/>
  </cols>
  <sheetData>
    <row r="1" ht="15.75" customHeight="1">
      <c r="A1" s="13" t="s">
        <v>0</v>
      </c>
      <c r="B1" s="14" t="s">
        <v>1</v>
      </c>
      <c r="C1" s="14" t="s">
        <v>64</v>
      </c>
      <c r="D1" s="14" t="s">
        <v>16</v>
      </c>
      <c r="E1" s="14" t="s">
        <v>23</v>
      </c>
    </row>
    <row r="2" ht="15.75" customHeight="1">
      <c r="A2" s="29"/>
      <c r="B2" s="18" t="s">
        <v>63</v>
      </c>
      <c r="C2" s="18">
        <v>0.0</v>
      </c>
      <c r="D2" s="18"/>
      <c r="E2" s="18"/>
    </row>
    <row r="3" ht="15.75" customHeight="1">
      <c r="A3" s="15"/>
      <c r="B3" s="19"/>
      <c r="C3" s="19"/>
      <c r="D3" s="19"/>
      <c r="E3" s="19"/>
    </row>
    <row r="4" ht="15.75" customHeight="1">
      <c r="A4" s="15"/>
      <c r="B4" s="19"/>
      <c r="C4" s="57">
        <f>SUM(C2:C3)</f>
        <v>0</v>
      </c>
      <c r="D4" s="19"/>
      <c r="E4" s="57">
        <f>SUM(E2:E3)</f>
        <v>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4.75"/>
    <col customWidth="1" min="4" max="4" width="18.5"/>
    <col customWidth="1" min="5" max="5" width="24.38"/>
    <col customWidth="1" min="6" max="6" width="14.13"/>
    <col customWidth="1" min="7" max="7" width="12.63"/>
  </cols>
  <sheetData>
    <row r="1" ht="15.75" customHeight="1">
      <c r="A1" s="50" t="s">
        <v>0</v>
      </c>
      <c r="B1" s="52" t="s">
        <v>1</v>
      </c>
      <c r="C1" s="52" t="s">
        <v>65</v>
      </c>
      <c r="D1" s="52" t="s">
        <v>66</v>
      </c>
      <c r="E1" s="48" t="s">
        <v>68</v>
      </c>
      <c r="F1" s="52" t="s">
        <v>23</v>
      </c>
    </row>
    <row r="2" ht="15.75" customHeight="1">
      <c r="A2" s="18"/>
      <c r="B2" s="21" t="s">
        <v>63</v>
      </c>
      <c r="C2" s="21">
        <v>820.0</v>
      </c>
      <c r="D2" s="18">
        <v>164.0</v>
      </c>
      <c r="E2" s="21">
        <v>13.12</v>
      </c>
      <c r="F2" s="24">
        <f>C2-D2-E2</f>
        <v>642.88</v>
      </c>
      <c r="G2" s="16"/>
      <c r="H2" s="15"/>
      <c r="I2" s="15"/>
      <c r="J2" s="15"/>
      <c r="K2" s="15"/>
    </row>
    <row r="3" ht="15.75" customHeight="1">
      <c r="B3" s="59" t="s">
        <v>58</v>
      </c>
      <c r="C3" s="58"/>
      <c r="F3" s="61">
        <f>SUM(F2)</f>
        <v>642.88</v>
      </c>
    </row>
    <row r="4" ht="15.75" customHeight="1">
      <c r="B4" s="56"/>
    </row>
    <row r="5" ht="15.75" customHeight="1">
      <c r="B5" s="56"/>
    </row>
    <row r="6" ht="15.75" customHeight="1">
      <c r="C6" s="58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7.75"/>
    <col customWidth="1" min="4" max="4" width="14.13"/>
    <col customWidth="1" min="5" max="5" width="12.63"/>
  </cols>
  <sheetData>
    <row r="1" ht="15.75" customHeight="1">
      <c r="A1" s="50" t="s">
        <v>0</v>
      </c>
      <c r="B1" s="52" t="s">
        <v>1</v>
      </c>
      <c r="C1" s="54" t="s">
        <v>67</v>
      </c>
      <c r="D1" s="52" t="s">
        <v>23</v>
      </c>
    </row>
    <row r="2" ht="15.75" customHeight="1">
      <c r="A2" s="55"/>
      <c r="B2" s="55">
        <v>45998.0</v>
      </c>
      <c r="C2" s="18">
        <v>320.0</v>
      </c>
      <c r="D2" s="25">
        <v>320.0</v>
      </c>
      <c r="E2" s="15"/>
    </row>
    <row r="3" ht="15.75" customHeight="1">
      <c r="B3" s="56"/>
    </row>
    <row r="4" ht="15.75" customHeight="1">
      <c r="B4" s="56"/>
    </row>
    <row r="5" ht="15.75" customHeight="1">
      <c r="B5" s="56"/>
    </row>
    <row r="6" ht="15.75" customHeight="1">
      <c r="B6" s="56"/>
    </row>
    <row r="7" ht="15.75" customHeight="1">
      <c r="C7" s="5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0.88"/>
    <col customWidth="1" min="2" max="2" width="15.25"/>
    <col customWidth="1" min="3" max="3" width="17.13"/>
    <col customWidth="1" min="4" max="4" width="12.63"/>
    <col customWidth="1" min="5" max="5" width="15.25"/>
    <col customWidth="1" min="6" max="6" width="12.63"/>
  </cols>
  <sheetData>
    <row r="1" ht="15.75" customHeight="1">
      <c r="A1" s="52" t="s">
        <v>73</v>
      </c>
      <c r="B1" s="52" t="s">
        <v>74</v>
      </c>
      <c r="C1" s="52" t="s">
        <v>75</v>
      </c>
      <c r="D1" s="52" t="s">
        <v>76</v>
      </c>
      <c r="E1" s="63" t="s">
        <v>77</v>
      </c>
    </row>
    <row r="2" ht="15.75" customHeight="1">
      <c r="A2" s="64" t="s">
        <v>78</v>
      </c>
      <c r="B2" s="18" t="s">
        <v>79</v>
      </c>
      <c r="C2" s="18" t="s">
        <v>80</v>
      </c>
      <c r="D2" s="65">
        <v>45992.0</v>
      </c>
      <c r="E2" s="64">
        <v>14160.0</v>
      </c>
    </row>
    <row r="3" ht="15.75" customHeight="1">
      <c r="A3" s="18" t="s">
        <v>81</v>
      </c>
      <c r="B3" s="66" t="s">
        <v>82</v>
      </c>
      <c r="C3" s="18" t="s">
        <v>83</v>
      </c>
      <c r="D3" s="55">
        <v>46005.0</v>
      </c>
      <c r="E3" s="67">
        <v>10000.0</v>
      </c>
      <c r="F3" s="15"/>
      <c r="G3" s="15"/>
      <c r="H3" s="68"/>
      <c r="I3" s="8"/>
      <c r="K3" s="15"/>
    </row>
    <row r="4" ht="15.75" customHeight="1">
      <c r="A4" s="64" t="s">
        <v>84</v>
      </c>
      <c r="B4" s="18" t="s">
        <v>85</v>
      </c>
      <c r="C4" s="18" t="s">
        <v>86</v>
      </c>
      <c r="D4" s="65">
        <v>45996.0</v>
      </c>
      <c r="E4" s="64">
        <v>5500.0</v>
      </c>
    </row>
    <row r="5" ht="15.75" customHeight="1">
      <c r="A5" s="69" t="s">
        <v>58</v>
      </c>
      <c r="B5" s="70"/>
      <c r="C5" s="70"/>
      <c r="D5" s="70"/>
      <c r="E5" s="71">
        <f>SUM(E2:E4)</f>
        <v>29660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C2:C4">
      <formula1>"Kickoff Pack (7),Pro Pack (30),Rally Pack (15),Grand slam (90),Collab,Custom"</formula1>
    </dataValidation>
    <dataValidation type="list" allowBlank="1" showErrorMessage="1" sqref="B2:B4">
      <formula1>"Pickleball,Padel,Box Cricket,Pickle &amp; Box"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sheetData>
    <row r="1">
      <c r="A1" s="7" t="s">
        <v>69</v>
      </c>
      <c r="B1" s="7" t="s">
        <v>70</v>
      </c>
      <c r="C1" s="7" t="s">
        <v>11</v>
      </c>
      <c r="D1" s="7" t="s">
        <v>71</v>
      </c>
      <c r="E1" s="7" t="s">
        <v>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5" max="5" width="15.25"/>
  </cols>
  <sheetData>
    <row r="1">
      <c r="A1" s="54" t="s">
        <v>1</v>
      </c>
      <c r="B1" s="54" t="s">
        <v>87</v>
      </c>
      <c r="C1" s="14" t="s">
        <v>74</v>
      </c>
      <c r="D1" s="54" t="s">
        <v>88</v>
      </c>
      <c r="E1" s="14" t="s">
        <v>77</v>
      </c>
    </row>
    <row r="2">
      <c r="A2" s="56">
        <v>46001.0</v>
      </c>
      <c r="B2" s="72" t="s">
        <v>89</v>
      </c>
      <c r="C2" s="72" t="s">
        <v>85</v>
      </c>
      <c r="D2" s="72" t="s">
        <v>90</v>
      </c>
      <c r="E2" s="72">
        <v>5000.0</v>
      </c>
    </row>
    <row r="3">
      <c r="A3" s="56">
        <v>46011.0</v>
      </c>
      <c r="B3" s="72" t="s">
        <v>89</v>
      </c>
      <c r="C3" s="72" t="s">
        <v>82</v>
      </c>
      <c r="D3" s="72" t="s">
        <v>91</v>
      </c>
      <c r="E3" s="72">
        <v>15680.0</v>
      </c>
    </row>
    <row r="4">
      <c r="A4" s="59" t="s">
        <v>58</v>
      </c>
      <c r="E4" s="73">
        <f>SUM(E2:E3)</f>
        <v>20680</v>
      </c>
    </row>
  </sheetData>
  <drawing r:id="rId1"/>
</worksheet>
</file>