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s" sheetId="9" r:id="rId13"/>
    <sheet state="visible" name="Other Income" sheetId="10" r:id="rId14"/>
  </sheets>
  <definedNames/>
  <calcPr/>
</workbook>
</file>

<file path=xl/sharedStrings.xml><?xml version="1.0" encoding="utf-8"?>
<sst xmlns="http://schemas.openxmlformats.org/spreadsheetml/2006/main" count="176" uniqueCount="93">
  <si>
    <t>Link</t>
  </si>
  <si>
    <t>Date</t>
  </si>
  <si>
    <t>Date: 1 - 31 Jan</t>
  </si>
  <si>
    <t>Day</t>
  </si>
  <si>
    <t>Offline booking hours</t>
  </si>
  <si>
    <t>Discount Given</t>
  </si>
  <si>
    <t>Booking Revenue</t>
  </si>
  <si>
    <t>Particulars</t>
  </si>
  <si>
    <t>Community Revenue</t>
  </si>
  <si>
    <t xml:space="preserve">Paddle Rental </t>
  </si>
  <si>
    <t>F&amp;B</t>
  </si>
  <si>
    <t>Amount</t>
  </si>
  <si>
    <t>Total Revenue</t>
  </si>
  <si>
    <t>Offline</t>
  </si>
  <si>
    <t>Thursday</t>
  </si>
  <si>
    <t>20% and 10%</t>
  </si>
  <si>
    <t>Paid to Hudle</t>
  </si>
  <si>
    <t>Paid to Playo (₹)</t>
  </si>
  <si>
    <t>Commisions (Including GST)</t>
  </si>
  <si>
    <t>Commissions (₹)</t>
  </si>
  <si>
    <t>Net Revenue</t>
  </si>
  <si>
    <t>GST (₹)</t>
  </si>
  <si>
    <t>TDS</t>
  </si>
  <si>
    <t>TCS</t>
  </si>
  <si>
    <t>TDS (₹)</t>
  </si>
  <si>
    <t>TCS (₹)</t>
  </si>
  <si>
    <t>Final Amount (₹)</t>
  </si>
  <si>
    <t>Rentals</t>
  </si>
  <si>
    <t>Friday</t>
  </si>
  <si>
    <t>1 - 18 Jan</t>
  </si>
  <si>
    <t>1 - 5 Jan</t>
  </si>
  <si>
    <t>Saturday</t>
  </si>
  <si>
    <t>Product Sales</t>
  </si>
  <si>
    <t>Bookings</t>
  </si>
  <si>
    <t>19 - 25 Jan</t>
  </si>
  <si>
    <t>Sunday</t>
  </si>
  <si>
    <t>Online: Third Party Platform</t>
  </si>
  <si>
    <t>6 - 12 Jan</t>
  </si>
  <si>
    <t>Monday</t>
  </si>
  <si>
    <t>Hudle</t>
  </si>
  <si>
    <t>Tuesday</t>
  </si>
  <si>
    <t>26 - 31 Jan</t>
  </si>
  <si>
    <t>13 - 19 Jan</t>
  </si>
  <si>
    <t>Wednesday</t>
  </si>
  <si>
    <t>Playo</t>
  </si>
  <si>
    <t>19 - 26 Jan</t>
  </si>
  <si>
    <t>District</t>
  </si>
  <si>
    <t>27 - 31 Jan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</si>
  <si>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</si>
  <si>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</si>
  <si>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</si>
  <si>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</si>
  <si>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</si>
  <si>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</si>
  <si>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</si>
  <si>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</si>
  <si>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</si>
  <si>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</si>
  <si>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</si>
  <si>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</si>
  <si>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</si>
  <si>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</si>
  <si>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</si>
  <si>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</si>
  <si>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Total</t>
  </si>
  <si>
    <t>Drive &amp; Kick Share (70%)</t>
  </si>
  <si>
    <t>Drive &amp; Kick Share (Final share after incorporting 18k already received by Drive Kick)</t>
  </si>
  <si>
    <t>RallyGully's Share (30%)</t>
  </si>
  <si>
    <t>Paid to District</t>
  </si>
  <si>
    <t>GST on Commission</t>
  </si>
  <si>
    <t>1 - 12 Jan</t>
  </si>
  <si>
    <t>Paid to Khelomore (₹)</t>
  </si>
  <si>
    <t>1 - 25 Jan</t>
  </si>
  <si>
    <t>20 - 31 Jan</t>
  </si>
  <si>
    <t>Paid to Misfits (₹)</t>
  </si>
  <si>
    <t>Post Comission (20%)</t>
  </si>
  <si>
    <t xml:space="preserve">TDS </t>
  </si>
  <si>
    <t>1 - 31 Jan</t>
  </si>
  <si>
    <t>Paid to Sportomic (₹)</t>
  </si>
  <si>
    <t>Member Name</t>
  </si>
  <si>
    <t>Sports Type</t>
  </si>
  <si>
    <t>Membership Type</t>
  </si>
  <si>
    <t>Start Date</t>
  </si>
  <si>
    <t>Amount Collected</t>
  </si>
  <si>
    <t>Vipin</t>
  </si>
  <si>
    <t>Pickleball</t>
  </si>
  <si>
    <t>Rally Pack (15)</t>
  </si>
  <si>
    <t>Month</t>
  </si>
  <si>
    <t>Type</t>
  </si>
  <si>
    <t>Jan</t>
  </si>
  <si>
    <t>Basketball Coaching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</si>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</sst>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  <numFmt numFmtId="168" formatCode="[$₹]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2" fillId="0" fontId="2" numFmtId="0" xfId="0" applyBorder="1" applyFont="1"/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3" fillId="2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3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2" fontId="1" numFmtId="166" xfId="0" applyAlignment="1" applyBorder="1" applyFill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3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right" vertical="bottom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horizontal="right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readingOrder="0" shrinkToFit="0" vertical="bottom" wrapText="0"/>
    </xf>
    <xf borderId="3" fillId="0" fontId="3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vertical="bottom"/>
    </xf>
    <xf borderId="3" fillId="0" fontId="3" numFmtId="166" xfId="0" applyAlignment="1" applyBorder="1" applyFont="1" applyNumberFormat="1">
      <alignment readingOrder="0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3" fillId="0" fontId="3" numFmtId="4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readingOrder="0" vertical="bottom"/>
    </xf>
    <xf borderId="3" fillId="0" fontId="1" numFmtId="4" xfId="0" applyAlignment="1" applyBorder="1" applyFont="1" applyNumberFormat="1">
      <alignment horizontal="right" vertical="bottom"/>
    </xf>
    <xf borderId="3" fillId="0" fontId="1" numFmtId="167" xfId="0" applyAlignment="1" applyBorder="1" applyFont="1" applyNumberFormat="1">
      <alignment vertical="bottom"/>
    </xf>
    <xf borderId="3" fillId="0" fontId="1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3" fillId="0" fontId="1" numFmtId="166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0" fillId="0" fontId="6" numFmtId="0" xfId="0" applyFont="1"/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3" fillId="0" fontId="3" numFmtId="168" xfId="0" applyAlignment="1" applyBorder="1" applyFont="1" applyNumberFormat="1">
      <alignment horizontal="right" shrinkToFit="0" vertical="bottom" wrapText="1"/>
    </xf>
    <xf borderId="0" fillId="2" fontId="3" numFmtId="9" xfId="0" applyAlignment="1" applyFill="1" applyFont="1" applyNumberFormat="1">
      <alignment horizontal="right" vertical="bottom"/>
    </xf>
    <xf borderId="3" fillId="0" fontId="3" numFmtId="0" xfId="0" applyAlignment="1" applyBorder="1" applyFont="1">
      <alignment shrinkToFit="0" vertical="bottom" wrapText="1"/>
    </xf>
    <xf borderId="0" fillId="2" fontId="7" numFmtId="166" xfId="0" applyAlignment="1" applyFill="1" applyFont="1" applyNumberFormat="1">
      <alignment horizontal="center" vertical="bottom"/>
    </xf>
    <xf borderId="0" fillId="2" fontId="8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3" fillId="0" fontId="3" numFmtId="167" xfId="0" applyAlignment="1" applyBorder="1" applyFont="1" applyNumberFormat="1">
      <alignment vertical="bottom"/>
    </xf>
    <xf borderId="3" fillId="3" fontId="9" numFmtId="166" xfId="0" applyAlignment="1" applyBorder="1" applyFill="1" applyFont="1" applyNumberFormat="1">
      <alignment vertical="bottom"/>
    </xf>
    <xf borderId="3" fillId="3" fontId="9" numFmtId="166" xfId="0" applyAlignment="1" applyBorder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3" fillId="0" fontId="8" numFmtId="166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2" fontId="1" numFmtId="0" xfId="0" applyAlignment="1" applyBorder="1" applyFill="1" applyFont="1">
      <alignment horizontal="center" vertical="bottom"/>
    </xf>
    <xf borderId="3" fillId="0" fontId="3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3" fillId="2" fontId="10" numFmtId="0" xfId="0" applyAlignment="1" applyBorder="1" applyFill="1" applyFont="1">
      <alignment horizontal="center" readingOrder="0" vertical="bottom"/>
    </xf>
    <xf borderId="0" fillId="0" fontId="1" numFmtId="165" xfId="0" applyAlignment="1" applyFont="1" applyNumberFormat="1">
      <alignment horizontal="right" vertical="bottom"/>
    </xf>
    <xf borderId="3" fillId="2" fontId="1" numFmtId="0" xfId="0" applyAlignment="1" applyBorder="1" applyFill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2" fontId="6" numFmtId="0" xfId="0" applyAlignment="1" applyFill="1" applyFont="1">
      <alignment readingOrder="0"/>
    </xf>
    <xf borderId="0" fillId="2" fontId="6" numFmtId="0" xfId="0" applyFill="1" applyFont="1"/>
    <xf borderId="0" fillId="2" fontId="6" numFmtId="166" xfId="0" applyFill="1" applyFont="1" applyNumberFormat="1"/>
    <xf borderId="3" fillId="0" fontId="3" numFmtId="164" xfId="0" applyAlignment="1" applyBorder="1" applyFont="1" applyNumberFormat="1">
      <alignment vertical="bottom"/>
    </xf>
    <xf borderId="3" fillId="0" fontId="3" numFmtId="167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2</v>
      </c>
      <c r="C2" s="4"/>
    </row>
    <row r="3">
      <c r="B3" s="7" t="s">
        <v>7</v>
      </c>
      <c r="C3" s="7" t="s">
        <v>11</v>
      </c>
    </row>
    <row r="4">
      <c r="B4" s="10" t="s">
        <v>13</v>
      </c>
      <c r="C4" s="18">
        <f>SUM(C5,C6,C7,C8)</f>
        <v>59801</v>
      </c>
    </row>
    <row r="5" outlineLevel="1">
      <c r="B5" s="20" t="s">
        <v>27</v>
      </c>
      <c r="C5" s="27">
        <f>'Offline &amp; RG Community'!G33</f>
        <v>12375</v>
      </c>
    </row>
    <row r="6" outlineLevel="1">
      <c r="B6" s="20" t="s">
        <v>10</v>
      </c>
      <c r="C6" s="28">
        <f>'Offline &amp; RG Community'!H33</f>
        <v>140</v>
      </c>
    </row>
    <row r="7" outlineLevel="1">
      <c r="B7" s="20" t="s">
        <v>32</v>
      </c>
      <c r="C7" s="28">
        <v>0.0</v>
      </c>
    </row>
    <row r="8" outlineLevel="1">
      <c r="B8" s="20" t="s">
        <v>33</v>
      </c>
      <c r="C8" s="28">
        <f>'Offline &amp; RG Community'!E33</f>
        <v>47286</v>
      </c>
    </row>
    <row r="9">
      <c r="B9" s="10" t="s">
        <v>36</v>
      </c>
      <c r="C9" s="18">
        <f>SUM(C10:C14)</f>
        <v>25762.56</v>
      </c>
    </row>
    <row r="10" outlineLevel="1">
      <c r="B10" s="20" t="s">
        <v>39</v>
      </c>
      <c r="C10" s="27">
        <f>Hudle!C7</f>
        <v>16146</v>
      </c>
    </row>
    <row r="11" outlineLevel="1">
      <c r="B11" s="20" t="s">
        <v>44</v>
      </c>
      <c r="C11" s="27">
        <f>Playo!C6</f>
        <v>2076.56</v>
      </c>
    </row>
    <row r="12" outlineLevel="1">
      <c r="B12" s="20" t="s">
        <v>46</v>
      </c>
      <c r="C12" s="28">
        <f>District!C5</f>
        <v>6400</v>
      </c>
    </row>
    <row r="13" outlineLevel="1">
      <c r="B13" s="20" t="s">
        <v>48</v>
      </c>
      <c r="C13" s="27">
        <f>Khelomore!C4</f>
        <v>1140</v>
      </c>
    </row>
    <row r="14">
      <c r="B14" s="34" t="s">
        <v>49</v>
      </c>
      <c r="C14" s="28">
        <v>0.0</v>
      </c>
    </row>
    <row r="15">
      <c r="B15" s="42" t="s">
        <v>50</v>
      </c>
      <c r="C15" s="18">
        <f>SUM(C17,C18,C19)</f>
        <v>12050</v>
      </c>
    </row>
    <row r="16" outlineLevel="1">
      <c r="B16" s="22" t="s">
        <v>51</v>
      </c>
      <c r="C16" s="28">
        <v>0.0</v>
      </c>
    </row>
    <row r="17" outlineLevel="1">
      <c r="B17" s="22" t="s">
        <v>52</v>
      </c>
      <c r="C17" s="28">
        <v>0.0</v>
      </c>
    </row>
    <row r="18" outlineLevel="1">
      <c r="B18" s="20" t="s">
        <v>53</v>
      </c>
      <c r="C18" s="28">
        <f>'Offline &amp; RG Community'!F33</f>
        <v>12050</v>
      </c>
    </row>
    <row r="19" outlineLevel="1">
      <c r="B19" s="20" t="s">
        <v>54</v>
      </c>
      <c r="C19" s="28">
        <v>0.0</v>
      </c>
    </row>
    <row r="20">
      <c r="B20" s="10" t="s">
        <v>55</v>
      </c>
      <c r="C20" s="45">
        <f>Memberships!E4</f>
        <v>9600</v>
      </c>
    </row>
    <row r="21">
      <c r="B21" s="24" t="s">
        <v>56</v>
      </c>
      <c r="C21" s="28">
        <v>0.0</v>
      </c>
    </row>
    <row r="22">
      <c r="B22" s="20" t="s">
        <v>57</v>
      </c>
      <c r="C22" s="28">
        <v>0.0</v>
      </c>
    </row>
    <row r="23">
      <c r="B23" s="20" t="s">
        <v>58</v>
      </c>
      <c r="C23" s="28">
        <v>0.0</v>
      </c>
    </row>
    <row r="24">
      <c r="B24" s="46" t="s">
        <v>59</v>
      </c>
      <c r="C24" s="48">
        <f>'Other Income'!E2</f>
        <v>18000</v>
      </c>
      <c r="D24" s="49" t="s">
        <v>60</v>
      </c>
    </row>
    <row r="25">
      <c r="B25" s="10" t="s">
        <v>61</v>
      </c>
      <c r="C25" s="18">
        <f>sum(C4,C9,C15,C20,C22,C23,C24)</f>
        <v>125213.56</v>
      </c>
    </row>
    <row r="26">
      <c r="B26" s="50" t="s">
        <v>62</v>
      </c>
      <c r="C26" s="47">
        <f>'Offline &amp; RG Community'!I33+Hudle!E7+Playo!F6+Khelomore!E4+District!F5+Memberships!E4+'Other Income'!E2</f>
        <v>122701.8</v>
      </c>
    </row>
    <row r="27">
      <c r="B27" s="10" t="s">
        <v>63</v>
      </c>
      <c r="C27" s="18">
        <f>((C26-C24)/1.18)+C24</f>
        <v>106730.339</v>
      </c>
    </row>
    <row r="28">
      <c r="B28" s="20" t="s">
        <v>65</v>
      </c>
      <c r="C28" s="55">
        <f>C27*70%</f>
        <v>74711.23729</v>
      </c>
    </row>
    <row r="29">
      <c r="B29" s="57" t="s">
        <v>66</v>
      </c>
      <c r="C29" s="55">
        <f>C28-C24</f>
        <v>56711.23729</v>
      </c>
    </row>
    <row r="30">
      <c r="B30" s="20" t="s">
        <v>67</v>
      </c>
      <c r="C30" s="55">
        <f>C27*30%</f>
        <v>32019.10169</v>
      </c>
    </row>
  </sheetData>
  <mergeCells count="2">
    <mergeCell ref="B2:C2"/>
    <mergeCell ref="D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3" t="s">
        <v>3</v>
      </c>
      <c r="C1" s="3" t="s">
        <v>4</v>
      </c>
      <c r="D1" s="5" t="s">
        <v>5</v>
      </c>
      <c r="E1" s="6" t="s">
        <v>6</v>
      </c>
      <c r="F1" s="3" t="s">
        <v>8</v>
      </c>
      <c r="G1" s="6" t="s">
        <v>9</v>
      </c>
      <c r="H1" s="8" t="s">
        <v>10</v>
      </c>
      <c r="I1" s="9" t="s">
        <v>12</v>
      </c>
    </row>
    <row r="2">
      <c r="A2" s="11">
        <v>46023.0</v>
      </c>
      <c r="B2" s="12" t="s">
        <v>14</v>
      </c>
      <c r="C2" s="14">
        <v>2.0</v>
      </c>
      <c r="D2" s="15" t="s">
        <v>15</v>
      </c>
      <c r="E2" s="14">
        <v>1360.0</v>
      </c>
      <c r="F2" s="14">
        <v>0.0</v>
      </c>
      <c r="G2" s="14">
        <v>500.0</v>
      </c>
      <c r="H2" s="17">
        <v>0.0</v>
      </c>
      <c r="I2" s="17">
        <f t="shared" ref="I2:I32" si="1">SUM(E2:H2)</f>
        <v>1860</v>
      </c>
    </row>
    <row r="3">
      <c r="A3" s="11">
        <v>46024.0</v>
      </c>
      <c r="B3" s="12" t="s">
        <v>28</v>
      </c>
      <c r="C3" s="17">
        <v>1.5</v>
      </c>
      <c r="D3" s="15" t="s">
        <v>15</v>
      </c>
      <c r="E3" s="23">
        <v>1000.0</v>
      </c>
      <c r="F3" s="17">
        <v>0.0</v>
      </c>
      <c r="G3" s="23">
        <v>150.0</v>
      </c>
      <c r="H3" s="17">
        <v>0.0</v>
      </c>
      <c r="I3" s="23">
        <f t="shared" si="1"/>
        <v>1150</v>
      </c>
    </row>
    <row r="4">
      <c r="A4" s="11">
        <v>46025.0</v>
      </c>
      <c r="B4" s="12" t="s">
        <v>31</v>
      </c>
      <c r="C4" s="17">
        <v>3.0</v>
      </c>
      <c r="D4" s="15" t="s">
        <v>15</v>
      </c>
      <c r="E4" s="23">
        <v>2080.0</v>
      </c>
      <c r="F4" s="17">
        <v>0.0</v>
      </c>
      <c r="G4" s="23">
        <v>500.0</v>
      </c>
      <c r="H4" s="17">
        <v>0.0</v>
      </c>
      <c r="I4" s="23">
        <f t="shared" si="1"/>
        <v>2580</v>
      </c>
    </row>
    <row r="5">
      <c r="A5" s="11">
        <v>46026.0</v>
      </c>
      <c r="B5" s="12" t="s">
        <v>35</v>
      </c>
      <c r="C5" s="17">
        <v>3.0</v>
      </c>
      <c r="D5" s="15" t="s">
        <v>15</v>
      </c>
      <c r="E5" s="23">
        <v>1360.0</v>
      </c>
      <c r="F5" s="17">
        <v>5600.0</v>
      </c>
      <c r="G5" s="23">
        <v>1025.0</v>
      </c>
      <c r="H5" s="17">
        <v>0.0</v>
      </c>
      <c r="I5" s="23">
        <f t="shared" si="1"/>
        <v>7985</v>
      </c>
    </row>
    <row r="6">
      <c r="A6" s="11">
        <v>46027.0</v>
      </c>
      <c r="B6" s="12" t="s">
        <v>38</v>
      </c>
      <c r="C6" s="17">
        <v>1.0</v>
      </c>
      <c r="D6" s="15" t="s">
        <v>15</v>
      </c>
      <c r="E6" s="17">
        <v>640.0</v>
      </c>
      <c r="F6" s="17">
        <v>0.0</v>
      </c>
      <c r="G6" s="23">
        <v>300.0</v>
      </c>
      <c r="H6" s="17">
        <v>0.0</v>
      </c>
      <c r="I6" s="17">
        <f t="shared" si="1"/>
        <v>940</v>
      </c>
    </row>
    <row r="7">
      <c r="A7" s="11">
        <v>46028.0</v>
      </c>
      <c r="B7" s="12" t="s">
        <v>40</v>
      </c>
      <c r="C7" s="17">
        <v>3.5</v>
      </c>
      <c r="D7" s="15" t="s">
        <v>15</v>
      </c>
      <c r="E7" s="17">
        <v>2920.0</v>
      </c>
      <c r="F7" s="17">
        <v>0.0</v>
      </c>
      <c r="G7" s="17">
        <v>800.0</v>
      </c>
      <c r="H7" s="17">
        <v>35.0</v>
      </c>
      <c r="I7" s="17">
        <f t="shared" si="1"/>
        <v>3755</v>
      </c>
    </row>
    <row r="8">
      <c r="A8" s="11">
        <v>46029.0</v>
      </c>
      <c r="B8" s="12" t="s">
        <v>43</v>
      </c>
      <c r="C8" s="17">
        <v>2.0</v>
      </c>
      <c r="D8" s="15" t="s">
        <v>15</v>
      </c>
      <c r="E8" s="23">
        <v>1280.0</v>
      </c>
      <c r="F8" s="17">
        <v>0.0</v>
      </c>
      <c r="G8" s="23">
        <v>150.0</v>
      </c>
      <c r="H8" s="17">
        <v>35.0</v>
      </c>
      <c r="I8" s="23">
        <f t="shared" si="1"/>
        <v>1465</v>
      </c>
    </row>
    <row r="9">
      <c r="A9" s="11">
        <v>46030.0</v>
      </c>
      <c r="B9" s="12" t="s">
        <v>14</v>
      </c>
      <c r="C9" s="17">
        <v>1.0</v>
      </c>
      <c r="D9" s="15" t="s">
        <v>15</v>
      </c>
      <c r="E9" s="23">
        <v>640.0</v>
      </c>
      <c r="F9" s="17">
        <v>0.0</v>
      </c>
      <c r="G9" s="23">
        <v>100.0</v>
      </c>
      <c r="H9" s="17">
        <v>0.0</v>
      </c>
      <c r="I9" s="23">
        <f t="shared" si="1"/>
        <v>740</v>
      </c>
    </row>
    <row r="10">
      <c r="A10" s="11">
        <v>46031.0</v>
      </c>
      <c r="B10" s="12" t="s">
        <v>28</v>
      </c>
      <c r="C10" s="14">
        <v>1.0</v>
      </c>
      <c r="D10" s="15" t="s">
        <v>15</v>
      </c>
      <c r="E10" s="23">
        <v>640.0</v>
      </c>
      <c r="F10" s="14">
        <v>0.0</v>
      </c>
      <c r="G10" s="23">
        <v>100.0</v>
      </c>
      <c r="H10" s="17">
        <v>0.0</v>
      </c>
      <c r="I10" s="23">
        <f t="shared" si="1"/>
        <v>740</v>
      </c>
    </row>
    <row r="11">
      <c r="A11" s="11">
        <v>46032.0</v>
      </c>
      <c r="B11" s="12" t="s">
        <v>31</v>
      </c>
      <c r="C11" s="14">
        <v>2.0</v>
      </c>
      <c r="D11" s="15" t="s">
        <v>15</v>
      </c>
      <c r="E11" s="23">
        <v>1280.0</v>
      </c>
      <c r="F11" s="14">
        <v>0.0</v>
      </c>
      <c r="G11" s="14">
        <v>600.0</v>
      </c>
      <c r="H11" s="17">
        <v>0.0</v>
      </c>
      <c r="I11" s="23">
        <f t="shared" si="1"/>
        <v>1880</v>
      </c>
    </row>
    <row r="12">
      <c r="A12" s="11">
        <v>46033.0</v>
      </c>
      <c r="B12" s="12" t="s">
        <v>35</v>
      </c>
      <c r="C12" s="17">
        <v>3.0</v>
      </c>
      <c r="D12" s="15" t="s">
        <v>15</v>
      </c>
      <c r="E12" s="17">
        <v>1920.0</v>
      </c>
      <c r="F12" s="17">
        <v>0.0</v>
      </c>
      <c r="G12" s="23">
        <v>200.0</v>
      </c>
      <c r="H12" s="17">
        <v>0.0</v>
      </c>
      <c r="I12" s="17">
        <f t="shared" si="1"/>
        <v>2120</v>
      </c>
    </row>
    <row r="13">
      <c r="A13" s="11">
        <v>46034.0</v>
      </c>
      <c r="B13" s="12" t="s">
        <v>38</v>
      </c>
      <c r="C13" s="17">
        <v>2.5</v>
      </c>
      <c r="D13" s="15" t="s">
        <v>15</v>
      </c>
      <c r="E13" s="23">
        <v>1600.0</v>
      </c>
      <c r="F13" s="17">
        <v>0.0</v>
      </c>
      <c r="G13" s="23">
        <v>200.0</v>
      </c>
      <c r="H13" s="17">
        <v>0.0</v>
      </c>
      <c r="I13" s="23">
        <f t="shared" si="1"/>
        <v>1800</v>
      </c>
    </row>
    <row r="14">
      <c r="A14" s="11">
        <v>46035.0</v>
      </c>
      <c r="B14" s="12" t="s">
        <v>40</v>
      </c>
      <c r="C14" s="17">
        <v>0.0</v>
      </c>
      <c r="D14" s="15" t="s">
        <v>15</v>
      </c>
      <c r="E14" s="17">
        <v>0.0</v>
      </c>
      <c r="F14" s="17">
        <v>400.0</v>
      </c>
      <c r="G14" s="17">
        <v>0.0</v>
      </c>
      <c r="H14" s="17">
        <v>0.0</v>
      </c>
      <c r="I14" s="17">
        <f t="shared" si="1"/>
        <v>400</v>
      </c>
    </row>
    <row r="15">
      <c r="A15" s="11">
        <v>46036.0</v>
      </c>
      <c r="B15" s="12" t="s">
        <v>43</v>
      </c>
      <c r="C15" s="17">
        <v>4.0</v>
      </c>
      <c r="D15" s="15" t="s">
        <v>15</v>
      </c>
      <c r="E15" s="17">
        <v>2000.0</v>
      </c>
      <c r="F15" s="17">
        <v>1400.0</v>
      </c>
      <c r="G15" s="17">
        <v>450.0</v>
      </c>
      <c r="H15" s="17">
        <v>0.0</v>
      </c>
      <c r="I15" s="17">
        <f t="shared" si="1"/>
        <v>3850</v>
      </c>
    </row>
    <row r="16">
      <c r="A16" s="11">
        <v>46037.0</v>
      </c>
      <c r="B16" s="12" t="s">
        <v>14</v>
      </c>
      <c r="C16" s="17">
        <v>2.0</v>
      </c>
      <c r="D16" s="15" t="s">
        <v>15</v>
      </c>
      <c r="E16" s="17">
        <v>1280.0</v>
      </c>
      <c r="F16" s="17">
        <v>0.0</v>
      </c>
      <c r="G16" s="17">
        <v>150.0</v>
      </c>
      <c r="H16" s="17">
        <v>0.0</v>
      </c>
      <c r="I16" s="17">
        <f t="shared" si="1"/>
        <v>1430</v>
      </c>
    </row>
    <row r="17">
      <c r="A17" s="11">
        <v>46038.0</v>
      </c>
      <c r="B17" s="12" t="s">
        <v>28</v>
      </c>
      <c r="C17" s="17">
        <v>2.0</v>
      </c>
      <c r="D17" s="15" t="s">
        <v>15</v>
      </c>
      <c r="E17" s="17">
        <v>1320.0</v>
      </c>
      <c r="F17" s="17">
        <v>0.0</v>
      </c>
      <c r="G17" s="17">
        <v>400.0</v>
      </c>
      <c r="H17" s="17">
        <v>35.0</v>
      </c>
      <c r="I17" s="17">
        <f t="shared" si="1"/>
        <v>1755</v>
      </c>
    </row>
    <row r="18">
      <c r="A18" s="11">
        <v>46039.0</v>
      </c>
      <c r="B18" s="12" t="s">
        <v>31</v>
      </c>
      <c r="C18" s="17">
        <v>3.0</v>
      </c>
      <c r="D18" s="15" t="s">
        <v>15</v>
      </c>
      <c r="E18" s="17">
        <v>1920.0</v>
      </c>
      <c r="F18" s="17">
        <v>0.0</v>
      </c>
      <c r="G18" s="17">
        <v>400.0</v>
      </c>
      <c r="H18" s="17">
        <v>0.0</v>
      </c>
      <c r="I18" s="17">
        <f t="shared" si="1"/>
        <v>2320</v>
      </c>
    </row>
    <row r="19">
      <c r="A19" s="11">
        <v>46040.0</v>
      </c>
      <c r="B19" s="12" t="s">
        <v>35</v>
      </c>
      <c r="C19" s="17">
        <v>3.0</v>
      </c>
      <c r="D19" s="15" t="s">
        <v>15</v>
      </c>
      <c r="E19" s="17">
        <v>2000.0</v>
      </c>
      <c r="F19" s="17">
        <v>0.0</v>
      </c>
      <c r="G19" s="17">
        <v>1100.0</v>
      </c>
      <c r="H19" s="17">
        <v>35.0</v>
      </c>
      <c r="I19" s="17">
        <f t="shared" si="1"/>
        <v>3135</v>
      </c>
    </row>
    <row r="20">
      <c r="A20" s="11">
        <v>46041.0</v>
      </c>
      <c r="B20" s="12" t="s">
        <v>38</v>
      </c>
      <c r="C20" s="17">
        <v>5.0</v>
      </c>
      <c r="D20" s="15" t="s">
        <v>15</v>
      </c>
      <c r="E20" s="17">
        <v>2620.0</v>
      </c>
      <c r="F20" s="17">
        <v>1400.0</v>
      </c>
      <c r="G20" s="17">
        <v>400.0</v>
      </c>
      <c r="H20" s="17">
        <v>0.0</v>
      </c>
      <c r="I20" s="17">
        <f t="shared" si="1"/>
        <v>4420</v>
      </c>
    </row>
    <row r="21">
      <c r="A21" s="11">
        <v>46042.0</v>
      </c>
      <c r="B21" s="12" t="s">
        <v>40</v>
      </c>
      <c r="C21" s="17">
        <v>5.0</v>
      </c>
      <c r="D21" s="15" t="s">
        <v>15</v>
      </c>
      <c r="E21" s="17">
        <v>3200.0</v>
      </c>
      <c r="F21" s="17">
        <v>0.0</v>
      </c>
      <c r="G21" s="17">
        <v>500.0</v>
      </c>
      <c r="H21" s="17">
        <v>0.0</v>
      </c>
      <c r="I21" s="17">
        <f t="shared" si="1"/>
        <v>3700</v>
      </c>
    </row>
    <row r="22">
      <c r="A22" s="11">
        <v>46043.0</v>
      </c>
      <c r="B22" s="12" t="s">
        <v>43</v>
      </c>
      <c r="C22" s="17">
        <v>2.0</v>
      </c>
      <c r="D22" s="15" t="s">
        <v>15</v>
      </c>
      <c r="E22" s="17">
        <v>1280.0</v>
      </c>
      <c r="F22" s="17">
        <v>0.0</v>
      </c>
      <c r="G22" s="17">
        <v>250.0</v>
      </c>
      <c r="H22" s="17">
        <v>0.0</v>
      </c>
      <c r="I22" s="17">
        <f t="shared" si="1"/>
        <v>1530</v>
      </c>
    </row>
    <row r="23">
      <c r="A23" s="11">
        <v>46044.0</v>
      </c>
      <c r="B23" s="12" t="s">
        <v>14</v>
      </c>
      <c r="C23" s="17">
        <v>3.0</v>
      </c>
      <c r="D23" s="15" t="s">
        <v>15</v>
      </c>
      <c r="E23" s="17">
        <v>1920.0</v>
      </c>
      <c r="F23" s="17">
        <v>0.0</v>
      </c>
      <c r="G23" s="17">
        <v>350.0</v>
      </c>
      <c r="H23" s="17">
        <v>0.0</v>
      </c>
      <c r="I23" s="17">
        <f t="shared" si="1"/>
        <v>2270</v>
      </c>
    </row>
    <row r="24">
      <c r="A24" s="11">
        <v>46045.0</v>
      </c>
      <c r="B24" s="12" t="s">
        <v>28</v>
      </c>
      <c r="C24" s="17">
        <v>0.0</v>
      </c>
      <c r="D24" s="15" t="s">
        <v>15</v>
      </c>
      <c r="E24" s="17">
        <v>0.0</v>
      </c>
      <c r="F24" s="17">
        <v>0.0</v>
      </c>
      <c r="G24" s="17">
        <v>0.0</v>
      </c>
      <c r="H24" s="17">
        <v>0.0</v>
      </c>
      <c r="I24" s="17">
        <f t="shared" si="1"/>
        <v>0</v>
      </c>
    </row>
    <row r="25">
      <c r="A25" s="11">
        <v>46046.0</v>
      </c>
      <c r="B25" s="12" t="s">
        <v>31</v>
      </c>
      <c r="C25" s="17">
        <v>2.0</v>
      </c>
      <c r="D25" s="15" t="s">
        <v>15</v>
      </c>
      <c r="E25" s="17">
        <v>640.0</v>
      </c>
      <c r="F25" s="17">
        <v>1050.0</v>
      </c>
      <c r="G25" s="17">
        <v>600.0</v>
      </c>
      <c r="H25" s="17">
        <v>0.0</v>
      </c>
      <c r="I25" s="17">
        <f t="shared" si="1"/>
        <v>2290</v>
      </c>
    </row>
    <row r="26">
      <c r="A26" s="11">
        <v>46047.0</v>
      </c>
      <c r="B26" s="12" t="s">
        <v>35</v>
      </c>
      <c r="C26" s="17">
        <v>4.5</v>
      </c>
      <c r="D26" s="15" t="s">
        <v>15</v>
      </c>
      <c r="E26" s="17">
        <v>3000.0</v>
      </c>
      <c r="F26" s="17">
        <v>0.0</v>
      </c>
      <c r="G26" s="17">
        <v>800.0</v>
      </c>
      <c r="H26" s="17">
        <v>0.0</v>
      </c>
      <c r="I26" s="17">
        <f t="shared" si="1"/>
        <v>3800</v>
      </c>
    </row>
    <row r="27">
      <c r="A27" s="11">
        <v>46048.0</v>
      </c>
      <c r="B27" s="12" t="s">
        <v>38</v>
      </c>
      <c r="C27" s="17">
        <v>1.0</v>
      </c>
      <c r="D27" s="15" t="s">
        <v>15</v>
      </c>
      <c r="E27" s="17">
        <v>596.0</v>
      </c>
      <c r="F27" s="17">
        <v>0.0</v>
      </c>
      <c r="G27" s="17">
        <v>500.0</v>
      </c>
      <c r="H27" s="17">
        <v>0.0</v>
      </c>
      <c r="I27" s="17">
        <f t="shared" si="1"/>
        <v>1096</v>
      </c>
    </row>
    <row r="28">
      <c r="A28" s="11">
        <v>46049.0</v>
      </c>
      <c r="B28" s="12" t="s">
        <v>40</v>
      </c>
      <c r="C28" s="17">
        <v>0.0</v>
      </c>
      <c r="D28" s="15" t="s">
        <v>15</v>
      </c>
      <c r="E28" s="17">
        <v>0.0</v>
      </c>
      <c r="F28" s="17">
        <v>0.0</v>
      </c>
      <c r="G28" s="17">
        <v>0.0</v>
      </c>
      <c r="H28" s="17">
        <v>0.0</v>
      </c>
      <c r="I28" s="17">
        <f t="shared" si="1"/>
        <v>0</v>
      </c>
    </row>
    <row r="29">
      <c r="A29" s="11">
        <v>46050.0</v>
      </c>
      <c r="B29" s="12" t="s">
        <v>43</v>
      </c>
      <c r="C29" s="17">
        <v>2.0</v>
      </c>
      <c r="D29" s="15" t="s">
        <v>15</v>
      </c>
      <c r="E29" s="17">
        <v>1280.0</v>
      </c>
      <c r="F29" s="17">
        <v>0.0</v>
      </c>
      <c r="G29" s="17">
        <v>350.0</v>
      </c>
      <c r="H29" s="17">
        <v>0.0</v>
      </c>
      <c r="I29" s="17">
        <f t="shared" si="1"/>
        <v>1630</v>
      </c>
    </row>
    <row r="30">
      <c r="A30" s="11">
        <v>46051.0</v>
      </c>
      <c r="B30" s="12" t="s">
        <v>14</v>
      </c>
      <c r="C30" s="17">
        <v>7.0</v>
      </c>
      <c r="D30" s="15" t="s">
        <v>15</v>
      </c>
      <c r="E30" s="17">
        <v>4870.0</v>
      </c>
      <c r="F30" s="17">
        <v>0.0</v>
      </c>
      <c r="G30" s="17">
        <v>650.0</v>
      </c>
      <c r="H30" s="17">
        <v>0.0</v>
      </c>
      <c r="I30" s="17">
        <f t="shared" si="1"/>
        <v>5520</v>
      </c>
    </row>
    <row r="31">
      <c r="A31" s="11">
        <v>46052.0</v>
      </c>
      <c r="B31" s="12" t="s">
        <v>28</v>
      </c>
      <c r="C31" s="17">
        <v>2.0</v>
      </c>
      <c r="D31" s="15" t="s">
        <v>15</v>
      </c>
      <c r="E31" s="17">
        <v>1280.0</v>
      </c>
      <c r="F31" s="17">
        <v>2200.0</v>
      </c>
      <c r="G31" s="17">
        <v>450.0</v>
      </c>
      <c r="H31" s="17">
        <v>0.0</v>
      </c>
      <c r="I31" s="17">
        <f t="shared" si="1"/>
        <v>3930</v>
      </c>
    </row>
    <row r="32">
      <c r="A32" s="11">
        <v>46053.0</v>
      </c>
      <c r="B32" s="12" t="s">
        <v>31</v>
      </c>
      <c r="C32" s="17">
        <v>2.0</v>
      </c>
      <c r="D32" s="15" t="s">
        <v>15</v>
      </c>
      <c r="E32" s="17">
        <v>1360.0</v>
      </c>
      <c r="F32" s="17">
        <v>0.0</v>
      </c>
      <c r="G32" s="17">
        <v>400.0</v>
      </c>
      <c r="H32" s="17">
        <v>0.0</v>
      </c>
      <c r="I32" s="17">
        <f t="shared" si="1"/>
        <v>1760</v>
      </c>
      <c r="J32" s="51"/>
      <c r="K32" s="51"/>
      <c r="L32" s="51"/>
      <c r="M32" s="51"/>
      <c r="N32" s="51"/>
      <c r="O32" s="51"/>
      <c r="P32" s="51"/>
    </row>
    <row r="33">
      <c r="A33" s="52" t="s">
        <v>64</v>
      </c>
      <c r="B33" s="53"/>
      <c r="C33" s="54">
        <f>SUM(C2:C32)</f>
        <v>75</v>
      </c>
      <c r="D33" s="56"/>
      <c r="E33" s="54">
        <f t="shared" ref="E33:I33" si="2">SUM(E2:E32)</f>
        <v>47286</v>
      </c>
      <c r="F33" s="54">
        <f t="shared" si="2"/>
        <v>12050</v>
      </c>
      <c r="G33" s="54">
        <f t="shared" si="2"/>
        <v>12375</v>
      </c>
      <c r="H33" s="54">
        <f t="shared" si="2"/>
        <v>140</v>
      </c>
      <c r="I33" s="54">
        <f t="shared" si="2"/>
        <v>71851</v>
      </c>
      <c r="J33" s="51"/>
      <c r="K33" s="51"/>
      <c r="L33" s="51"/>
      <c r="M33" s="51"/>
      <c r="N33" s="51"/>
      <c r="O33" s="51"/>
      <c r="P33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3" t="s">
        <v>0</v>
      </c>
      <c r="B1" s="16" t="s">
        <v>1</v>
      </c>
      <c r="C1" s="16" t="s">
        <v>16</v>
      </c>
      <c r="D1" s="16" t="s">
        <v>18</v>
      </c>
      <c r="E1" s="16" t="s">
        <v>20</v>
      </c>
      <c r="F1" s="16" t="s">
        <v>22</v>
      </c>
      <c r="G1" s="16" t="s">
        <v>23</v>
      </c>
      <c r="H1" s="19" t="s">
        <v>11</v>
      </c>
      <c r="I1" s="21"/>
    </row>
    <row r="2">
      <c r="A2" s="20"/>
      <c r="B2" s="22" t="s">
        <v>30</v>
      </c>
      <c r="C2" s="26">
        <v>1895.0</v>
      </c>
      <c r="D2" s="26">
        <v>249.6</v>
      </c>
      <c r="E2" s="29">
        <f t="shared" ref="E2:E6" si="1">C2 - D2</f>
        <v>1645.4</v>
      </c>
      <c r="F2" s="26">
        <v>1.62</v>
      </c>
      <c r="G2" s="26">
        <v>8.13</v>
      </c>
      <c r="H2" s="30">
        <v>1660.64</v>
      </c>
    </row>
    <row r="3">
      <c r="A3" s="32"/>
      <c r="B3" s="32" t="s">
        <v>37</v>
      </c>
      <c r="C3" s="26">
        <v>4480.0</v>
      </c>
      <c r="D3" s="26">
        <v>582.4</v>
      </c>
      <c r="E3" s="29">
        <f t="shared" si="1"/>
        <v>3897.6</v>
      </c>
      <c r="F3" s="26">
        <v>3.79</v>
      </c>
      <c r="G3" s="26">
        <v>18.98</v>
      </c>
      <c r="H3" s="30">
        <v>3874.83</v>
      </c>
    </row>
    <row r="4">
      <c r="A4" s="33"/>
      <c r="B4" s="34" t="s">
        <v>42</v>
      </c>
      <c r="C4" s="34">
        <v>2720.0</v>
      </c>
      <c r="D4" s="34">
        <v>353.6</v>
      </c>
      <c r="E4" s="29">
        <f t="shared" si="1"/>
        <v>2366.4</v>
      </c>
      <c r="F4" s="34">
        <v>2.3</v>
      </c>
      <c r="G4" s="34">
        <v>11.52</v>
      </c>
      <c r="H4" s="34">
        <v>23.59</v>
      </c>
    </row>
    <row r="5">
      <c r="A5" s="33"/>
      <c r="B5" s="34" t="s">
        <v>45</v>
      </c>
      <c r="C5" s="34">
        <v>3776.0</v>
      </c>
      <c r="D5" s="34">
        <v>490.88</v>
      </c>
      <c r="E5" s="29">
        <f t="shared" si="1"/>
        <v>3285.12</v>
      </c>
      <c r="F5" s="34">
        <v>3.2</v>
      </c>
      <c r="G5" s="34">
        <v>16.0</v>
      </c>
      <c r="H5" s="34">
        <v>3265.92</v>
      </c>
    </row>
    <row r="6">
      <c r="A6" s="39"/>
      <c r="B6" s="34" t="s">
        <v>47</v>
      </c>
      <c r="C6" s="30">
        <v>3275.0</v>
      </c>
      <c r="D6" s="34">
        <v>429.0</v>
      </c>
      <c r="E6" s="29">
        <f t="shared" si="1"/>
        <v>2846</v>
      </c>
      <c r="F6" s="34">
        <v>2.79</v>
      </c>
      <c r="G6" s="34">
        <v>13.98</v>
      </c>
      <c r="H6" s="30">
        <v>2854.22</v>
      </c>
    </row>
    <row r="7">
      <c r="A7" s="37"/>
      <c r="B7" s="20"/>
      <c r="C7" s="41">
        <f>SUM(C2:C6)</f>
        <v>16146</v>
      </c>
      <c r="D7" s="20"/>
      <c r="E7" s="41">
        <f>SUM(E2:E6)</f>
        <v>14040.52</v>
      </c>
      <c r="F7" s="20"/>
      <c r="G7" s="20"/>
      <c r="H7" s="47">
        <f>SUM(H2:H6)</f>
        <v>11679.2</v>
      </c>
    </row>
    <row r="8">
      <c r="E8" s="41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3" t="s">
        <v>0</v>
      </c>
      <c r="B1" s="16" t="s">
        <v>1</v>
      </c>
      <c r="C1" s="16" t="s">
        <v>17</v>
      </c>
      <c r="D1" s="16" t="s">
        <v>19</v>
      </c>
      <c r="E1" s="16" t="s">
        <v>21</v>
      </c>
      <c r="F1" s="16" t="s">
        <v>20</v>
      </c>
      <c r="G1" s="16" t="s">
        <v>24</v>
      </c>
      <c r="H1" s="16" t="s">
        <v>25</v>
      </c>
      <c r="I1" s="16" t="s">
        <v>26</v>
      </c>
    </row>
    <row r="2">
      <c r="A2" s="22"/>
      <c r="B2" s="24" t="s">
        <v>29</v>
      </c>
      <c r="C2" s="25">
        <v>364.56</v>
      </c>
      <c r="D2" s="25">
        <v>28.0</v>
      </c>
      <c r="E2" s="25">
        <v>5.04</v>
      </c>
      <c r="F2" s="29">
        <f t="shared" ref="F2:F4" si="1">C2 -D2-E2</f>
        <v>331.52</v>
      </c>
      <c r="G2" s="25">
        <v>0.4</v>
      </c>
      <c r="H2" s="25">
        <v>2.0</v>
      </c>
      <c r="I2" s="25">
        <v>364.56</v>
      </c>
    </row>
    <row r="3">
      <c r="A3" s="22"/>
      <c r="B3" s="24" t="s">
        <v>34</v>
      </c>
      <c r="C3" s="31">
        <v>400.0</v>
      </c>
      <c r="D3" s="31">
        <v>28.0</v>
      </c>
      <c r="E3" s="31">
        <v>5.04</v>
      </c>
      <c r="F3" s="29">
        <f t="shared" si="1"/>
        <v>366.96</v>
      </c>
      <c r="G3" s="25">
        <v>0.4</v>
      </c>
      <c r="H3" s="25">
        <v>2.0</v>
      </c>
      <c r="I3" s="25">
        <v>364.56</v>
      </c>
    </row>
    <row r="4">
      <c r="A4" s="32"/>
      <c r="B4" s="34" t="s">
        <v>41</v>
      </c>
      <c r="C4" s="34">
        <v>1312.0</v>
      </c>
      <c r="D4" s="34">
        <v>112.0</v>
      </c>
      <c r="E4" s="34">
        <v>20.16</v>
      </c>
      <c r="F4" s="35">
        <f t="shared" si="1"/>
        <v>1179.84</v>
      </c>
      <c r="G4" s="36">
        <v>1.31</v>
      </c>
      <c r="H4" s="34">
        <v>5.65</v>
      </c>
      <c r="I4" s="34">
        <v>171.91</v>
      </c>
    </row>
    <row r="5">
      <c r="A5" s="37"/>
      <c r="B5" s="20"/>
      <c r="C5" s="38"/>
      <c r="D5" s="40"/>
      <c r="E5" s="20"/>
      <c r="F5" s="41"/>
      <c r="G5" s="20"/>
      <c r="H5" s="20"/>
      <c r="I5" s="40"/>
    </row>
    <row r="6">
      <c r="A6" s="37"/>
      <c r="B6" s="20"/>
      <c r="C6" s="43">
        <f>SUM(C2:C4)</f>
        <v>2076.56</v>
      </c>
      <c r="D6" s="40"/>
      <c r="E6" s="20"/>
      <c r="F6" s="44">
        <f>SUM(F2:F4)</f>
        <v>1878.32</v>
      </c>
      <c r="G6" s="20"/>
      <c r="H6" s="20"/>
      <c r="I6" s="43">
        <f>SUM(I2:I4)</f>
        <v>901.03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</cols>
  <sheetData>
    <row r="1">
      <c r="A1" s="58" t="s">
        <v>0</v>
      </c>
      <c r="B1" s="19" t="s">
        <v>1</v>
      </c>
      <c r="C1" s="19" t="s">
        <v>68</v>
      </c>
      <c r="D1" s="19" t="s">
        <v>19</v>
      </c>
      <c r="E1" s="59" t="s">
        <v>69</v>
      </c>
      <c r="F1" s="19" t="s">
        <v>20</v>
      </c>
      <c r="G1" s="60" t="s">
        <v>23</v>
      </c>
      <c r="H1" s="60" t="s">
        <v>22</v>
      </c>
      <c r="I1" s="19" t="s">
        <v>26</v>
      </c>
    </row>
    <row r="2">
      <c r="A2" s="61"/>
      <c r="B2" s="32" t="s">
        <v>70</v>
      </c>
      <c r="C2" s="30">
        <v>1600.0</v>
      </c>
      <c r="D2" s="34">
        <f t="shared" ref="D2:D4" si="1">C2*2%</f>
        <v>32</v>
      </c>
      <c r="E2" s="62">
        <f t="shared" ref="E2:E4" si="2">D2*18%</f>
        <v>5.76</v>
      </c>
      <c r="F2" s="62">
        <f t="shared" ref="F2:F4" si="3">C2-D2-E2</f>
        <v>1562.24</v>
      </c>
      <c r="G2" s="32">
        <f t="shared" ref="G2:G4" si="4">C2*0.5%</f>
        <v>8</v>
      </c>
      <c r="H2" s="32">
        <f t="shared" ref="H2:H4" si="5">D2*0.1%</f>
        <v>0.032</v>
      </c>
      <c r="I2" s="32">
        <f t="shared" ref="I2:I4" si="6">F2-G2-H2</f>
        <v>1554.208</v>
      </c>
    </row>
    <row r="3">
      <c r="A3" s="37"/>
      <c r="B3" s="24" t="s">
        <v>42</v>
      </c>
      <c r="C3" s="34">
        <v>2400.0</v>
      </c>
      <c r="D3" s="34">
        <f t="shared" si="1"/>
        <v>48</v>
      </c>
      <c r="E3" s="62">
        <f t="shared" si="2"/>
        <v>8.64</v>
      </c>
      <c r="F3" s="62">
        <f t="shared" si="3"/>
        <v>2343.36</v>
      </c>
      <c r="G3" s="32">
        <f t="shared" si="4"/>
        <v>12</v>
      </c>
      <c r="H3" s="32">
        <f t="shared" si="5"/>
        <v>0.048</v>
      </c>
      <c r="I3" s="32">
        <f t="shared" si="6"/>
        <v>2331.312</v>
      </c>
    </row>
    <row r="4">
      <c r="A4" s="37"/>
      <c r="B4" s="24" t="s">
        <v>73</v>
      </c>
      <c r="C4" s="30">
        <v>2400.0</v>
      </c>
      <c r="D4" s="34">
        <f t="shared" si="1"/>
        <v>48</v>
      </c>
      <c r="E4" s="62">
        <f t="shared" si="2"/>
        <v>8.64</v>
      </c>
      <c r="F4" s="62">
        <f t="shared" si="3"/>
        <v>2343.36</v>
      </c>
      <c r="G4" s="32">
        <f t="shared" si="4"/>
        <v>12</v>
      </c>
      <c r="H4" s="32">
        <f t="shared" si="5"/>
        <v>0.048</v>
      </c>
      <c r="I4" s="32">
        <f t="shared" si="6"/>
        <v>2331.312</v>
      </c>
    </row>
    <row r="5">
      <c r="A5" s="37"/>
      <c r="B5" s="10" t="s">
        <v>64</v>
      </c>
      <c r="C5" s="47">
        <f>SUM(C2:C4)</f>
        <v>6400</v>
      </c>
      <c r="D5" s="20"/>
      <c r="E5" s="67"/>
      <c r="F5" s="41">
        <f>SUM(F2:F4)</f>
        <v>6248.96</v>
      </c>
      <c r="G5" s="41"/>
      <c r="H5" s="20"/>
      <c r="I5" s="47">
        <f>SUM(I2:I4)</f>
        <v>6216.832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8" t="s">
        <v>0</v>
      </c>
      <c r="B1" s="19" t="s">
        <v>1</v>
      </c>
      <c r="C1" s="19" t="s">
        <v>71</v>
      </c>
      <c r="D1" s="19" t="s">
        <v>19</v>
      </c>
      <c r="E1" s="19" t="s">
        <v>26</v>
      </c>
    </row>
    <row r="2">
      <c r="A2" s="33"/>
      <c r="B2" s="34" t="s">
        <v>72</v>
      </c>
      <c r="C2" s="30">
        <v>1140.0</v>
      </c>
      <c r="D2" s="63">
        <f>C2*5%</f>
        <v>57</v>
      </c>
      <c r="E2" s="64">
        <f>C2-D2</f>
        <v>1083</v>
      </c>
    </row>
    <row r="3">
      <c r="A3" s="65"/>
      <c r="B3" s="24"/>
      <c r="C3" s="24"/>
      <c r="D3" s="24"/>
      <c r="E3" s="24"/>
    </row>
    <row r="4">
      <c r="A4" s="37"/>
      <c r="B4" s="20"/>
      <c r="C4" s="66">
        <f t="shared" ref="C4:E4" si="1">SUM(C2:C3)</f>
        <v>1140</v>
      </c>
      <c r="D4" s="32">
        <f t="shared" si="1"/>
        <v>57</v>
      </c>
      <c r="E4" s="66">
        <f t="shared" si="1"/>
        <v>1083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13" t="s">
        <v>0</v>
      </c>
      <c r="B1" s="16" t="s">
        <v>1</v>
      </c>
      <c r="C1" s="16" t="s">
        <v>74</v>
      </c>
      <c r="D1" s="68" t="s">
        <v>75</v>
      </c>
      <c r="E1" s="68" t="s">
        <v>76</v>
      </c>
      <c r="F1" s="16" t="s">
        <v>26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22"/>
      <c r="B2" s="34" t="s">
        <v>77</v>
      </c>
      <c r="C2" s="18">
        <v>0.0</v>
      </c>
      <c r="D2" s="22"/>
      <c r="E2" s="22"/>
      <c r="F2" s="6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>
      <c r="A3" s="37"/>
      <c r="B3" s="61"/>
      <c r="C3" s="12"/>
      <c r="D3" s="37"/>
      <c r="E3" s="37"/>
      <c r="F3" s="70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>
      <c r="A4" s="37"/>
      <c r="B4" s="61"/>
      <c r="C4" s="12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>
      <c r="A5" s="61"/>
      <c r="B5" s="61"/>
      <c r="C5" s="1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>
      <c r="A6" s="37"/>
      <c r="B6" s="37"/>
      <c r="C6" s="72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>
      <c r="A9" s="61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>
      <c r="A10" s="61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>
      <c r="A11" s="61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>
      <c r="A12" s="61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>
      <c r="A13" s="61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71" t="s">
        <v>0</v>
      </c>
      <c r="B1" s="16" t="s">
        <v>1</v>
      </c>
      <c r="C1" s="68" t="s">
        <v>78</v>
      </c>
      <c r="D1" s="12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>
      <c r="A2" s="22"/>
      <c r="B2" s="34" t="s">
        <v>77</v>
      </c>
      <c r="C2" s="18">
        <v>0.0</v>
      </c>
      <c r="D2" s="12"/>
      <c r="E2" s="70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>
      <c r="A3" s="37"/>
      <c r="B3" s="61"/>
      <c r="C3" s="12"/>
      <c r="D3" s="37"/>
      <c r="E3" s="70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>
      <c r="A4" s="37"/>
      <c r="B4" s="61"/>
      <c r="C4" s="12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>
      <c r="A5" s="61"/>
      <c r="B5" s="61"/>
      <c r="C5" s="1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>
      <c r="A6" s="37"/>
      <c r="B6" s="37"/>
      <c r="C6" s="72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>
      <c r="A9" s="61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>
      <c r="A10" s="61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>
      <c r="A11" s="61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>
      <c r="A12" s="61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>
      <c r="A13" s="61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38"/>
    <col customWidth="1" min="2" max="2" width="14.63"/>
    <col customWidth="1" min="3" max="3" width="17.13"/>
    <col customWidth="1" min="4" max="4" width="8.88"/>
    <col customWidth="1" min="5" max="5" width="15.25"/>
  </cols>
  <sheetData>
    <row r="1">
      <c r="A1" s="16" t="s">
        <v>79</v>
      </c>
      <c r="B1" s="16" t="s">
        <v>80</v>
      </c>
      <c r="C1" s="16" t="s">
        <v>81</v>
      </c>
      <c r="D1" s="16" t="s">
        <v>82</v>
      </c>
      <c r="E1" s="73" t="s">
        <v>83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65" t="s">
        <v>84</v>
      </c>
      <c r="B2" s="65" t="s">
        <v>85</v>
      </c>
      <c r="C2" s="65" t="s">
        <v>86</v>
      </c>
      <c r="D2" s="74">
        <v>46024.0</v>
      </c>
      <c r="E2" s="75">
        <v>9600.0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4">
      <c r="A4" s="76" t="s">
        <v>64</v>
      </c>
      <c r="B4" s="77"/>
      <c r="C4" s="77"/>
      <c r="D4" s="77"/>
      <c r="E4" s="78">
        <f>SUM(E2)</f>
        <v>9600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25"/>
    <col customWidth="1" min="5" max="5" width="15.25"/>
  </cols>
  <sheetData>
    <row r="1">
      <c r="A1" s="68" t="s">
        <v>87</v>
      </c>
      <c r="B1" s="68" t="s">
        <v>56</v>
      </c>
      <c r="C1" s="68" t="s">
        <v>80</v>
      </c>
      <c r="D1" s="16" t="s">
        <v>88</v>
      </c>
      <c r="E1" s="16" t="s">
        <v>83</v>
      </c>
    </row>
    <row r="2">
      <c r="A2" s="24" t="s">
        <v>89</v>
      </c>
      <c r="B2" s="20" t="s">
        <v>90</v>
      </c>
      <c r="C2" s="20" t="s">
        <v>91</v>
      </c>
      <c r="D2" s="79" t="s">
        <v>92</v>
      </c>
      <c r="E2" s="80">
        <v>18000.0</v>
      </c>
    </row>
  </sheetData>
  <drawing r:id="rId1"/>
</worksheet>
</file>