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  <sheet state="visible" name="Social EventsTournament" sheetId="5" r:id="rId9"/>
    <sheet state="visible" name="Academy" sheetId="6" r:id="rId10"/>
    <sheet state="visible" name="B2B" sheetId="7" r:id="rId11"/>
    <sheet state="visible" name="Corporate Event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Paddle Payment Collect By Gauran for 2 hours</t>
      </text>
    </comment>
  </commentList>
</comments>
</file>

<file path=xl/sharedStrings.xml><?xml version="1.0" encoding="utf-8"?>
<sst xmlns="http://schemas.openxmlformats.org/spreadsheetml/2006/main" count="219" uniqueCount="115">
  <si>
    <t>1 - 30 June</t>
  </si>
  <si>
    <t>Amount</t>
  </si>
  <si>
    <t>Particulars</t>
  </si>
  <si>
    <t>Total</t>
  </si>
  <si>
    <t>Pickleball</t>
  </si>
  <si>
    <t>Padel</t>
  </si>
  <si>
    <t>Turf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</si>
  <si>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</si>
  <si>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</si>
  <si>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</si>
  <si>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</si>
  <si>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</si>
  <si>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</si>
  <si>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</si>
  <si>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</si>
  <si>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</si>
  <si>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</si>
  <si>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</si>
  <si>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</si>
  <si>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</si>
  <si>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</si>
  <si>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</si>
  <si>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</si>
  <si>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</si>
  <si>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</si>
  <si>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</si>
  <si>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</si>
  <si>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</si>
  <si>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</si>
  <si>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</si>
  <si>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</si>
  <si>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</si>
  <si>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SD Vidya School's Share (60%)</t>
  </si>
  <si>
    <t>RG &amp; DPC's Share (40%)</t>
  </si>
  <si>
    <t>Expenses</t>
  </si>
  <si>
    <t>Venue Manager Salary (Shubham -25k base)</t>
  </si>
  <si>
    <t>Includes overtime/leave not taken for 11 days in July and 2500rs from last month we missed adding</t>
  </si>
  <si>
    <t>FnF Housekeeping (Arun)</t>
  </si>
  <si>
    <t>Housekeeping Salary (Shiva)</t>
  </si>
  <si>
    <t>Includes 1500 for paid leaves not taken</t>
  </si>
  <si>
    <t>Additional Manager/Coach Salary (Govind - 25k base)</t>
  </si>
  <si>
    <t>VM Conveyance Reimbursement</t>
  </si>
  <si>
    <t>Geenerator for Event</t>
  </si>
  <si>
    <t>Ops Managers Reimbursements</t>
  </si>
  <si>
    <t>This is for expenses incurred by ops manager for the noida venue operations</t>
  </si>
  <si>
    <t>Inventory (fastnup)</t>
  </si>
  <si>
    <t>Event Expenses</t>
  </si>
  <si>
    <t>medals and prize money</t>
  </si>
  <si>
    <t>Marketing Expense</t>
  </si>
  <si>
    <t>Electricity Bill (June)</t>
  </si>
  <si>
    <t>Total Expenses</t>
  </si>
  <si>
    <t>Final Profit Share</t>
  </si>
  <si>
    <t>RG's Share</t>
  </si>
  <si>
    <t>DPC's Share</t>
  </si>
  <si>
    <t>Net Loss from May (dpc's share)</t>
  </si>
  <si>
    <t>DPC's Final Share</t>
  </si>
  <si>
    <t>Date</t>
  </si>
  <si>
    <t>Day</t>
  </si>
  <si>
    <t>Offline booking hours</t>
  </si>
  <si>
    <t>Discount Given</t>
  </si>
  <si>
    <t xml:space="preserve">Pickleball Rental </t>
  </si>
  <si>
    <t>Padel Rental</t>
  </si>
  <si>
    <t>Total Revenue</t>
  </si>
  <si>
    <t>Payment Gateway</t>
  </si>
  <si>
    <t>Net Revenue</t>
  </si>
  <si>
    <t>Monday</t>
  </si>
  <si>
    <t>15 and 20%</t>
  </si>
  <si>
    <t>Tuesday</t>
  </si>
  <si>
    <t>Wednesday</t>
  </si>
  <si>
    <t>Thursday</t>
  </si>
  <si>
    <t>Friday</t>
  </si>
  <si>
    <t>Saturday</t>
  </si>
  <si>
    <t>Sunday</t>
  </si>
  <si>
    <t xml:space="preserve"> </t>
  </si>
  <si>
    <t>Link</t>
  </si>
  <si>
    <t>Paid to District</t>
  </si>
  <si>
    <t>Commissions (₹)</t>
  </si>
  <si>
    <t>GST on Commission</t>
  </si>
  <si>
    <t>TCS</t>
  </si>
  <si>
    <t>TDS</t>
  </si>
  <si>
    <t>Final Amount (₹)</t>
  </si>
  <si>
    <t>Member Name</t>
  </si>
  <si>
    <t>Sports Type</t>
  </si>
  <si>
    <t>Membership Type</t>
  </si>
  <si>
    <t>Start Date</t>
  </si>
  <si>
    <t>Amount Collected</t>
  </si>
  <si>
    <t>Punit</t>
  </si>
  <si>
    <t>Football</t>
  </si>
  <si>
    <t xml:space="preserve">8 Slots </t>
  </si>
  <si>
    <t>June</t>
  </si>
  <si>
    <t>Divanshu</t>
  </si>
  <si>
    <t xml:space="preserve">12 Slots </t>
  </si>
  <si>
    <t>Sport</t>
  </si>
  <si>
    <t>Type</t>
  </si>
  <si>
    <t>Amt</t>
  </si>
  <si>
    <t>Courtly Comission</t>
  </si>
  <si>
    <t>DUPR</t>
  </si>
  <si>
    <t>Brand</t>
  </si>
  <si>
    <t>Commission</t>
  </si>
  <si>
    <t>Net</t>
  </si>
  <si>
    <t>Nivia</t>
  </si>
  <si>
    <t>Activation</t>
  </si>
  <si>
    <t>Brand Shoot</t>
  </si>
  <si>
    <t>Bubble Ball Arena</t>
  </si>
  <si>
    <t>Slip &amp; Slide</t>
  </si>
  <si>
    <t>Name</t>
  </si>
  <si>
    <t>Deliverables</t>
  </si>
  <si>
    <t>18-19 June</t>
  </si>
  <si>
    <t>Kitab Cup</t>
  </si>
  <si>
    <t>Corporate Event</t>
  </si>
  <si>
    <t>Turf and open ground</t>
  </si>
  <si>
    <t>Basil</t>
  </si>
  <si>
    <t>Cricket Turf</t>
  </si>
  <si>
    <t>Turf &amp; Pickleball</t>
  </si>
  <si>
    <t>Maulik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</si>
</sst>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[&gt;9999999][$₹]##\,##\,##\,##0.00;[&gt;99999][$₹]##\,##\,##0.00;[$₹]##,##0.00"/>
    <numFmt numFmtId="167" formatCode="[&gt;9999999][$₹]##\,##\,##\,##0;[&gt;99999][$₹]##\,##\,##0;[$₹]##,##0"/>
    <numFmt numFmtId="168" formatCode="d mmmm"/>
    <numFmt numFmtId="169" formatCode="[$₹]#,##0.00"/>
    <numFmt numFmtId="170" formatCode="d mmm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2" numFmtId="164" xfId="0" applyBorder="1" applyFill="1" applyFont="1" applyNumberFormat="1"/>
    <xf borderId="0" fillId="0" fontId="2" numFmtId="165" xfId="0" applyFont="1" applyNumberFormat="1"/>
    <xf borderId="1" fillId="0" fontId="2" numFmtId="164" xfId="0" applyBorder="1" applyFont="1" applyNumberFormat="1"/>
    <xf borderId="1" fillId="0" fontId="1" numFmtId="164" xfId="0" applyAlignment="1" applyBorder="1" applyFont="1" applyNumberFormat="1">
      <alignment horizontal="center" vertical="bottom"/>
    </xf>
    <xf borderId="1" fillId="2" fontId="1" numFmtId="164" xfId="0" applyAlignment="1" applyBorder="1" applyFill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readingOrder="0"/>
    </xf>
    <xf borderId="1" fillId="0" fontId="1" numFmtId="164" xfId="0" applyAlignment="1" applyBorder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1" fillId="2" fontId="1" numFmtId="164" xfId="0" applyAlignment="1" applyBorder="1" applyFill="1" applyFont="1" applyNumberFormat="1">
      <alignment vertical="bottom"/>
    </xf>
    <xf borderId="1" fillId="2" fontId="1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0" fillId="0" fontId="2" numFmtId="164" xfId="0" applyFont="1" applyNumberFormat="1"/>
    <xf borderId="1" fillId="0" fontId="1" numFmtId="0" xfId="0" applyAlignment="1" applyBorder="1" applyFont="1">
      <alignment vertical="bottom"/>
    </xf>
    <xf borderId="1" fillId="0" fontId="4" numFmtId="166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167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1" numFmtId="167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167" xfId="0" applyBorder="1" applyFont="1" applyNumberFormat="1"/>
    <xf borderId="1" fillId="2" fontId="1" numFmtId="1" xfId="0" applyAlignment="1" applyBorder="1" applyFill="1" applyFont="1" applyNumberFormat="1">
      <alignment horizontal="center" vertical="bottom"/>
    </xf>
    <xf borderId="0" fillId="2" fontId="4" numFmtId="0" xfId="0" applyAlignment="1" applyFill="1" applyFont="1">
      <alignment vertical="bottom"/>
    </xf>
    <xf borderId="1" fillId="2" fontId="4" numFmtId="1" xfId="0" applyAlignment="1" applyBorder="1" applyFill="1" applyFont="1" applyNumberFormat="1">
      <alignment vertical="bottom"/>
    </xf>
    <xf borderId="0" fillId="2" fontId="4" numFmtId="1" xfId="0" applyAlignment="1" applyFill="1" applyFont="1" applyNumberFormat="1">
      <alignment vertical="bottom"/>
    </xf>
    <xf borderId="1" fillId="2" fontId="1" numFmtId="0" xfId="0" applyAlignment="1" applyBorder="1" applyFill="1" applyFont="1">
      <alignment horizontal="center" vertical="bottom"/>
    </xf>
    <xf borderId="1" fillId="3" fontId="4" numFmtId="1" xfId="0" applyAlignment="1" applyBorder="1" applyFill="1" applyFont="1" applyNumberFormat="1">
      <alignment vertical="bottom"/>
    </xf>
    <xf borderId="1" fillId="3" fontId="1" numFmtId="1" xfId="0" applyAlignment="1" applyBorder="1" applyFill="1" applyFont="1" applyNumberFormat="1">
      <alignment horizontal="center" vertical="bottom"/>
    </xf>
    <xf borderId="0" fillId="3" fontId="4" numFmtId="1" xfId="0" applyAlignment="1" applyFill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0" fillId="3" fontId="4" numFmtId="0" xfId="0" applyAlignment="1" applyFill="1" applyFont="1">
      <alignment vertical="bottom"/>
    </xf>
    <xf borderId="1" fillId="3" fontId="4" numFmtId="168" xfId="0" applyAlignment="1" applyBorder="1" applyFill="1" applyFont="1" applyNumberFormat="1">
      <alignment horizontal="right" vertical="bottom"/>
    </xf>
    <xf borderId="1" fillId="0" fontId="4" numFmtId="1" xfId="0" applyAlignment="1" applyBorder="1" applyFont="1" applyNumberFormat="1">
      <alignment horizontal="right" vertical="bottom"/>
    </xf>
    <xf borderId="1" fillId="0" fontId="4" numFmtId="1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3" fontId="4" numFmtId="1" xfId="0" applyAlignment="1" applyBorder="1" applyFill="1" applyFont="1" applyNumberForma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right" vertical="bottom"/>
    </xf>
    <xf borderId="1" fillId="2" fontId="1" numFmtId="168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2" fontId="1" numFmtId="4" xfId="0" applyAlignment="1" applyBorder="1" applyFill="1" applyFont="1" applyNumberFormat="1">
      <alignment horizontal="right" vertical="bottom"/>
    </xf>
    <xf borderId="1" fillId="2" fontId="4" numFmtId="169" xfId="0" applyAlignment="1" applyBorder="1" applyFill="1" applyFont="1" applyNumberFormat="1">
      <alignment vertical="bottom"/>
    </xf>
    <xf borderId="1" fillId="2" fontId="1" numFmtId="169" xfId="0" applyAlignment="1" applyBorder="1" applyFill="1" applyFont="1" applyNumberFormat="1">
      <alignment horizontal="right" vertical="bottom"/>
    </xf>
    <xf borderId="1" fillId="2" fontId="5" numFmtId="169" xfId="0" applyAlignment="1" applyBorder="1" applyFill="1" applyFont="1" applyNumberFormat="1">
      <alignment horizontal="center" readingOrder="0" vertical="bottom"/>
    </xf>
    <xf borderId="1" fillId="2" fontId="1" numFmtId="169" xfId="0" applyAlignment="1" applyBorder="1" applyFill="1" applyFont="1" applyNumberFormat="1">
      <alignment horizontal="center" vertical="bottom"/>
    </xf>
    <xf borderId="1" fillId="2" fontId="6" numFmtId="169" xfId="0" applyAlignment="1" applyBorder="1" applyFill="1" applyFont="1" applyNumberFormat="1">
      <alignment vertical="bottom"/>
    </xf>
    <xf borderId="1" fillId="0" fontId="4" numFmtId="170" xfId="0" applyAlignment="1" applyBorder="1" applyFont="1" applyNumberFormat="1">
      <alignment vertical="bottom"/>
    </xf>
    <xf borderId="1" fillId="0" fontId="4" numFmtId="169" xfId="0" applyAlignment="1" applyBorder="1" applyFont="1" applyNumberFormat="1">
      <alignment readingOrder="0" vertical="bottom"/>
    </xf>
    <xf borderId="1" fillId="0" fontId="4" numFmtId="169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1" numFmtId="166" xfId="0" applyAlignment="1" applyBorder="1" applyFill="1" applyFont="1" applyNumberFormat="1">
      <alignment horizontal="right" vertical="bottom"/>
    </xf>
    <xf borderId="1" fillId="0" fontId="1" numFmtId="165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3" numFmtId="169" xfId="0" applyAlignment="1" applyBorder="1" applyFont="1" applyNumberFormat="1">
      <alignment readingOrder="0"/>
    </xf>
    <xf borderId="1" fillId="2" fontId="1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169" xfId="0" applyAlignment="1" applyBorder="1" applyFont="1" applyNumberForma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4" numFmtId="168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/>
    </xf>
    <xf borderId="1" fillId="3" fontId="4" numFmtId="168" xfId="0" applyAlignment="1" applyBorder="1" applyFill="1" applyFont="1" applyNumberFormat="1">
      <alignment readingOrder="0" vertical="bottom"/>
    </xf>
    <xf borderId="1" fillId="3" fontId="2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 vertical="bottom"/>
    </xf>
    <xf borderId="1" fillId="3" fontId="2" numFmtId="169" xfId="0" applyAlignment="1" applyBorder="1" applyFill="1" applyFont="1" applyNumberFormat="1">
      <alignment readingOrder="0"/>
    </xf>
    <xf borderId="1" fillId="3" fontId="2" numFmtId="169" xfId="0" applyBorder="1" applyFill="1" applyFont="1" applyNumberFormat="1"/>
    <xf borderId="1" fillId="2" fontId="3" numFmtId="0" xfId="0" applyAlignment="1" applyBorder="1" applyFill="1" applyFont="1">
      <alignment horizontal="right" readingOrder="0"/>
    </xf>
    <xf borderId="1" fillId="2" fontId="3" numFmtId="0" xfId="0" applyBorder="1" applyFill="1" applyFont="1"/>
    <xf borderId="1" fillId="2" fontId="3" numFmtId="169" xfId="0" applyBorder="1" applyFill="1" applyFont="1" applyNumberFormat="1"/>
    <xf borderId="1" fillId="2" fontId="3" numFmtId="164" xfId="0" applyBorder="1" applyFill="1" applyFont="1" applyNumberFormat="1"/>
    <xf borderId="1" fillId="2" fontId="3" numFmtId="164" xfId="0" applyBorder="1" applyFill="1" applyFont="1" applyNumberFormat="1"/>
    <xf borderId="1" fillId="0" fontId="3" numFmtId="0" xfId="0" applyBorder="1" applyFont="1"/>
    <xf borderId="1" fillId="0" fontId="3" numFmtId="169" xfId="0" applyBorder="1" applyFont="1" applyNumberFormat="1"/>
    <xf borderId="1" fillId="2" fontId="3" numFmtId="0" xfId="0" applyAlignment="1" applyBorder="1" applyFill="1" applyFont="1">
      <alignment horizontal="center" readingOrder="0"/>
    </xf>
    <xf borderId="1" fillId="0" fontId="2" numFmtId="169" xfId="0" applyBorder="1" applyFont="1" applyNumberFormat="1"/>
    <xf borderId="1" fillId="0" fontId="2" numFmtId="169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left" readingOrder="0" vertical="bottom"/>
    </xf>
    <xf borderId="1" fillId="0" fontId="4" numFmtId="168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2"/>
  <cols>
    <col customWidth="1" min="1" max="1" width="3.75"/>
    <col customWidth="1" min="2" max="2" width="35.63"/>
    <col min="4" max="6" width="12.63" outlineLevel="1"/>
    <col customWidth="1" min="8" max="8" width="23.75"/>
  </cols>
  <sheetData>
    <row r="2">
      <c r="B2" s="1" t="s">
        <v>0</v>
      </c>
      <c r="C2" s="2"/>
      <c r="D2" s="1"/>
      <c r="E2" s="2"/>
      <c r="F2" s="2"/>
      <c r="G2" s="3"/>
    </row>
    <row r="3">
      <c r="B3" s="4"/>
      <c r="C3" s="5" t="s">
        <v>1</v>
      </c>
      <c r="D3" s="5"/>
      <c r="E3" s="5"/>
      <c r="F3" s="5"/>
      <c r="G3" s="3"/>
    </row>
    <row r="4">
      <c r="B4" s="6" t="s">
        <v>2</v>
      </c>
      <c r="C4" s="7" t="s">
        <v>3</v>
      </c>
      <c r="D4" s="1" t="s">
        <v>4</v>
      </c>
      <c r="E4" s="7" t="s">
        <v>5</v>
      </c>
      <c r="F4" s="7" t="s">
        <v>6</v>
      </c>
      <c r="G4" s="3"/>
      <c r="H4" s="8"/>
    </row>
    <row r="5">
      <c r="B5" s="9" t="s">
        <v>7</v>
      </c>
      <c r="C5" s="10">
        <f t="shared" ref="C5:F5" si="1">sum(C6,C12)</f>
        <v>440490</v>
      </c>
      <c r="D5" s="10">
        <f t="shared" si="1"/>
        <v>92185</v>
      </c>
      <c r="E5" s="10">
        <f t="shared" si="1"/>
        <v>56951</v>
      </c>
      <c r="F5" s="10">
        <f t="shared" si="1"/>
        <v>291354</v>
      </c>
      <c r="G5" s="3"/>
      <c r="H5" s="8"/>
    </row>
    <row r="6" outlineLevel="1">
      <c r="B6" s="11" t="s">
        <v>8</v>
      </c>
      <c r="C6" s="10">
        <f t="shared" ref="C6:F6" si="2">sum(C7:C11)</f>
        <v>211794</v>
      </c>
      <c r="D6" s="10">
        <f t="shared" si="2"/>
        <v>62484</v>
      </c>
      <c r="E6" s="10">
        <f t="shared" si="2"/>
        <v>29243</v>
      </c>
      <c r="F6" s="10">
        <f t="shared" si="2"/>
        <v>120067</v>
      </c>
      <c r="G6" s="3"/>
      <c r="H6" s="8"/>
    </row>
    <row r="7" outlineLevel="2">
      <c r="B7" s="12" t="s">
        <v>9</v>
      </c>
      <c r="C7" s="4">
        <f>District!C3</f>
        <v>211794</v>
      </c>
      <c r="D7" s="13">
        <f>District!B5</f>
        <v>62484</v>
      </c>
      <c r="E7" s="4">
        <f>District!B7</f>
        <v>29243</v>
      </c>
      <c r="F7" s="4">
        <f>District!B6</f>
        <v>120067</v>
      </c>
      <c r="G7" s="3"/>
    </row>
    <row r="8" outlineLevel="2">
      <c r="B8" s="12" t="s">
        <v>10</v>
      </c>
      <c r="C8" s="14">
        <v>0.0</v>
      </c>
      <c r="D8" s="13">
        <v>0.0</v>
      </c>
      <c r="E8" s="14">
        <v>0.0</v>
      </c>
      <c r="F8" s="14">
        <v>0.0</v>
      </c>
      <c r="G8" s="3"/>
    </row>
    <row r="9" outlineLevel="2">
      <c r="B9" s="12" t="s">
        <v>11</v>
      </c>
      <c r="C9" s="14">
        <v>0.0</v>
      </c>
      <c r="D9" s="13">
        <v>0.0</v>
      </c>
      <c r="E9" s="14">
        <v>0.0</v>
      </c>
      <c r="F9" s="14">
        <v>0.0</v>
      </c>
      <c r="G9" s="3"/>
    </row>
    <row r="10" outlineLevel="2">
      <c r="B10" s="12" t="s">
        <v>12</v>
      </c>
      <c r="C10" s="14">
        <v>0.0</v>
      </c>
      <c r="D10" s="13">
        <v>0.0</v>
      </c>
      <c r="E10" s="14">
        <v>0.0</v>
      </c>
      <c r="F10" s="14">
        <v>0.0</v>
      </c>
      <c r="G10" s="3"/>
    </row>
    <row r="11" outlineLevel="2">
      <c r="B11" s="12" t="s">
        <v>13</v>
      </c>
      <c r="C11" s="14">
        <v>0.0</v>
      </c>
      <c r="D11" s="13">
        <v>0.0</v>
      </c>
      <c r="E11" s="14">
        <v>0.0</v>
      </c>
      <c r="F11" s="14">
        <v>0.0</v>
      </c>
      <c r="G11" s="3"/>
    </row>
    <row r="12" outlineLevel="1">
      <c r="B12" s="11" t="s">
        <v>14</v>
      </c>
      <c r="C12" s="10">
        <f t="shared" ref="C12:F12" si="3">sum(C13:C14)</f>
        <v>228696</v>
      </c>
      <c r="D12" s="10">
        <f t="shared" si="3"/>
        <v>29701</v>
      </c>
      <c r="E12" s="10">
        <f t="shared" si="3"/>
        <v>27708</v>
      </c>
      <c r="F12" s="10">
        <f t="shared" si="3"/>
        <v>171287</v>
      </c>
      <c r="G12" s="3"/>
    </row>
    <row r="13" outlineLevel="2">
      <c r="B13" s="14" t="s">
        <v>15</v>
      </c>
      <c r="C13" s="4">
        <f>'Offline &amp; RG Community'!E33+'Offline &amp; RG Community'!F33+'Offline &amp; RG Community'!G33</f>
        <v>184716</v>
      </c>
      <c r="D13" s="15">
        <f>'Offline &amp; RG Community'!E33</f>
        <v>29701</v>
      </c>
      <c r="E13" s="4">
        <f>'Offline &amp; RG Community'!F33</f>
        <v>27708</v>
      </c>
      <c r="F13" s="4">
        <f>'Offline &amp; RG Community'!G33</f>
        <v>127307</v>
      </c>
      <c r="G13" s="3"/>
    </row>
    <row r="14" outlineLevel="2">
      <c r="B14" s="14" t="s">
        <v>16</v>
      </c>
      <c r="C14" s="14">
        <f>Memberships!E4</f>
        <v>43980</v>
      </c>
      <c r="D14" s="13">
        <v>0.0</v>
      </c>
      <c r="E14" s="14">
        <v>0.0</v>
      </c>
      <c r="F14" s="14">
        <f>Memberships!E4</f>
        <v>43980</v>
      </c>
      <c r="G14" s="3"/>
    </row>
    <row r="15">
      <c r="B15" s="11" t="s">
        <v>17</v>
      </c>
      <c r="C15" s="10">
        <f t="shared" ref="C15:F15" si="4">sum(C16:C17)</f>
        <v>12426</v>
      </c>
      <c r="D15" s="10">
        <f t="shared" si="4"/>
        <v>0</v>
      </c>
      <c r="E15" s="10">
        <f t="shared" si="4"/>
        <v>0</v>
      </c>
      <c r="F15" s="10">
        <f t="shared" si="4"/>
        <v>12426</v>
      </c>
      <c r="G15" s="3"/>
    </row>
    <row r="16" outlineLevel="1">
      <c r="B16" s="14" t="s">
        <v>18</v>
      </c>
      <c r="C16" s="14">
        <v>0.0</v>
      </c>
      <c r="D16" s="13">
        <v>0.0</v>
      </c>
      <c r="E16" s="14">
        <v>0.0</v>
      </c>
      <c r="F16" s="14">
        <v>0.0</v>
      </c>
      <c r="G16" s="3"/>
    </row>
    <row r="17" outlineLevel="1">
      <c r="B17" s="14" t="s">
        <v>19</v>
      </c>
      <c r="C17" s="4">
        <f>'Social EventsTournament'!D4</f>
        <v>12426</v>
      </c>
      <c r="D17" s="13">
        <v>0.0</v>
      </c>
      <c r="E17" s="14">
        <v>0.0</v>
      </c>
      <c r="F17" s="14">
        <f>'Social EventsTournament'!D4</f>
        <v>12426</v>
      </c>
      <c r="G17" s="3"/>
    </row>
    <row r="18">
      <c r="B18" s="11" t="s">
        <v>20</v>
      </c>
      <c r="C18" s="16">
        <f>Academy!D4</f>
        <v>50200</v>
      </c>
      <c r="D18" s="16">
        <f>Academy!D3</f>
        <v>3000</v>
      </c>
      <c r="E18" s="16">
        <v>0.0</v>
      </c>
      <c r="F18" s="16">
        <f>Academy!D2</f>
        <v>47200</v>
      </c>
      <c r="G18" s="3"/>
    </row>
    <row r="19">
      <c r="B19" s="11" t="s">
        <v>21</v>
      </c>
      <c r="C19" s="10">
        <f t="shared" ref="C19:D19" si="5">sum(C20,C21)</f>
        <v>182766</v>
      </c>
      <c r="D19" s="10">
        <f t="shared" si="5"/>
        <v>59340</v>
      </c>
      <c r="E19" s="10">
        <f>sum(E20)</f>
        <v>0</v>
      </c>
      <c r="F19" s="10">
        <f>sum(F20,F21)</f>
        <v>123426</v>
      </c>
      <c r="G19" s="3"/>
    </row>
    <row r="20" outlineLevel="1">
      <c r="B20" s="14" t="s">
        <v>22</v>
      </c>
      <c r="C20" s="14">
        <f>'Corporate Events'!F5</f>
        <v>105880</v>
      </c>
      <c r="D20" s="13">
        <f>'Corporate Events'!F4+'Corporate Events'!F3/2</f>
        <v>59340</v>
      </c>
      <c r="E20" s="14">
        <v>0.0</v>
      </c>
      <c r="F20" s="14">
        <f>'Corporate Events'!F2+'Corporate Events'!F3/2</f>
        <v>46540</v>
      </c>
      <c r="G20" s="3"/>
    </row>
    <row r="21" outlineLevel="1">
      <c r="B21" s="14" t="s">
        <v>23</v>
      </c>
      <c r="C21" s="14">
        <f>B2B!D5</f>
        <v>76886</v>
      </c>
      <c r="D21" s="13">
        <v>0.0</v>
      </c>
      <c r="E21" s="14">
        <v>0.0</v>
      </c>
      <c r="F21" s="14">
        <f>B2B!D5</f>
        <v>76886</v>
      </c>
      <c r="G21" s="3"/>
    </row>
    <row r="22">
      <c r="B22" s="11" t="s">
        <v>24</v>
      </c>
      <c r="C22" s="10">
        <f t="shared" ref="C22:F22" si="6">sum(C23:C25)</f>
        <v>25190</v>
      </c>
      <c r="D22" s="10">
        <f t="shared" si="6"/>
        <v>13950</v>
      </c>
      <c r="E22" s="10">
        <f t="shared" si="6"/>
        <v>6550</v>
      </c>
      <c r="F22" s="10">
        <f t="shared" si="6"/>
        <v>0</v>
      </c>
      <c r="G22" s="3"/>
    </row>
    <row r="23" outlineLevel="1">
      <c r="B23" s="14" t="s">
        <v>25</v>
      </c>
      <c r="C23" s="4">
        <f>'Offline &amp; RG Community'!H33+'Offline &amp; RG Community'!I33</f>
        <v>20500</v>
      </c>
      <c r="D23" s="13">
        <f>'Offline &amp; RG Community'!H33</f>
        <v>13950</v>
      </c>
      <c r="E23" s="14">
        <f>'Offline &amp; RG Community'!I33</f>
        <v>6550</v>
      </c>
      <c r="F23" s="14">
        <v>0.0</v>
      </c>
      <c r="G23" s="3"/>
    </row>
    <row r="24" outlineLevel="1">
      <c r="B24" s="14" t="s">
        <v>26</v>
      </c>
      <c r="C24" s="14">
        <v>0.0</v>
      </c>
      <c r="D24" s="13">
        <v>0.0</v>
      </c>
      <c r="E24" s="14">
        <v>0.0</v>
      </c>
      <c r="F24" s="14">
        <v>0.0</v>
      </c>
      <c r="G24" s="3"/>
    </row>
    <row r="25" outlineLevel="1">
      <c r="B25" s="14" t="s">
        <v>27</v>
      </c>
      <c r="C25" s="14">
        <f>'Offline &amp; RG Community'!J33</f>
        <v>4690</v>
      </c>
      <c r="D25" s="13">
        <v>0.0</v>
      </c>
      <c r="E25" s="14">
        <v>0.0</v>
      </c>
      <c r="F25" s="14">
        <v>0.0</v>
      </c>
      <c r="G25" s="3"/>
    </row>
    <row r="26">
      <c r="B26" s="17" t="s">
        <v>28</v>
      </c>
      <c r="C26" s="16">
        <v>0.0</v>
      </c>
      <c r="D26" s="16">
        <v>0.0</v>
      </c>
      <c r="E26" s="16">
        <v>0.0</v>
      </c>
      <c r="F26" s="16">
        <v>0.0</v>
      </c>
      <c r="G26" s="3"/>
    </row>
    <row r="27">
      <c r="B27" s="18" t="s">
        <v>29</v>
      </c>
      <c r="C27" s="19">
        <f>sum(C5,C15,C18,C19,C22)</f>
        <v>711072</v>
      </c>
      <c r="D27" s="19">
        <f t="shared" ref="D27:F27" si="7">D5+D15+D22+D18+D19+D26</f>
        <v>168475</v>
      </c>
      <c r="E27" s="19">
        <f t="shared" si="7"/>
        <v>63501</v>
      </c>
      <c r="F27" s="19">
        <f t="shared" si="7"/>
        <v>474406</v>
      </c>
      <c r="G27" s="3"/>
    </row>
    <row r="28">
      <c r="B28" s="20" t="s">
        <v>30</v>
      </c>
      <c r="C28" s="11">
        <f>'Offline &amp; RG Community'!M33+District!F3+Memberships!E4+'Social EventsTournament'!G4+Academy!D4+B2B!F5+'Corporate Events'!H5</f>
        <v>676464.205</v>
      </c>
      <c r="D28" s="16"/>
      <c r="E28" s="16"/>
      <c r="F28" s="16"/>
      <c r="G28" s="3"/>
      <c r="H28" s="21">
        <f>C27-C28</f>
        <v>34607.795</v>
      </c>
    </row>
    <row r="29">
      <c r="B29" s="17" t="s">
        <v>31</v>
      </c>
      <c r="C29" s="10">
        <f>C28/1.18</f>
        <v>573274.75</v>
      </c>
      <c r="D29" s="10"/>
      <c r="E29" s="10"/>
      <c r="F29" s="10"/>
      <c r="G29" s="3"/>
    </row>
    <row r="30">
      <c r="B30" s="14" t="s">
        <v>32</v>
      </c>
      <c r="C30" s="4">
        <f>C29*60%</f>
        <v>343964.85</v>
      </c>
      <c r="D30" s="4"/>
      <c r="E30" s="4"/>
      <c r="F30" s="4"/>
    </row>
    <row r="31">
      <c r="B31" s="14" t="s">
        <v>33</v>
      </c>
      <c r="C31" s="4">
        <f>C29*40%</f>
        <v>229309.9</v>
      </c>
      <c r="D31" s="4"/>
      <c r="E31" s="4"/>
      <c r="F31" s="4"/>
    </row>
    <row r="32">
      <c r="B32" s="22" t="s">
        <v>34</v>
      </c>
      <c r="C32" s="23"/>
    </row>
    <row r="33">
      <c r="B33" s="24" t="s">
        <v>35</v>
      </c>
      <c r="C33" s="25">
        <f>25000+10833+2500</f>
        <v>38333</v>
      </c>
      <c r="D33" s="26" t="s">
        <v>36</v>
      </c>
    </row>
    <row r="34">
      <c r="B34" s="27" t="s">
        <v>37</v>
      </c>
      <c r="C34" s="28">
        <v>4000.0</v>
      </c>
    </row>
    <row r="35">
      <c r="B35" s="27" t="s">
        <v>38</v>
      </c>
      <c r="C35" s="28">
        <v>9500.0</v>
      </c>
      <c r="D35" s="26" t="s">
        <v>39</v>
      </c>
    </row>
    <row r="36">
      <c r="B36" s="27" t="s">
        <v>40</v>
      </c>
      <c r="C36" s="25">
        <f>16/30*25000</f>
        <v>13333.33333</v>
      </c>
    </row>
    <row r="37">
      <c r="B37" s="27" t="s">
        <v>41</v>
      </c>
      <c r="C37" s="28">
        <v>3640.0</v>
      </c>
    </row>
    <row r="38">
      <c r="B38" s="27" t="s">
        <v>42</v>
      </c>
      <c r="C38" s="28">
        <v>3844.0</v>
      </c>
    </row>
    <row r="39">
      <c r="B39" s="24" t="s">
        <v>43</v>
      </c>
      <c r="C39" s="25">
        <f>5970+225</f>
        <v>6195</v>
      </c>
      <c r="D39" s="26" t="s">
        <v>44</v>
      </c>
    </row>
    <row r="40">
      <c r="B40" s="27" t="s">
        <v>45</v>
      </c>
      <c r="C40" s="28">
        <v>3629.0</v>
      </c>
    </row>
    <row r="41">
      <c r="B41" s="24" t="s">
        <v>46</v>
      </c>
      <c r="C41" s="25">
        <f>5000+320</f>
        <v>5320</v>
      </c>
      <c r="D41" s="26" t="s">
        <v>47</v>
      </c>
    </row>
    <row r="42">
      <c r="B42" s="24" t="s">
        <v>48</v>
      </c>
      <c r="C42" s="25">
        <v>15000.0</v>
      </c>
    </row>
    <row r="43">
      <c r="B43" s="27" t="s">
        <v>49</v>
      </c>
      <c r="C43" s="13">
        <v>18840.0</v>
      </c>
    </row>
    <row r="44">
      <c r="B44" s="22" t="s">
        <v>50</v>
      </c>
      <c r="C44" s="29">
        <f>sum(C33:C43)</f>
        <v>121634.3333</v>
      </c>
    </row>
    <row r="45">
      <c r="B45" s="22" t="s">
        <v>51</v>
      </c>
      <c r="C45" s="10">
        <f>C31-C44</f>
        <v>107675.5667</v>
      </c>
    </row>
    <row r="46">
      <c r="B46" s="30" t="s">
        <v>52</v>
      </c>
      <c r="C46" s="30">
        <f>C45*40%</f>
        <v>43070.22667</v>
      </c>
    </row>
    <row r="47">
      <c r="B47" s="30" t="s">
        <v>53</v>
      </c>
      <c r="C47" s="30">
        <f>C45*60%</f>
        <v>64605.34</v>
      </c>
    </row>
    <row r="48">
      <c r="B48" s="31" t="s">
        <v>54</v>
      </c>
      <c r="C48" s="31">
        <v>2218.0</v>
      </c>
    </row>
    <row r="49">
      <c r="B49" s="32" t="s">
        <v>55</v>
      </c>
      <c r="C49" s="33">
        <f>C47-C48</f>
        <v>62387.34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3" max="3" width="18.25"/>
    <col customWidth="1" min="4" max="4" width="13.25"/>
    <col customWidth="1" min="5" max="5" width="15.13"/>
    <col customWidth="1" min="6" max="7" width="17.63"/>
    <col customWidth="1" min="8" max="8" width="15.13"/>
    <col customWidth="1" min="12" max="12" width="15.25"/>
  </cols>
  <sheetData>
    <row r="1">
      <c r="A1" s="34" t="s">
        <v>56</v>
      </c>
      <c r="B1" s="34" t="s">
        <v>57</v>
      </c>
      <c r="C1" s="34" t="s">
        <v>58</v>
      </c>
      <c r="D1" s="34" t="s">
        <v>59</v>
      </c>
      <c r="E1" s="35"/>
      <c r="F1" s="36"/>
      <c r="G1" s="37"/>
      <c r="H1" s="34" t="s">
        <v>60</v>
      </c>
      <c r="I1" s="34" t="s">
        <v>61</v>
      </c>
      <c r="J1" s="34" t="s">
        <v>27</v>
      </c>
      <c r="K1" s="6" t="s">
        <v>62</v>
      </c>
      <c r="L1" s="38" t="s">
        <v>63</v>
      </c>
      <c r="M1" s="38" t="s">
        <v>64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9"/>
      <c r="B2" s="39"/>
      <c r="C2" s="39"/>
      <c r="D2" s="39"/>
      <c r="E2" s="40" t="s">
        <v>4</v>
      </c>
      <c r="F2" s="40" t="s">
        <v>5</v>
      </c>
      <c r="G2" s="40" t="s">
        <v>6</v>
      </c>
      <c r="H2" s="41"/>
      <c r="I2" s="39"/>
      <c r="J2" s="39"/>
      <c r="K2" s="42"/>
      <c r="L2" s="42"/>
      <c r="M2" s="42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>
      <c r="A3" s="44">
        <v>46174.0</v>
      </c>
      <c r="B3" s="42" t="s">
        <v>65</v>
      </c>
      <c r="C3" s="45">
        <v>0.0</v>
      </c>
      <c r="D3" s="45" t="s">
        <v>66</v>
      </c>
      <c r="E3" s="45">
        <v>0.0</v>
      </c>
      <c r="F3" s="45">
        <v>0.0</v>
      </c>
      <c r="G3" s="45">
        <v>0.0</v>
      </c>
      <c r="H3" s="45">
        <v>0.0</v>
      </c>
      <c r="I3" s="46">
        <v>875.0</v>
      </c>
      <c r="J3" s="45">
        <v>0.0</v>
      </c>
      <c r="K3" s="15">
        <f t="shared" ref="K3:K32" si="1">sum(E3:J3)</f>
        <v>875</v>
      </c>
      <c r="L3" s="47">
        <f t="shared" ref="L3:L32" si="2">K3*1.75%</f>
        <v>15.3125</v>
      </c>
      <c r="M3" s="15">
        <f t="shared" ref="M3:M32" si="3">K3-L3</f>
        <v>859.6875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>
      <c r="A4" s="44">
        <v>46175.0</v>
      </c>
      <c r="B4" s="42" t="s">
        <v>67</v>
      </c>
      <c r="C4" s="45">
        <v>0.0</v>
      </c>
      <c r="D4" s="45" t="s">
        <v>66</v>
      </c>
      <c r="E4" s="45">
        <v>0.0</v>
      </c>
      <c r="F4" s="49">
        <v>0.0</v>
      </c>
      <c r="G4" s="45">
        <v>0.0</v>
      </c>
      <c r="H4" s="45">
        <v>200.0</v>
      </c>
      <c r="I4" s="45">
        <v>0.0</v>
      </c>
      <c r="J4" s="45">
        <v>0.0</v>
      </c>
      <c r="K4" s="15">
        <f t="shared" si="1"/>
        <v>200</v>
      </c>
      <c r="L4" s="47">
        <f t="shared" si="2"/>
        <v>3.5</v>
      </c>
      <c r="M4" s="15">
        <f t="shared" si="3"/>
        <v>196.5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>
      <c r="A5" s="44">
        <v>46176.0</v>
      </c>
      <c r="B5" s="42" t="s">
        <v>68</v>
      </c>
      <c r="C5" s="50">
        <v>0.0</v>
      </c>
      <c r="D5" s="45" t="s">
        <v>66</v>
      </c>
      <c r="E5" s="45">
        <v>0.0</v>
      </c>
      <c r="F5" s="45">
        <v>0.0</v>
      </c>
      <c r="G5" s="45">
        <v>0.0</v>
      </c>
      <c r="H5" s="46">
        <v>350.0</v>
      </c>
      <c r="I5" s="46">
        <v>425.0</v>
      </c>
      <c r="J5" s="45">
        <v>0.0</v>
      </c>
      <c r="K5" s="15">
        <f t="shared" si="1"/>
        <v>775</v>
      </c>
      <c r="L5" s="47">
        <f t="shared" si="2"/>
        <v>13.5625</v>
      </c>
      <c r="M5" s="15">
        <f t="shared" si="3"/>
        <v>761.4375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>
      <c r="A6" s="44">
        <v>46177.0</v>
      </c>
      <c r="B6" s="42" t="s">
        <v>69</v>
      </c>
      <c r="C6" s="51">
        <v>3.5</v>
      </c>
      <c r="D6" s="45" t="s">
        <v>66</v>
      </c>
      <c r="E6" s="45">
        <v>2430.0</v>
      </c>
      <c r="F6" s="45">
        <v>0.0</v>
      </c>
      <c r="G6" s="45">
        <v>0.0</v>
      </c>
      <c r="H6" s="45">
        <v>800.0</v>
      </c>
      <c r="I6" s="45">
        <v>75.0</v>
      </c>
      <c r="J6" s="45">
        <v>0.0</v>
      </c>
      <c r="K6" s="15">
        <f t="shared" si="1"/>
        <v>3305</v>
      </c>
      <c r="L6" s="47">
        <f t="shared" si="2"/>
        <v>57.8375</v>
      </c>
      <c r="M6" s="15">
        <f t="shared" si="3"/>
        <v>3247.1625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>
      <c r="A7" s="44">
        <v>46178.0</v>
      </c>
      <c r="B7" s="42" t="s">
        <v>70</v>
      </c>
      <c r="C7" s="46">
        <v>3.5</v>
      </c>
      <c r="D7" s="45" t="s">
        <v>66</v>
      </c>
      <c r="E7" s="46">
        <v>1000.0</v>
      </c>
      <c r="F7" s="45">
        <v>0.0</v>
      </c>
      <c r="G7" s="45">
        <v>3000.0</v>
      </c>
      <c r="H7" s="45">
        <v>400.0</v>
      </c>
      <c r="I7" s="45">
        <v>150.0</v>
      </c>
      <c r="J7" s="45">
        <v>0.0</v>
      </c>
      <c r="K7" s="15">
        <f t="shared" si="1"/>
        <v>4550</v>
      </c>
      <c r="L7" s="47">
        <f t="shared" si="2"/>
        <v>79.625</v>
      </c>
      <c r="M7" s="15">
        <f t="shared" si="3"/>
        <v>4470.375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>
      <c r="A8" s="44">
        <v>46179.0</v>
      </c>
      <c r="B8" s="42" t="s">
        <v>71</v>
      </c>
      <c r="C8" s="51">
        <v>9.5</v>
      </c>
      <c r="D8" s="45" t="s">
        <v>66</v>
      </c>
      <c r="E8" s="45">
        <v>1635.0</v>
      </c>
      <c r="F8" s="45">
        <v>2175.0</v>
      </c>
      <c r="G8" s="45">
        <v>7995.0</v>
      </c>
      <c r="H8" s="45">
        <v>1350.0</v>
      </c>
      <c r="I8" s="45">
        <v>525.0</v>
      </c>
      <c r="J8" s="45">
        <v>0.0</v>
      </c>
      <c r="K8" s="15">
        <f t="shared" si="1"/>
        <v>13680</v>
      </c>
      <c r="L8" s="47">
        <f t="shared" si="2"/>
        <v>239.4</v>
      </c>
      <c r="M8" s="15">
        <f t="shared" si="3"/>
        <v>13440.6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>
      <c r="A9" s="44">
        <v>46180.0</v>
      </c>
      <c r="B9" s="42" t="s">
        <v>72</v>
      </c>
      <c r="C9" s="51">
        <v>2.5</v>
      </c>
      <c r="D9" s="45" t="s">
        <v>66</v>
      </c>
      <c r="E9" s="45">
        <v>400.0</v>
      </c>
      <c r="F9" s="45">
        <v>0.0</v>
      </c>
      <c r="G9" s="45">
        <v>6460.0</v>
      </c>
      <c r="H9" s="45">
        <v>700.0</v>
      </c>
      <c r="I9" s="45">
        <v>300.0</v>
      </c>
      <c r="J9" s="45">
        <v>0.0</v>
      </c>
      <c r="K9" s="15">
        <f t="shared" si="1"/>
        <v>7860</v>
      </c>
      <c r="L9" s="47">
        <f t="shared" si="2"/>
        <v>137.55</v>
      </c>
      <c r="M9" s="15">
        <f t="shared" si="3"/>
        <v>7722.45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>
      <c r="A10" s="44">
        <v>46181.0</v>
      </c>
      <c r="B10" s="42" t="s">
        <v>65</v>
      </c>
      <c r="C10" s="45">
        <v>1.0</v>
      </c>
      <c r="D10" s="45" t="s">
        <v>66</v>
      </c>
      <c r="E10" s="45">
        <v>0.0</v>
      </c>
      <c r="F10" s="45">
        <v>0.0</v>
      </c>
      <c r="G10" s="45">
        <v>3420.0</v>
      </c>
      <c r="H10" s="45">
        <v>50.0</v>
      </c>
      <c r="I10" s="45">
        <v>0.0</v>
      </c>
      <c r="J10" s="45">
        <v>0.0</v>
      </c>
      <c r="K10" s="15">
        <f t="shared" si="1"/>
        <v>3470</v>
      </c>
      <c r="L10" s="47">
        <f t="shared" si="2"/>
        <v>60.725</v>
      </c>
      <c r="M10" s="15">
        <f t="shared" si="3"/>
        <v>3409.275</v>
      </c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>
      <c r="A11" s="44">
        <v>46182.0</v>
      </c>
      <c r="B11" s="42" t="s">
        <v>67</v>
      </c>
      <c r="C11" s="45">
        <v>4.0</v>
      </c>
      <c r="D11" s="45" t="s">
        <v>66</v>
      </c>
      <c r="E11" s="45">
        <v>1635.0</v>
      </c>
      <c r="F11" s="45">
        <v>700.0</v>
      </c>
      <c r="G11" s="45">
        <v>3228.0</v>
      </c>
      <c r="H11" s="45">
        <v>1000.0</v>
      </c>
      <c r="I11" s="45">
        <v>300.0</v>
      </c>
      <c r="J11" s="45">
        <v>0.0</v>
      </c>
      <c r="K11" s="15">
        <f t="shared" si="1"/>
        <v>6863</v>
      </c>
      <c r="L11" s="47">
        <f t="shared" si="2"/>
        <v>120.1025</v>
      </c>
      <c r="M11" s="15">
        <f t="shared" si="3"/>
        <v>6742.8975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>
      <c r="A12" s="44">
        <v>46183.0</v>
      </c>
      <c r="B12" s="42" t="s">
        <v>68</v>
      </c>
      <c r="C12" s="51">
        <v>3.5</v>
      </c>
      <c r="D12" s="45" t="s">
        <v>66</v>
      </c>
      <c r="E12" s="45">
        <v>545.0</v>
      </c>
      <c r="F12" s="45">
        <v>0.0</v>
      </c>
      <c r="G12" s="45">
        <v>3998.0</v>
      </c>
      <c r="H12" s="45">
        <v>600.0</v>
      </c>
      <c r="I12" s="45">
        <v>0.0</v>
      </c>
      <c r="J12" s="45">
        <v>0.0</v>
      </c>
      <c r="K12" s="15">
        <f t="shared" si="1"/>
        <v>5143</v>
      </c>
      <c r="L12" s="47">
        <f t="shared" si="2"/>
        <v>90.0025</v>
      </c>
      <c r="M12" s="15">
        <f t="shared" si="3"/>
        <v>5052.9975</v>
      </c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>
      <c r="A13" s="44">
        <v>46184.0</v>
      </c>
      <c r="B13" s="42" t="s">
        <v>69</v>
      </c>
      <c r="C13" s="51">
        <v>2.5</v>
      </c>
      <c r="D13" s="45" t="s">
        <v>66</v>
      </c>
      <c r="E13" s="45">
        <v>0.0</v>
      </c>
      <c r="F13" s="45">
        <v>3500.0</v>
      </c>
      <c r="G13" s="45">
        <v>0.0</v>
      </c>
      <c r="H13" s="45">
        <v>400.0</v>
      </c>
      <c r="I13" s="45">
        <v>450.0</v>
      </c>
      <c r="J13" s="45">
        <v>0.0</v>
      </c>
      <c r="K13" s="15">
        <f t="shared" si="1"/>
        <v>4350</v>
      </c>
      <c r="L13" s="47">
        <f t="shared" si="2"/>
        <v>76.125</v>
      </c>
      <c r="M13" s="15">
        <f t="shared" si="3"/>
        <v>4273.875</v>
      </c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>
      <c r="A14" s="44">
        <v>46185.0</v>
      </c>
      <c r="B14" s="42" t="s">
        <v>70</v>
      </c>
      <c r="C14" s="45">
        <v>9.0</v>
      </c>
      <c r="D14" s="45" t="s">
        <v>66</v>
      </c>
      <c r="E14" s="45">
        <v>1345.0</v>
      </c>
      <c r="F14" s="45">
        <v>2800.0</v>
      </c>
      <c r="G14" s="45">
        <v>7996.0</v>
      </c>
      <c r="H14" s="45">
        <v>650.0</v>
      </c>
      <c r="I14" s="45">
        <v>675.0</v>
      </c>
      <c r="J14" s="45">
        <v>0.0</v>
      </c>
      <c r="K14" s="15">
        <f t="shared" si="1"/>
        <v>13466</v>
      </c>
      <c r="L14" s="47">
        <f t="shared" si="2"/>
        <v>235.655</v>
      </c>
      <c r="M14" s="15">
        <f t="shared" si="3"/>
        <v>13230.345</v>
      </c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>
      <c r="A15" s="44">
        <v>46186.0</v>
      </c>
      <c r="B15" s="42" t="s">
        <v>71</v>
      </c>
      <c r="C15" s="51">
        <v>7.5</v>
      </c>
      <c r="D15" s="45" t="s">
        <v>66</v>
      </c>
      <c r="E15" s="45">
        <v>545.0</v>
      </c>
      <c r="F15" s="45">
        <v>600.0</v>
      </c>
      <c r="G15" s="45">
        <v>13860.0</v>
      </c>
      <c r="H15" s="45">
        <v>300.0</v>
      </c>
      <c r="I15" s="45">
        <v>0.0</v>
      </c>
      <c r="J15" s="45">
        <v>0.0</v>
      </c>
      <c r="K15" s="15">
        <f t="shared" si="1"/>
        <v>15305</v>
      </c>
      <c r="L15" s="47">
        <f t="shared" si="2"/>
        <v>267.8375</v>
      </c>
      <c r="M15" s="15">
        <f t="shared" si="3"/>
        <v>15037.1625</v>
      </c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>
      <c r="A16" s="44">
        <v>46187.0</v>
      </c>
      <c r="B16" s="42" t="s">
        <v>72</v>
      </c>
      <c r="C16" s="51">
        <v>7.5</v>
      </c>
      <c r="D16" s="45" t="s">
        <v>66</v>
      </c>
      <c r="E16" s="45">
        <v>400.0</v>
      </c>
      <c r="F16" s="45">
        <v>3200.0</v>
      </c>
      <c r="G16" s="45">
        <v>9856.0</v>
      </c>
      <c r="H16" s="45">
        <v>500.0</v>
      </c>
      <c r="I16" s="45">
        <v>150.0</v>
      </c>
      <c r="J16" s="45">
        <v>0.0</v>
      </c>
      <c r="K16" s="15">
        <f t="shared" si="1"/>
        <v>14106</v>
      </c>
      <c r="L16" s="47">
        <f t="shared" si="2"/>
        <v>246.855</v>
      </c>
      <c r="M16" s="15">
        <f t="shared" si="3"/>
        <v>13859.145</v>
      </c>
      <c r="N16" s="52" t="s">
        <v>73</v>
      </c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>
      <c r="A17" s="44">
        <v>46188.0</v>
      </c>
      <c r="B17" s="42" t="s">
        <v>65</v>
      </c>
      <c r="C17" s="46">
        <v>6.0</v>
      </c>
      <c r="D17" s="45" t="s">
        <v>66</v>
      </c>
      <c r="E17" s="45">
        <f>1810+800</f>
        <v>2610</v>
      </c>
      <c r="F17" s="45">
        <v>3200.0</v>
      </c>
      <c r="G17" s="45">
        <v>0.0</v>
      </c>
      <c r="H17" s="45">
        <v>550.0</v>
      </c>
      <c r="I17" s="45">
        <v>0.0</v>
      </c>
      <c r="J17" s="45">
        <v>0.0</v>
      </c>
      <c r="K17" s="15">
        <f t="shared" si="1"/>
        <v>6360</v>
      </c>
      <c r="L17" s="47">
        <f t="shared" si="2"/>
        <v>111.3</v>
      </c>
      <c r="M17" s="15">
        <f t="shared" si="3"/>
        <v>6248.7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>
      <c r="A18" s="44">
        <v>46189.0</v>
      </c>
      <c r="B18" s="42" t="s">
        <v>67</v>
      </c>
      <c r="C18" s="45">
        <v>7.0</v>
      </c>
      <c r="D18" s="45" t="s">
        <v>66</v>
      </c>
      <c r="E18" s="45">
        <v>2035.0</v>
      </c>
      <c r="F18" s="45">
        <v>533.0</v>
      </c>
      <c r="G18" s="45">
        <v>5718.0</v>
      </c>
      <c r="H18" s="45">
        <v>600.0</v>
      </c>
      <c r="I18" s="45">
        <v>0.0</v>
      </c>
      <c r="J18" s="45">
        <v>0.0</v>
      </c>
      <c r="K18" s="15">
        <f t="shared" si="1"/>
        <v>8886</v>
      </c>
      <c r="L18" s="47">
        <f t="shared" si="2"/>
        <v>155.505</v>
      </c>
      <c r="M18" s="15">
        <f t="shared" si="3"/>
        <v>8730.495</v>
      </c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>
      <c r="A19" s="44">
        <v>46190.0</v>
      </c>
      <c r="B19" s="42" t="s">
        <v>68</v>
      </c>
      <c r="C19" s="51">
        <v>4.0</v>
      </c>
      <c r="D19" s="45" t="s">
        <v>66</v>
      </c>
      <c r="E19" s="45">
        <v>720.0</v>
      </c>
      <c r="F19" s="45">
        <v>0.0</v>
      </c>
      <c r="G19" s="45">
        <v>7427.0</v>
      </c>
      <c r="H19" s="45">
        <v>400.0</v>
      </c>
      <c r="I19" s="45">
        <v>0.0</v>
      </c>
      <c r="J19" s="45">
        <v>0.0</v>
      </c>
      <c r="K19" s="15">
        <f t="shared" si="1"/>
        <v>8547</v>
      </c>
      <c r="L19" s="47">
        <f t="shared" si="2"/>
        <v>149.5725</v>
      </c>
      <c r="M19" s="15">
        <f t="shared" si="3"/>
        <v>8397.4275</v>
      </c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>
      <c r="A20" s="44">
        <v>46191.0</v>
      </c>
      <c r="B20" s="42" t="s">
        <v>69</v>
      </c>
      <c r="C20" s="45">
        <v>3.0</v>
      </c>
      <c r="D20" s="45" t="s">
        <v>66</v>
      </c>
      <c r="E20" s="45">
        <v>1635.0</v>
      </c>
      <c r="F20" s="45">
        <v>0.0</v>
      </c>
      <c r="G20" s="45">
        <v>0.0</v>
      </c>
      <c r="H20" s="45">
        <v>250.0</v>
      </c>
      <c r="I20" s="45">
        <v>0.0</v>
      </c>
      <c r="J20" s="45">
        <v>0.0</v>
      </c>
      <c r="K20" s="15">
        <f t="shared" si="1"/>
        <v>1885</v>
      </c>
      <c r="L20" s="47">
        <f t="shared" si="2"/>
        <v>32.9875</v>
      </c>
      <c r="M20" s="15">
        <f t="shared" si="3"/>
        <v>1852.0125</v>
      </c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>
      <c r="A21" s="44">
        <v>46192.0</v>
      </c>
      <c r="B21" s="42" t="s">
        <v>70</v>
      </c>
      <c r="C21" s="51">
        <v>3.5</v>
      </c>
      <c r="D21" s="45" t="s">
        <v>66</v>
      </c>
      <c r="E21" s="45">
        <v>0.0</v>
      </c>
      <c r="F21" s="45">
        <v>2400.0</v>
      </c>
      <c r="G21" s="45">
        <v>3200.0</v>
      </c>
      <c r="H21" s="45">
        <v>500.0</v>
      </c>
      <c r="I21" s="45">
        <v>0.0</v>
      </c>
      <c r="J21" s="45">
        <v>0.0</v>
      </c>
      <c r="K21" s="15">
        <f t="shared" si="1"/>
        <v>6100</v>
      </c>
      <c r="L21" s="47">
        <f t="shared" si="2"/>
        <v>106.75</v>
      </c>
      <c r="M21" s="15">
        <f t="shared" si="3"/>
        <v>5993.25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>
      <c r="A22" s="44">
        <v>46193.0</v>
      </c>
      <c r="B22" s="42" t="s">
        <v>71</v>
      </c>
      <c r="C22" s="45">
        <v>7.0</v>
      </c>
      <c r="D22" s="45" t="s">
        <v>66</v>
      </c>
      <c r="E22" s="45">
        <v>350.0</v>
      </c>
      <c r="F22" s="45">
        <v>0.0</v>
      </c>
      <c r="G22" s="45">
        <v>10296.0</v>
      </c>
      <c r="H22" s="45">
        <v>600.0</v>
      </c>
      <c r="I22" s="45">
        <v>300.0</v>
      </c>
      <c r="J22" s="45">
        <v>0.0</v>
      </c>
      <c r="K22" s="15">
        <f t="shared" si="1"/>
        <v>11546</v>
      </c>
      <c r="L22" s="47">
        <f t="shared" si="2"/>
        <v>202.055</v>
      </c>
      <c r="M22" s="15">
        <f t="shared" si="3"/>
        <v>11343.945</v>
      </c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>
      <c r="A23" s="44">
        <v>46194.0</v>
      </c>
      <c r="B23" s="42" t="s">
        <v>72</v>
      </c>
      <c r="C23" s="45">
        <v>6.0</v>
      </c>
      <c r="D23" s="45" t="s">
        <v>66</v>
      </c>
      <c r="E23" s="45">
        <v>1450.0</v>
      </c>
      <c r="F23" s="45">
        <v>0.0</v>
      </c>
      <c r="G23" s="45">
        <v>6276.0</v>
      </c>
      <c r="H23" s="45">
        <v>1300.0</v>
      </c>
      <c r="I23" s="45">
        <v>300.0</v>
      </c>
      <c r="J23" s="45">
        <v>1015.0</v>
      </c>
      <c r="K23" s="15">
        <f t="shared" si="1"/>
        <v>10341</v>
      </c>
      <c r="L23" s="47">
        <f t="shared" si="2"/>
        <v>180.9675</v>
      </c>
      <c r="M23" s="15">
        <f t="shared" si="3"/>
        <v>10160.0325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>
      <c r="A24" s="44">
        <v>46195.0</v>
      </c>
      <c r="B24" s="42" t="s">
        <v>65</v>
      </c>
      <c r="C24" s="46">
        <v>6.0</v>
      </c>
      <c r="D24" s="45" t="s">
        <v>66</v>
      </c>
      <c r="E24" s="46">
        <v>2188.0</v>
      </c>
      <c r="F24" s="45">
        <v>2400.0</v>
      </c>
      <c r="G24" s="45">
        <v>3228.0</v>
      </c>
      <c r="H24" s="45">
        <v>150.0</v>
      </c>
      <c r="I24" s="45">
        <v>0.0</v>
      </c>
      <c r="J24" s="45">
        <v>140.0</v>
      </c>
      <c r="K24" s="15">
        <f t="shared" si="1"/>
        <v>8106</v>
      </c>
      <c r="L24" s="47">
        <f t="shared" si="2"/>
        <v>141.855</v>
      </c>
      <c r="M24" s="15">
        <f t="shared" si="3"/>
        <v>7964.145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>
      <c r="A25" s="44">
        <v>46196.0</v>
      </c>
      <c r="B25" s="42" t="s">
        <v>67</v>
      </c>
      <c r="C25" s="45">
        <v>4.0</v>
      </c>
      <c r="D25" s="45" t="s">
        <v>66</v>
      </c>
      <c r="E25" s="45">
        <v>1728.0</v>
      </c>
      <c r="F25" s="45">
        <v>1600.0</v>
      </c>
      <c r="G25" s="45">
        <v>0.0</v>
      </c>
      <c r="H25" s="45">
        <v>350.0</v>
      </c>
      <c r="I25" s="45">
        <v>500.0</v>
      </c>
      <c r="J25" s="45">
        <v>140.0</v>
      </c>
      <c r="K25" s="15">
        <f t="shared" si="1"/>
        <v>4318</v>
      </c>
      <c r="L25" s="47">
        <f t="shared" si="2"/>
        <v>75.565</v>
      </c>
      <c r="M25" s="15">
        <f t="shared" si="3"/>
        <v>4242.435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>
      <c r="A26" s="44">
        <v>46197.0</v>
      </c>
      <c r="B26" s="42" t="s">
        <v>68</v>
      </c>
      <c r="C26" s="45">
        <v>7.0</v>
      </c>
      <c r="D26" s="45" t="s">
        <v>66</v>
      </c>
      <c r="E26" s="45">
        <v>1040.0</v>
      </c>
      <c r="F26" s="45">
        <v>1600.0</v>
      </c>
      <c r="G26" s="45">
        <v>5500.0</v>
      </c>
      <c r="H26" s="45">
        <v>350.0</v>
      </c>
      <c r="I26" s="45">
        <v>600.0</v>
      </c>
      <c r="J26" s="45">
        <v>245.0</v>
      </c>
      <c r="K26" s="15">
        <f t="shared" si="1"/>
        <v>9335</v>
      </c>
      <c r="L26" s="47">
        <f t="shared" si="2"/>
        <v>163.3625</v>
      </c>
      <c r="M26" s="15">
        <f t="shared" si="3"/>
        <v>9171.6375</v>
      </c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>
      <c r="A27" s="44">
        <v>46198.0</v>
      </c>
      <c r="B27" s="42" t="s">
        <v>69</v>
      </c>
      <c r="C27" s="51">
        <v>5.5</v>
      </c>
      <c r="D27" s="45" t="s">
        <v>66</v>
      </c>
      <c r="E27" s="45">
        <v>2790.0</v>
      </c>
      <c r="F27" s="45">
        <v>0.0</v>
      </c>
      <c r="G27" s="45">
        <v>3400.0</v>
      </c>
      <c r="H27" s="45">
        <v>550.0</v>
      </c>
      <c r="I27" s="45">
        <v>0.0</v>
      </c>
      <c r="J27" s="45">
        <v>315.0</v>
      </c>
      <c r="K27" s="15">
        <f t="shared" si="1"/>
        <v>7055</v>
      </c>
      <c r="L27" s="47">
        <f t="shared" si="2"/>
        <v>123.4625</v>
      </c>
      <c r="M27" s="15">
        <f t="shared" si="3"/>
        <v>6931.5375</v>
      </c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>
      <c r="A28" s="44">
        <v>46199.0</v>
      </c>
      <c r="B28" s="42" t="s">
        <v>70</v>
      </c>
      <c r="C28" s="45">
        <v>5.0</v>
      </c>
      <c r="D28" s="45" t="s">
        <v>66</v>
      </c>
      <c r="E28" s="45">
        <v>1040.0</v>
      </c>
      <c r="F28" s="45">
        <v>0.0</v>
      </c>
      <c r="G28" s="45">
        <v>7228.0</v>
      </c>
      <c r="H28" s="45">
        <v>200.0</v>
      </c>
      <c r="I28" s="45">
        <v>450.0</v>
      </c>
      <c r="J28" s="45">
        <v>525.0</v>
      </c>
      <c r="K28" s="15">
        <f t="shared" si="1"/>
        <v>9443</v>
      </c>
      <c r="L28" s="47">
        <f t="shared" si="2"/>
        <v>165.2525</v>
      </c>
      <c r="M28" s="15">
        <f t="shared" si="3"/>
        <v>9277.7475</v>
      </c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>
      <c r="A29" s="44">
        <v>46200.0</v>
      </c>
      <c r="B29" s="42" t="s">
        <v>71</v>
      </c>
      <c r="C29" s="51">
        <v>5.5</v>
      </c>
      <c r="D29" s="45" t="s">
        <v>66</v>
      </c>
      <c r="E29" s="45">
        <v>0.0</v>
      </c>
      <c r="F29" s="45">
        <v>0.0</v>
      </c>
      <c r="G29" s="45">
        <v>9693.0</v>
      </c>
      <c r="H29" s="45">
        <v>300.0</v>
      </c>
      <c r="I29" s="45">
        <v>300.0</v>
      </c>
      <c r="J29" s="45">
        <v>560.0</v>
      </c>
      <c r="K29" s="15">
        <f t="shared" si="1"/>
        <v>10853</v>
      </c>
      <c r="L29" s="47">
        <f t="shared" si="2"/>
        <v>189.9275</v>
      </c>
      <c r="M29" s="15">
        <f t="shared" si="3"/>
        <v>10663.0725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>
      <c r="A30" s="44">
        <v>46201.0</v>
      </c>
      <c r="B30" s="42" t="s">
        <v>72</v>
      </c>
      <c r="C30" s="45">
        <v>3.0</v>
      </c>
      <c r="D30" s="45" t="s">
        <v>66</v>
      </c>
      <c r="E30" s="45">
        <v>0.0</v>
      </c>
      <c r="F30" s="45">
        <v>0.0</v>
      </c>
      <c r="G30" s="45">
        <v>5528.0</v>
      </c>
      <c r="H30" s="45">
        <v>100.0</v>
      </c>
      <c r="I30" s="45">
        <v>0.0</v>
      </c>
      <c r="J30" s="45">
        <v>700.0</v>
      </c>
      <c r="K30" s="15">
        <f t="shared" si="1"/>
        <v>6328</v>
      </c>
      <c r="L30" s="47">
        <f t="shared" si="2"/>
        <v>110.74</v>
      </c>
      <c r="M30" s="15">
        <f t="shared" si="3"/>
        <v>6217.26</v>
      </c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>
      <c r="A31" s="44">
        <v>46202.0</v>
      </c>
      <c r="B31" s="42" t="s">
        <v>65</v>
      </c>
      <c r="C31" s="45">
        <v>2.0</v>
      </c>
      <c r="D31" s="45" t="s">
        <v>66</v>
      </c>
      <c r="E31" s="49">
        <v>1090.0</v>
      </c>
      <c r="F31" s="53">
        <v>0.0</v>
      </c>
      <c r="G31" s="45">
        <v>0.0</v>
      </c>
      <c r="H31" s="45">
        <v>200.0</v>
      </c>
      <c r="I31" s="45">
        <v>75.0</v>
      </c>
      <c r="J31" s="45">
        <v>595.0</v>
      </c>
      <c r="K31" s="15">
        <f t="shared" si="1"/>
        <v>1960</v>
      </c>
      <c r="L31" s="47">
        <f t="shared" si="2"/>
        <v>34.3</v>
      </c>
      <c r="M31" s="15">
        <f t="shared" si="3"/>
        <v>1925.7</v>
      </c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>
      <c r="A32" s="44">
        <v>46203.0</v>
      </c>
      <c r="B32" s="42" t="s">
        <v>67</v>
      </c>
      <c r="C32" s="51">
        <v>3.5</v>
      </c>
      <c r="D32" s="45" t="s">
        <v>66</v>
      </c>
      <c r="E32" s="45">
        <v>1090.0</v>
      </c>
      <c r="F32" s="45">
        <v>3000.0</v>
      </c>
      <c r="G32" s="45">
        <v>0.0</v>
      </c>
      <c r="H32" s="45">
        <v>250.0</v>
      </c>
      <c r="I32" s="46">
        <v>100.0</v>
      </c>
      <c r="J32" s="45">
        <v>455.0</v>
      </c>
      <c r="K32" s="15">
        <f t="shared" si="1"/>
        <v>4895</v>
      </c>
      <c r="L32" s="47">
        <f t="shared" si="2"/>
        <v>85.6625</v>
      </c>
      <c r="M32" s="15">
        <f t="shared" si="3"/>
        <v>4809.3375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>
      <c r="A33" s="54" t="s">
        <v>3</v>
      </c>
      <c r="B33" s="55"/>
      <c r="C33" s="56">
        <f>SUM(C2:C32)</f>
        <v>132</v>
      </c>
      <c r="D33" s="57"/>
      <c r="E33" s="58">
        <f t="shared" ref="E33:M33" si="4">SUM(E2:E32)</f>
        <v>29701</v>
      </c>
      <c r="F33" s="58">
        <f t="shared" si="4"/>
        <v>27708</v>
      </c>
      <c r="G33" s="58">
        <f t="shared" si="4"/>
        <v>127307</v>
      </c>
      <c r="H33" s="58">
        <f t="shared" si="4"/>
        <v>13950</v>
      </c>
      <c r="I33" s="58">
        <f t="shared" si="4"/>
        <v>6550</v>
      </c>
      <c r="J33" s="58">
        <f t="shared" si="4"/>
        <v>4690</v>
      </c>
      <c r="K33" s="58">
        <f t="shared" si="4"/>
        <v>209906</v>
      </c>
      <c r="L33" s="58">
        <f t="shared" si="4"/>
        <v>3673.355</v>
      </c>
      <c r="M33" s="58">
        <f t="shared" si="4"/>
        <v>206232.645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8"/>
      <c r="Y33" s="48"/>
      <c r="Z33" s="48"/>
      <c r="AA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4" max="4" width="14.38"/>
    <col customWidth="1" min="5" max="5" width="16.0"/>
    <col customWidth="1" min="6" max="6" width="11.13"/>
    <col customWidth="1" min="7" max="8" width="7.0"/>
    <col customWidth="1" min="9" max="9" width="14.13"/>
  </cols>
  <sheetData>
    <row r="1">
      <c r="A1" s="59" t="s">
        <v>74</v>
      </c>
      <c r="B1" s="60" t="s">
        <v>56</v>
      </c>
      <c r="C1" s="60" t="s">
        <v>75</v>
      </c>
      <c r="D1" s="60" t="s">
        <v>76</v>
      </c>
      <c r="E1" s="61" t="s">
        <v>77</v>
      </c>
      <c r="F1" s="60" t="s">
        <v>64</v>
      </c>
      <c r="G1" s="60" t="s">
        <v>78</v>
      </c>
      <c r="H1" s="60" t="s">
        <v>79</v>
      </c>
      <c r="I1" s="60" t="s">
        <v>80</v>
      </c>
    </row>
    <row r="2">
      <c r="A2" s="62"/>
      <c r="B2" s="63" t="s">
        <v>0</v>
      </c>
      <c r="C2" s="64">
        <v>211794.0</v>
      </c>
      <c r="D2" s="64">
        <v>13501.0</v>
      </c>
      <c r="E2" s="65">
        <v>2430.0</v>
      </c>
      <c r="F2" s="66">
        <f>C2-D2-E2</f>
        <v>195863</v>
      </c>
      <c r="G2" s="64">
        <v>1059.0</v>
      </c>
      <c r="H2" s="64">
        <v>212.0</v>
      </c>
      <c r="I2" s="64">
        <f>F2-G2-H2</f>
        <v>194592</v>
      </c>
    </row>
    <row r="3">
      <c r="A3" s="24"/>
      <c r="B3" s="67" t="s">
        <v>3</v>
      </c>
      <c r="C3" s="58">
        <f>SUM(C2)</f>
        <v>211794</v>
      </c>
      <c r="D3" s="68"/>
      <c r="E3" s="68"/>
      <c r="F3" s="69">
        <f>SUM(F2)</f>
        <v>195863</v>
      </c>
      <c r="G3" s="68"/>
      <c r="H3" s="68"/>
      <c r="I3" s="58">
        <f>SUM(I2)</f>
        <v>194592</v>
      </c>
    </row>
    <row r="5">
      <c r="A5" s="70" t="s">
        <v>4</v>
      </c>
      <c r="B5" s="71">
        <f>C3-B6-B7</f>
        <v>62484</v>
      </c>
    </row>
    <row r="6">
      <c r="A6" s="70" t="s">
        <v>6</v>
      </c>
      <c r="B6" s="72">
        <v>120067.0</v>
      </c>
    </row>
    <row r="7">
      <c r="A7" s="32" t="s">
        <v>5</v>
      </c>
      <c r="B7" s="73">
        <v>29243.0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7.88"/>
    <col customWidth="1" min="5" max="6" width="15.25"/>
  </cols>
  <sheetData>
    <row r="1">
      <c r="A1" s="60" t="s">
        <v>81</v>
      </c>
      <c r="B1" s="60" t="s">
        <v>82</v>
      </c>
      <c r="C1" s="60" t="s">
        <v>83</v>
      </c>
      <c r="D1" s="60" t="s">
        <v>84</v>
      </c>
      <c r="E1" s="74" t="s">
        <v>85</v>
      </c>
      <c r="F1" s="67" t="s">
        <v>63</v>
      </c>
      <c r="G1" s="67" t="s">
        <v>64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</row>
    <row r="2">
      <c r="A2" s="27" t="s">
        <v>86</v>
      </c>
      <c r="B2" s="63" t="s">
        <v>87</v>
      </c>
      <c r="C2" s="63" t="s">
        <v>88</v>
      </c>
      <c r="D2" s="75" t="s">
        <v>89</v>
      </c>
      <c r="E2" s="64">
        <v>24800.0</v>
      </c>
      <c r="F2" s="47">
        <f t="shared" ref="F2:F3" si="1">E2*1.75%</f>
        <v>434</v>
      </c>
      <c r="G2" s="15">
        <f t="shared" ref="G2:G3" si="2">E2-F2</f>
        <v>24366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>
      <c r="A3" s="27" t="s">
        <v>90</v>
      </c>
      <c r="B3" s="63" t="s">
        <v>87</v>
      </c>
      <c r="C3" s="63" t="s">
        <v>91</v>
      </c>
      <c r="D3" s="75" t="s">
        <v>89</v>
      </c>
      <c r="E3" s="64">
        <v>19180.0</v>
      </c>
      <c r="F3" s="47">
        <f t="shared" si="1"/>
        <v>335.65</v>
      </c>
      <c r="G3" s="15">
        <f t="shared" si="2"/>
        <v>18844.35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>
      <c r="A4" s="76" t="s">
        <v>3</v>
      </c>
      <c r="B4" s="22"/>
      <c r="C4" s="22"/>
      <c r="D4" s="22"/>
      <c r="E4" s="77">
        <f>SUM(E2:E3)</f>
        <v>43980</v>
      </c>
      <c r="F4" s="22"/>
      <c r="G4" s="17">
        <f>SUM(G2:G3)</f>
        <v>43210.35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</row>
    <row r="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6" max="6" width="15.25"/>
    <col customWidth="1" min="7" max="7" width="11.13"/>
  </cols>
  <sheetData>
    <row r="1">
      <c r="A1" s="38" t="s">
        <v>56</v>
      </c>
      <c r="B1" s="78" t="s">
        <v>92</v>
      </c>
      <c r="C1" s="38" t="s">
        <v>93</v>
      </c>
      <c r="D1" s="38" t="s">
        <v>94</v>
      </c>
      <c r="E1" s="78" t="s">
        <v>95</v>
      </c>
      <c r="F1" s="78" t="s">
        <v>63</v>
      </c>
      <c r="G1" s="38" t="s">
        <v>64</v>
      </c>
    </row>
    <row r="2">
      <c r="A2" s="79">
        <v>46194.0</v>
      </c>
      <c r="B2" s="80" t="s">
        <v>4</v>
      </c>
      <c r="C2" s="27" t="s">
        <v>96</v>
      </c>
      <c r="D2" s="64">
        <v>9018.0</v>
      </c>
      <c r="E2" s="47">
        <f>D2*5%</f>
        <v>450.9</v>
      </c>
      <c r="F2" s="13">
        <v>0.0</v>
      </c>
      <c r="G2" s="15">
        <f t="shared" ref="G2:G3" si="1">D2-E2-F2</f>
        <v>8567.1</v>
      </c>
    </row>
    <row r="3">
      <c r="A3" s="81">
        <v>46194.0</v>
      </c>
      <c r="B3" s="82" t="s">
        <v>4</v>
      </c>
      <c r="C3" s="83" t="s">
        <v>96</v>
      </c>
      <c r="D3" s="84">
        <v>3408.0</v>
      </c>
      <c r="E3" s="82">
        <v>0.0</v>
      </c>
      <c r="F3" s="85">
        <f>D3*1.75%</f>
        <v>59.64</v>
      </c>
      <c r="G3" s="15">
        <f t="shared" si="1"/>
        <v>3348.36</v>
      </c>
    </row>
    <row r="4">
      <c r="A4" s="86" t="s">
        <v>3</v>
      </c>
      <c r="B4" s="87"/>
      <c r="C4" s="87"/>
      <c r="D4" s="88">
        <f t="shared" ref="D4:G4" si="2">SUM(D2:D3)</f>
        <v>12426</v>
      </c>
      <c r="E4" s="89">
        <f t="shared" si="2"/>
        <v>450.9</v>
      </c>
      <c r="F4" s="90">
        <f t="shared" si="2"/>
        <v>59.64</v>
      </c>
      <c r="G4" s="90">
        <f t="shared" si="2"/>
        <v>11915.46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56</v>
      </c>
      <c r="B1" s="78" t="s">
        <v>92</v>
      </c>
      <c r="C1" s="38" t="s">
        <v>93</v>
      </c>
      <c r="D1" s="38" t="s">
        <v>94</v>
      </c>
    </row>
    <row r="2">
      <c r="A2" s="27" t="s">
        <v>89</v>
      </c>
      <c r="B2" s="80" t="s">
        <v>87</v>
      </c>
      <c r="C2" s="27" t="s">
        <v>20</v>
      </c>
      <c r="D2" s="64">
        <v>47200.0</v>
      </c>
    </row>
    <row r="3">
      <c r="A3" s="27" t="s">
        <v>89</v>
      </c>
      <c r="B3" s="80" t="s">
        <v>4</v>
      </c>
      <c r="C3" s="27" t="s">
        <v>20</v>
      </c>
      <c r="D3" s="64">
        <v>3000.0</v>
      </c>
    </row>
    <row r="4">
      <c r="A4" s="32" t="s">
        <v>3</v>
      </c>
      <c r="B4" s="91"/>
      <c r="C4" s="91"/>
      <c r="D4" s="92">
        <f>SUM(D2:D3)</f>
        <v>50200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38" t="s">
        <v>56</v>
      </c>
      <c r="B1" s="78" t="s">
        <v>97</v>
      </c>
      <c r="C1" s="38" t="s">
        <v>93</v>
      </c>
      <c r="D1" s="38" t="s">
        <v>94</v>
      </c>
      <c r="E1" s="93" t="s">
        <v>98</v>
      </c>
      <c r="F1" s="93" t="s">
        <v>99</v>
      </c>
    </row>
    <row r="2">
      <c r="A2" s="79">
        <v>46180.0</v>
      </c>
      <c r="B2" s="80" t="s">
        <v>100</v>
      </c>
      <c r="C2" s="27" t="s">
        <v>101</v>
      </c>
      <c r="D2" s="64">
        <v>23600.0</v>
      </c>
      <c r="E2" s="94">
        <f>D2*40%</f>
        <v>9440</v>
      </c>
      <c r="F2" s="94">
        <f t="shared" ref="F2:F4" si="1">D2-E2</f>
        <v>14160</v>
      </c>
    </row>
    <row r="3">
      <c r="A3" s="79">
        <v>46191.0</v>
      </c>
      <c r="B3" s="80" t="s">
        <v>100</v>
      </c>
      <c r="C3" s="63" t="s">
        <v>102</v>
      </c>
      <c r="D3" s="64">
        <v>42286.0</v>
      </c>
      <c r="E3" s="95">
        <v>0.0</v>
      </c>
      <c r="F3" s="94">
        <f t="shared" si="1"/>
        <v>42286</v>
      </c>
    </row>
    <row r="4">
      <c r="A4" s="79">
        <v>46194.0</v>
      </c>
      <c r="B4" s="95" t="s">
        <v>103</v>
      </c>
      <c r="C4" s="63" t="s">
        <v>104</v>
      </c>
      <c r="D4" s="94">
        <f>8000+3000</f>
        <v>11000</v>
      </c>
      <c r="E4" s="94">
        <f>8000*40%</f>
        <v>3200</v>
      </c>
      <c r="F4" s="94">
        <f t="shared" si="1"/>
        <v>7800</v>
      </c>
    </row>
    <row r="5">
      <c r="A5" s="96" t="s">
        <v>3</v>
      </c>
      <c r="B5" s="91"/>
      <c r="C5" s="91"/>
      <c r="D5" s="92">
        <f t="shared" ref="D5:F5" si="2">SUM(D2:D4)</f>
        <v>76886</v>
      </c>
      <c r="E5" s="92">
        <f t="shared" si="2"/>
        <v>12640</v>
      </c>
      <c r="F5" s="92">
        <f t="shared" si="2"/>
        <v>64246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3.0"/>
    <col customWidth="1" min="5" max="5" width="17.0"/>
    <col customWidth="1" min="6" max="7" width="15.25"/>
  </cols>
  <sheetData>
    <row r="1">
      <c r="A1" s="38" t="s">
        <v>56</v>
      </c>
      <c r="B1" s="38" t="s">
        <v>105</v>
      </c>
      <c r="C1" s="38" t="s">
        <v>93</v>
      </c>
      <c r="D1" s="38" t="s">
        <v>82</v>
      </c>
      <c r="E1" s="38" t="s">
        <v>106</v>
      </c>
      <c r="F1" s="38" t="s">
        <v>85</v>
      </c>
      <c r="G1" s="67" t="s">
        <v>63</v>
      </c>
      <c r="H1" s="67" t="s">
        <v>64</v>
      </c>
    </row>
    <row r="2">
      <c r="A2" s="97" t="s">
        <v>107</v>
      </c>
      <c r="B2" s="27" t="s">
        <v>108</v>
      </c>
      <c r="C2" s="27" t="s">
        <v>109</v>
      </c>
      <c r="D2" s="27" t="s">
        <v>87</v>
      </c>
      <c r="E2" s="80" t="s">
        <v>110</v>
      </c>
      <c r="F2" s="95">
        <v>43000.0</v>
      </c>
      <c r="G2" s="47">
        <f t="shared" ref="G2:G4" si="1">F2*1.75%</f>
        <v>752.5</v>
      </c>
      <c r="H2" s="15">
        <f t="shared" ref="H2:H4" si="2">F2-G2</f>
        <v>42247.5</v>
      </c>
    </row>
    <row r="3">
      <c r="A3" s="98">
        <v>46201.0</v>
      </c>
      <c r="B3" s="27" t="s">
        <v>111</v>
      </c>
      <c r="C3" s="27" t="s">
        <v>109</v>
      </c>
      <c r="D3" s="27" t="s">
        <v>112</v>
      </c>
      <c r="E3" s="80" t="s">
        <v>113</v>
      </c>
      <c r="F3" s="95">
        <v>7080.0</v>
      </c>
      <c r="G3" s="47">
        <f t="shared" si="1"/>
        <v>123.9</v>
      </c>
      <c r="H3" s="15">
        <f t="shared" si="2"/>
        <v>6956.1</v>
      </c>
    </row>
    <row r="4">
      <c r="A4" s="98">
        <v>46203.0</v>
      </c>
      <c r="B4" s="27" t="s">
        <v>114</v>
      </c>
      <c r="C4" s="27" t="s">
        <v>109</v>
      </c>
      <c r="D4" s="27" t="s">
        <v>87</v>
      </c>
      <c r="E4" s="80" t="s">
        <v>6</v>
      </c>
      <c r="F4" s="95">
        <v>55800.0</v>
      </c>
      <c r="G4" s="47">
        <f t="shared" si="1"/>
        <v>976.5</v>
      </c>
      <c r="H4" s="15">
        <f t="shared" si="2"/>
        <v>54823.5</v>
      </c>
    </row>
    <row r="5">
      <c r="A5" s="67" t="s">
        <v>3</v>
      </c>
      <c r="B5" s="68"/>
      <c r="C5" s="68"/>
      <c r="D5" s="68"/>
      <c r="E5" s="68"/>
      <c r="F5" s="58">
        <f t="shared" ref="F5:H5" si="3">SUM(F2:F4)</f>
        <v>105880</v>
      </c>
      <c r="G5" s="58">
        <f t="shared" si="3"/>
        <v>1852.9</v>
      </c>
      <c r="H5" s="58">
        <f t="shared" si="3"/>
        <v>104027.1</v>
      </c>
    </row>
  </sheetData>
  <drawing r:id="rId1"/>
</worksheet>
</file>