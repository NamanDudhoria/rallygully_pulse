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<sst xmlns="http://schemas.openxmlformats.org/spreadsheetml/2006/main" count="154" uniqueCount="78">
  <si>
    <t>Date</t>
  </si>
  <si>
    <t>Link</t>
  </si>
  <si>
    <t>Date: 1 - 31 Mar</t>
  </si>
  <si>
    <t>Day</t>
  </si>
  <si>
    <t>Offline booking hours</t>
  </si>
  <si>
    <t>Discount Given</t>
  </si>
  <si>
    <t>Booking Revenue</t>
  </si>
  <si>
    <t>Particulars</t>
  </si>
  <si>
    <t>Community Revenue</t>
  </si>
  <si>
    <t xml:space="preserve">Paddle Rental </t>
  </si>
  <si>
    <t>F&amp;B</t>
  </si>
  <si>
    <t>Amount</t>
  </si>
  <si>
    <t>Total Revenue</t>
  </si>
  <si>
    <t>Offline</t>
  </si>
  <si>
    <t>Paid to Hudle</t>
  </si>
  <si>
    <t>Commisions (Including GST)</t>
  </si>
  <si>
    <t>Net Revenue</t>
  </si>
  <si>
    <t>TDS</t>
  </si>
  <si>
    <t>TCS</t>
  </si>
  <si>
    <t>Sunday</t>
  </si>
  <si>
    <t>1 - 23 Mar</t>
  </si>
  <si>
    <t>20% and 10%</t>
  </si>
  <si>
    <t>Rentals</t>
  </si>
  <si>
    <t>Monday</t>
  </si>
  <si>
    <t>23 - 31 Mar</t>
  </si>
  <si>
    <t>Tuesday</t>
  </si>
  <si>
    <t>Wednesday</t>
  </si>
  <si>
    <t>Thursday</t>
  </si>
  <si>
    <t>Total</t>
  </si>
  <si>
    <t>Friday</t>
  </si>
  <si>
    <t>Saturday</t>
  </si>
  <si>
    <t>Product Sales</t>
  </si>
  <si>
    <t>Bookings</t>
  </si>
  <si>
    <t>Online: Third Party Platform</t>
  </si>
  <si>
    <t>Paid to Playo (₹)</t>
  </si>
  <si>
    <t>Commissions (₹)</t>
  </si>
  <si>
    <t>GST (₹)</t>
  </si>
  <si>
    <t>Hudle</t>
  </si>
  <si>
    <t>TDS (₹)</t>
  </si>
  <si>
    <t>TCS (₹)</t>
  </si>
  <si>
    <t>Final Amount (₹)</t>
  </si>
  <si>
    <t>Playo</t>
  </si>
  <si>
    <t>1 - 15 Mar</t>
  </si>
  <si>
    <t>District</t>
  </si>
  <si>
    <t>Khelomore</t>
  </si>
  <si>
    <t>Zplys</t>
  </si>
  <si>
    <t>Community</t>
  </si>
  <si>
    <t>16 - 31 Mar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</si>
  <si>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</si>
  <si>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</si>
  <si>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</si>
  <si>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</si>
  <si>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</si>
  <si>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</si>
  <si>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</si>
  <si>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</si>
  <si>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</si>
  <si>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(Note for CA Team: Please note that RallyGully hasn't received the 18000 rental for basketball rental service provided) - GST payment would have to be made by Drive &amp; Kick Team</t>
  </si>
  <si>
    <t>Total Gross Revenue</t>
  </si>
  <si>
    <t>Total Net Revenue (Post Commissions)</t>
  </si>
  <si>
    <t>Total Revenue post GST</t>
  </si>
  <si>
    <t>Drive &amp; Kick Share (70%)</t>
  </si>
  <si>
    <t>Paid to District</t>
  </si>
  <si>
    <t>GST on Commission</t>
  </si>
  <si>
    <t>Drive &amp; Kick Share (Final share after incorporting 18k already received by Drive Kick)</t>
  </si>
  <si>
    <t>RallyGully's Share (30%)</t>
  </si>
  <si>
    <t>1 - 24 Mar</t>
  </si>
  <si>
    <t>25 - 31 Mar</t>
  </si>
  <si>
    <t>Month</t>
  </si>
  <si>
    <t>Paid to Khelomore (₹)</t>
  </si>
  <si>
    <t>Sports Type</t>
  </si>
  <si>
    <t>Type</t>
  </si>
  <si>
    <t>Amount Collected</t>
  </si>
  <si>
    <t>Mar</t>
  </si>
  <si>
    <t>Basketball Coaching</t>
  </si>
  <si>
    <t>1 - 31 Mar</t>
  </si>
  <si>
    <t>Basketball</t>
  </si>
  <si>
    <t>3 days in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</si>
</sst>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"/>
    <numFmt numFmtId="165" formatCode="[$₹]#,##0.00"/>
    <numFmt numFmtId="166" formatCode="[&gt;9999999][$₹]##\,##\,##\,##0.00;[&gt;99999][$₹]##\,##\,##0.00;[$₹]##,##0.00"/>
    <numFmt numFmtId="167" formatCode="[&gt;9999999][$₹]##\,##\,##\,##0;[&gt;99999][$₹]##\,##\,##0;[$₹]##,##0"/>
    <numFmt numFmtId="168" formatCode="[$₹]#,##0"/>
  </numFmts>
  <fonts count="10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readingOrder="0" vertical="bottom"/>
    </xf>
    <xf borderId="3" fillId="0" fontId="2" numFmtId="0" xfId="0" applyBorder="1" applyFont="1"/>
    <xf borderId="1" fillId="2" fontId="1" numFmtId="9" xfId="0" applyAlignment="1" applyBorder="1" applyFill="1" applyFont="1" applyNumberFormat="1">
      <alignment horizontal="center" vertical="bottom"/>
    </xf>
    <xf borderId="1" fillId="2" fontId="1" numFmtId="3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3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3" fontId="4" numFmtId="164" xfId="0" applyAlignment="1" applyBorder="1" applyFill="1" applyFont="1" applyNumberFormat="1">
      <alignment horizontal="right" vertical="bottom"/>
    </xf>
    <xf borderId="1" fillId="2" fontId="1" numFmtId="165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65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9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1" numFmtId="167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4" numFmtId="3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167" xfId="0" applyAlignment="1" applyBorder="1" applyFont="1" applyNumberFormat="1">
      <alignment horizontal="right" vertical="bottom"/>
    </xf>
    <xf borderId="1" fillId="2" fontId="1" numFmtId="0" xfId="0" applyAlignment="1" applyBorder="1" applyFill="1" applyFont="1">
      <alignment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2" fontId="1" numFmtId="166" xfId="0" applyAlignment="1" applyBorder="1" applyFill="1" applyFont="1" applyNumberFormat="1">
      <alignment horizontal="right" vertical="bottom"/>
    </xf>
    <xf borderId="1" fillId="2" fontId="4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vertical="bottom"/>
    </xf>
    <xf borderId="1" fillId="3" fontId="4" numFmtId="4" xfId="0" applyAlignment="1" applyBorder="1" applyFill="1" applyFont="1" applyNumberFormat="1">
      <alignment vertical="bottom"/>
    </xf>
    <xf borderId="1" fillId="3" fontId="4" numFmtId="0" xfId="0" applyAlignment="1" applyBorder="1" applyFill="1" applyFont="1">
      <alignment horizontal="right" readingOrder="0" vertical="bottom"/>
    </xf>
    <xf borderId="1" fillId="3" fontId="4" numFmtId="3" xfId="0" applyAlignment="1" applyBorder="1" applyFill="1" applyFont="1" applyNumberFormat="1">
      <alignment horizontal="right" readingOrder="0" vertical="bottom"/>
    </xf>
    <xf borderId="0" fillId="0" fontId="6" numFmtId="0" xfId="0" applyFont="1"/>
    <xf borderId="1" fillId="2" fontId="1" numFmtId="0" xfId="0" applyAlignment="1" applyBorder="1" applyFill="1" applyFont="1">
      <alignment horizontal="right" vertical="bottom"/>
    </xf>
    <xf borderId="1" fillId="3" fontId="4" numFmtId="0" xfId="0" applyAlignment="1" applyBorder="1" applyFill="1" applyFont="1">
      <alignment readingOrder="0" vertical="bottom"/>
    </xf>
    <xf borderId="1" fillId="2" fontId="1" numFmtId="4" xfId="0" applyAlignment="1" applyBorder="1" applyFill="1" applyFont="1" applyNumberFormat="1">
      <alignment horizontal="right" vertical="bottom"/>
    </xf>
    <xf borderId="1" fillId="2" fontId="4" numFmtId="4" xfId="0" applyAlignment="1" applyBorder="1" applyFill="1" applyFont="1" applyNumberFormat="1">
      <alignment vertical="bottom"/>
    </xf>
    <xf borderId="1" fillId="0" fontId="1" numFmtId="167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vertical="bottom"/>
    </xf>
    <xf borderId="1" fillId="2" fontId="4" numFmtId="9" xfId="0" applyAlignment="1" applyBorder="1" applyFill="1" applyFont="1" applyNumberFormat="1">
      <alignment vertical="bottom"/>
    </xf>
    <xf borderId="1" fillId="2" fontId="1" numFmtId="3" xfId="0" applyAlignment="1" applyBorder="1" applyFill="1" applyFont="1" applyNumberFormat="1">
      <alignment horizontal="right" vertical="bottom"/>
    </xf>
    <xf borderId="4" fillId="0" fontId="4" numFmtId="167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0" fontId="1" numFmtId="165" xfId="0" applyAlignment="1" applyBorder="1" applyFont="1" applyNumberFormat="1">
      <alignment horizontal="right" vertical="bottom"/>
    </xf>
    <xf borderId="0" fillId="2" fontId="7" numFmtId="165" xfId="0" applyAlignment="1" applyFill="1" applyFont="1" applyNumberFormat="1">
      <alignment horizontal="center" readingOrder="0" vertical="bottom"/>
    </xf>
    <xf borderId="1" fillId="0" fontId="4" numFmtId="168" xfId="0" applyAlignment="1" applyBorder="1" applyFont="1" applyNumberFormat="1">
      <alignment horizontal="right" shrinkToFit="0" vertical="bottom" wrapText="1"/>
    </xf>
    <xf borderId="0" fillId="2" fontId="8" numFmtId="165" xfId="0" applyAlignment="1" applyFill="1" applyFont="1" applyNumberFormat="1">
      <alignment vertical="bottom"/>
    </xf>
    <xf borderId="1" fillId="0" fontId="4" numFmtId="0" xfId="0" applyAlignment="1" applyBorder="1" applyFont="1">
      <alignment shrinkToFit="0" vertical="bottom" wrapText="1"/>
    </xf>
    <xf borderId="0" fillId="2" fontId="1" numFmtId="165" xfId="0" applyAlignment="1" applyFill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1" fillId="0" fontId="4" numFmtId="166" xfId="0" applyAlignment="1" applyBorder="1" applyFont="1" applyNumberFormat="1">
      <alignment readingOrder="0" vertical="bottom"/>
    </xf>
    <xf borderId="1" fillId="2" fontId="1" numFmtId="165" xfId="0" applyAlignment="1" applyBorder="1" applyFill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1" numFmtId="166" xfId="0" applyAlignment="1" applyBorder="1" applyFont="1" applyNumberFormat="1">
      <alignment horizontal="right" vertical="bottom"/>
    </xf>
    <xf borderId="1" fillId="3" fontId="9" numFmtId="165" xfId="0" applyAlignment="1" applyBorder="1" applyFill="1" applyFont="1" applyNumberFormat="1">
      <alignment vertical="bottom"/>
    </xf>
    <xf borderId="1" fillId="3" fontId="9" numFmtId="165" xfId="0" applyAlignment="1" applyBorder="1" applyFill="1" applyFont="1" applyNumberFormat="1">
      <alignment horizontal="right" vertical="bottom"/>
    </xf>
    <xf borderId="1" fillId="2" fontId="1" numFmtId="0" xfId="0" applyAlignment="1" applyBorder="1" applyFill="1" applyFont="1">
      <alignment readingOrder="0" vertical="bottom"/>
    </xf>
    <xf borderId="1" fillId="2" fontId="8" numFmtId="165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WyH3mDpCNf4V9ZAzzh0I2MxHZ0wTuLPfhrz0xK0frg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q400fT_B2awvFEPO9mMRN8Xp70V0UanxskUrkiwT7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n8CmiJUWcq8rwkI1Zjv0qvA37eRicotvgtwYS5egmY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5e-oYSmmAicNIA5qnZ6zI4eNXJWqBG4gEzQXVhxtFs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3" t="s">
        <v>2</v>
      </c>
      <c r="C2" s="4"/>
    </row>
    <row r="3">
      <c r="B3" s="7" t="s">
        <v>7</v>
      </c>
      <c r="C3" s="7" t="s">
        <v>11</v>
      </c>
    </row>
    <row r="4">
      <c r="B4" s="11" t="s">
        <v>13</v>
      </c>
      <c r="C4" s="21">
        <f>SUM(C5,C6,C7,C8)</f>
        <v>36510</v>
      </c>
    </row>
    <row r="5" outlineLevel="1">
      <c r="B5" s="16" t="s">
        <v>22</v>
      </c>
      <c r="C5" s="29">
        <f>'Offline &amp; RG Community'!G33</f>
        <v>6230</v>
      </c>
    </row>
    <row r="6" outlineLevel="1">
      <c r="B6" s="16" t="s">
        <v>10</v>
      </c>
      <c r="C6" s="29">
        <f>'Offline &amp; RG Community'!H33</f>
        <v>0</v>
      </c>
    </row>
    <row r="7" outlineLevel="1">
      <c r="B7" s="16" t="s">
        <v>31</v>
      </c>
      <c r="C7" s="31">
        <v>0.0</v>
      </c>
    </row>
    <row r="8" outlineLevel="1">
      <c r="B8" s="16" t="s">
        <v>32</v>
      </c>
      <c r="C8" s="31">
        <f>'Offline &amp; RG Community'!E33</f>
        <v>30280</v>
      </c>
    </row>
    <row r="9">
      <c r="B9" s="11" t="s">
        <v>33</v>
      </c>
      <c r="C9" s="21">
        <f>SUM(C10:C14)</f>
        <v>50065</v>
      </c>
    </row>
    <row r="10" outlineLevel="1">
      <c r="B10" s="16" t="s">
        <v>37</v>
      </c>
      <c r="C10" s="29">
        <f>Hudle!C4</f>
        <v>26070</v>
      </c>
    </row>
    <row r="11" outlineLevel="1">
      <c r="B11" s="16" t="s">
        <v>41</v>
      </c>
      <c r="C11" s="29">
        <f>Playo!C4</f>
        <v>1520</v>
      </c>
    </row>
    <row r="12" outlineLevel="1">
      <c r="B12" s="16" t="s">
        <v>43</v>
      </c>
      <c r="C12" s="31">
        <f>District!C4</f>
        <v>18175</v>
      </c>
    </row>
    <row r="13" outlineLevel="1">
      <c r="B13" s="16" t="s">
        <v>44</v>
      </c>
      <c r="C13" s="29">
        <f>Khelomore!C3</f>
        <v>4300</v>
      </c>
    </row>
    <row r="14">
      <c r="B14" s="28" t="s">
        <v>45</v>
      </c>
      <c r="C14" s="31">
        <v>0.0</v>
      </c>
    </row>
    <row r="15">
      <c r="B15" s="35" t="s">
        <v>46</v>
      </c>
      <c r="C15" s="21">
        <f>SUM(C17,C18,C19, C16)</f>
        <v>2300</v>
      </c>
    </row>
    <row r="16" outlineLevel="1">
      <c r="B16" s="34" t="s">
        <v>48</v>
      </c>
      <c r="C16" s="31">
        <v>0.0</v>
      </c>
    </row>
    <row r="17" outlineLevel="1">
      <c r="B17" s="34" t="s">
        <v>49</v>
      </c>
      <c r="C17" s="31">
        <v>0.0</v>
      </c>
    </row>
    <row r="18" outlineLevel="1">
      <c r="B18" s="16" t="s">
        <v>50</v>
      </c>
      <c r="C18" s="31">
        <f>'Offline &amp; RG Community'!F33</f>
        <v>2300</v>
      </c>
    </row>
    <row r="19" outlineLevel="1">
      <c r="B19" s="16" t="s">
        <v>51</v>
      </c>
      <c r="C19" s="31">
        <v>0.0</v>
      </c>
    </row>
    <row r="20">
      <c r="B20" s="11" t="s">
        <v>52</v>
      </c>
      <c r="C20" s="45">
        <v>0.0</v>
      </c>
    </row>
    <row r="21">
      <c r="B21" s="46" t="s">
        <v>53</v>
      </c>
      <c r="C21" s="31">
        <v>0.0</v>
      </c>
    </row>
    <row r="22">
      <c r="B22" s="16" t="s">
        <v>54</v>
      </c>
      <c r="C22" s="31">
        <v>0.0</v>
      </c>
    </row>
    <row r="23">
      <c r="B23" s="16" t="s">
        <v>55</v>
      </c>
      <c r="C23" s="31">
        <v>0.0</v>
      </c>
    </row>
    <row r="24">
      <c r="B24" s="47" t="s">
        <v>56</v>
      </c>
      <c r="C24" s="50">
        <f>'Other Income'!E2</f>
        <v>18000</v>
      </c>
      <c r="D24" s="51" t="s">
        <v>57</v>
      </c>
    </row>
    <row r="25">
      <c r="B25" s="11" t="s">
        <v>58</v>
      </c>
      <c r="C25" s="21">
        <f>sum(C4,C9,C15,C20,C22,C23,C24)</f>
        <v>106875</v>
      </c>
    </row>
    <row r="26">
      <c r="B26" s="52" t="s">
        <v>59</v>
      </c>
      <c r="C26" s="53">
        <f>'Offline &amp; RG Community'!I33+Hudle!E4+Playo!F4+District!F4+Khelomore!E3+'Other Income'!E2</f>
        <v>102503.36</v>
      </c>
    </row>
    <row r="27">
      <c r="B27" s="11" t="s">
        <v>60</v>
      </c>
      <c r="C27" s="21">
        <f>((C26-C24)/1.18)+C24</f>
        <v>89613.01695</v>
      </c>
    </row>
    <row r="28">
      <c r="B28" s="16" t="s">
        <v>61</v>
      </c>
      <c r="C28" s="55">
        <f>C27*70%</f>
        <v>62729.11186</v>
      </c>
    </row>
    <row r="29">
      <c r="B29" s="57" t="s">
        <v>64</v>
      </c>
      <c r="C29" s="55">
        <f>C28-C24</f>
        <v>44729.11186</v>
      </c>
    </row>
    <row r="30">
      <c r="B30" s="16" t="s">
        <v>65</v>
      </c>
      <c r="C30" s="55">
        <f>C27*30%</f>
        <v>26883.90508</v>
      </c>
    </row>
  </sheetData>
  <mergeCells count="2">
    <mergeCell ref="B2:C2"/>
    <mergeCell ref="D24:I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" t="s">
        <v>0</v>
      </c>
      <c r="B1" s="2" t="s">
        <v>3</v>
      </c>
      <c r="C1" s="2" t="s">
        <v>4</v>
      </c>
      <c r="D1" s="5" t="s">
        <v>5</v>
      </c>
      <c r="E1" s="6" t="s">
        <v>6</v>
      </c>
      <c r="F1" s="2" t="s">
        <v>8</v>
      </c>
      <c r="G1" s="6" t="s">
        <v>9</v>
      </c>
      <c r="H1" s="9" t="s">
        <v>10</v>
      </c>
      <c r="I1" s="10" t="s">
        <v>12</v>
      </c>
    </row>
    <row r="2">
      <c r="A2" s="12">
        <v>46082.0</v>
      </c>
      <c r="B2" s="15" t="s">
        <v>19</v>
      </c>
      <c r="C2" s="18">
        <v>1.0</v>
      </c>
      <c r="D2" s="19" t="s">
        <v>21</v>
      </c>
      <c r="E2" s="18">
        <v>640.0</v>
      </c>
      <c r="F2" s="18">
        <v>0.0</v>
      </c>
      <c r="G2" s="18">
        <v>500.0</v>
      </c>
      <c r="H2" s="18">
        <v>0.0</v>
      </c>
      <c r="I2" s="22">
        <f t="shared" ref="I2:I32" si="1">SUM(E2:H2)</f>
        <v>1140</v>
      </c>
    </row>
    <row r="3">
      <c r="A3" s="12">
        <v>46083.0</v>
      </c>
      <c r="B3" s="15" t="s">
        <v>23</v>
      </c>
      <c r="C3" s="18">
        <v>2.0</v>
      </c>
      <c r="D3" s="19" t="s">
        <v>21</v>
      </c>
      <c r="E3" s="25">
        <v>1280.0</v>
      </c>
      <c r="F3" s="18">
        <v>0.0</v>
      </c>
      <c r="G3" s="18">
        <v>300.0</v>
      </c>
      <c r="H3" s="18">
        <v>0.0</v>
      </c>
      <c r="I3" s="27">
        <f t="shared" si="1"/>
        <v>1580</v>
      </c>
    </row>
    <row r="4">
      <c r="A4" s="12">
        <v>46084.0</v>
      </c>
      <c r="B4" s="15" t="s">
        <v>25</v>
      </c>
      <c r="C4" s="18">
        <v>1.0</v>
      </c>
      <c r="D4" s="19" t="s">
        <v>21</v>
      </c>
      <c r="E4" s="25">
        <v>640.0</v>
      </c>
      <c r="F4" s="18">
        <v>0.0</v>
      </c>
      <c r="G4" s="25">
        <v>400.0</v>
      </c>
      <c r="H4" s="18">
        <v>0.0</v>
      </c>
      <c r="I4" s="27">
        <f t="shared" si="1"/>
        <v>1040</v>
      </c>
    </row>
    <row r="5">
      <c r="A5" s="12">
        <v>46085.0</v>
      </c>
      <c r="B5" s="15" t="s">
        <v>26</v>
      </c>
      <c r="C5" s="18">
        <v>0.0</v>
      </c>
      <c r="D5" s="19" t="s">
        <v>21</v>
      </c>
      <c r="E5" s="25">
        <v>0.0</v>
      </c>
      <c r="F5" s="18">
        <v>0.0</v>
      </c>
      <c r="G5" s="25">
        <v>200.0</v>
      </c>
      <c r="H5" s="18">
        <v>0.0</v>
      </c>
      <c r="I5" s="27">
        <f t="shared" si="1"/>
        <v>200</v>
      </c>
    </row>
    <row r="6">
      <c r="A6" s="12">
        <v>46086.0</v>
      </c>
      <c r="B6" s="15" t="s">
        <v>27</v>
      </c>
      <c r="C6" s="18">
        <v>2.0</v>
      </c>
      <c r="D6" s="19" t="s">
        <v>21</v>
      </c>
      <c r="E6" s="18">
        <v>1280.0</v>
      </c>
      <c r="F6" s="18">
        <v>0.0</v>
      </c>
      <c r="G6" s="25">
        <v>250.0</v>
      </c>
      <c r="H6" s="18">
        <v>0.0</v>
      </c>
      <c r="I6" s="22">
        <f t="shared" si="1"/>
        <v>1530</v>
      </c>
    </row>
    <row r="7">
      <c r="A7" s="12">
        <v>46087.0</v>
      </c>
      <c r="B7" s="15" t="s">
        <v>29</v>
      </c>
      <c r="C7" s="18">
        <v>0.0</v>
      </c>
      <c r="D7" s="19" t="s">
        <v>21</v>
      </c>
      <c r="E7" s="18">
        <v>0.0</v>
      </c>
      <c r="F7" s="18">
        <v>0.0</v>
      </c>
      <c r="G7" s="18">
        <v>250.0</v>
      </c>
      <c r="H7" s="18">
        <v>0.0</v>
      </c>
      <c r="I7" s="22">
        <f t="shared" si="1"/>
        <v>250</v>
      </c>
    </row>
    <row r="8">
      <c r="A8" s="12">
        <v>46088.0</v>
      </c>
      <c r="B8" s="15" t="s">
        <v>30</v>
      </c>
      <c r="C8" s="18">
        <v>0.5</v>
      </c>
      <c r="D8" s="19" t="s">
        <v>21</v>
      </c>
      <c r="E8" s="25">
        <v>300.0</v>
      </c>
      <c r="F8" s="18">
        <v>0.0</v>
      </c>
      <c r="G8" s="25">
        <v>500.0</v>
      </c>
      <c r="H8" s="18">
        <v>0.0</v>
      </c>
      <c r="I8" s="27">
        <f t="shared" si="1"/>
        <v>800</v>
      </c>
    </row>
    <row r="9">
      <c r="A9" s="12">
        <v>46089.0</v>
      </c>
      <c r="B9" s="15" t="s">
        <v>19</v>
      </c>
      <c r="C9" s="18">
        <v>3.0</v>
      </c>
      <c r="D9" s="19" t="s">
        <v>21</v>
      </c>
      <c r="E9" s="25">
        <v>2160.0</v>
      </c>
      <c r="F9" s="18">
        <v>1500.0</v>
      </c>
      <c r="G9" s="25">
        <v>300.0</v>
      </c>
      <c r="H9" s="18">
        <v>0.0</v>
      </c>
      <c r="I9" s="27">
        <f t="shared" si="1"/>
        <v>3960</v>
      </c>
    </row>
    <row r="10">
      <c r="A10" s="12">
        <v>46090.0</v>
      </c>
      <c r="B10" s="15" t="s">
        <v>23</v>
      </c>
      <c r="C10" s="18">
        <v>3.0</v>
      </c>
      <c r="D10" s="19" t="s">
        <v>21</v>
      </c>
      <c r="E10" s="25">
        <v>1920.0</v>
      </c>
      <c r="F10" s="18">
        <v>0.0</v>
      </c>
      <c r="G10" s="25">
        <v>230.0</v>
      </c>
      <c r="H10" s="18">
        <v>0.0</v>
      </c>
      <c r="I10" s="27">
        <f t="shared" si="1"/>
        <v>2150</v>
      </c>
    </row>
    <row r="11">
      <c r="A11" s="12">
        <v>46091.0</v>
      </c>
      <c r="B11" s="15" t="s">
        <v>25</v>
      </c>
      <c r="C11" s="18">
        <v>1.0</v>
      </c>
      <c r="D11" s="19" t="s">
        <v>21</v>
      </c>
      <c r="E11" s="25">
        <v>640.0</v>
      </c>
      <c r="F11" s="18">
        <v>0.0</v>
      </c>
      <c r="G11" s="18">
        <v>200.0</v>
      </c>
      <c r="H11" s="18">
        <v>0.0</v>
      </c>
      <c r="I11" s="27">
        <f t="shared" si="1"/>
        <v>840</v>
      </c>
    </row>
    <row r="12">
      <c r="A12" s="12">
        <v>46092.0</v>
      </c>
      <c r="B12" s="15" t="s">
        <v>26</v>
      </c>
      <c r="C12" s="18">
        <v>3.0</v>
      </c>
      <c r="D12" s="19" t="s">
        <v>21</v>
      </c>
      <c r="E12" s="18">
        <v>1920.0</v>
      </c>
      <c r="F12" s="18">
        <v>0.0</v>
      </c>
      <c r="G12" s="25">
        <v>350.0</v>
      </c>
      <c r="H12" s="18">
        <v>0.0</v>
      </c>
      <c r="I12" s="22">
        <f t="shared" si="1"/>
        <v>2270</v>
      </c>
    </row>
    <row r="13">
      <c r="A13" s="12">
        <v>46093.0</v>
      </c>
      <c r="B13" s="15" t="s">
        <v>27</v>
      </c>
      <c r="C13" s="18">
        <v>2.0</v>
      </c>
      <c r="D13" s="19" t="s">
        <v>21</v>
      </c>
      <c r="E13" s="25">
        <v>1280.0</v>
      </c>
      <c r="F13" s="18">
        <v>0.0</v>
      </c>
      <c r="G13" s="25">
        <v>100.0</v>
      </c>
      <c r="H13" s="18">
        <v>0.0</v>
      </c>
      <c r="I13" s="27">
        <f t="shared" si="1"/>
        <v>1380</v>
      </c>
    </row>
    <row r="14">
      <c r="A14" s="12">
        <v>46094.0</v>
      </c>
      <c r="B14" s="15" t="s">
        <v>29</v>
      </c>
      <c r="C14" s="18">
        <v>1.0</v>
      </c>
      <c r="D14" s="19" t="s">
        <v>21</v>
      </c>
      <c r="E14" s="18">
        <v>720.0</v>
      </c>
      <c r="F14" s="18">
        <v>0.0</v>
      </c>
      <c r="G14" s="18">
        <v>0.0</v>
      </c>
      <c r="H14" s="18">
        <v>0.0</v>
      </c>
      <c r="I14" s="22">
        <f t="shared" si="1"/>
        <v>720</v>
      </c>
    </row>
    <row r="15">
      <c r="A15" s="12">
        <v>46095.0</v>
      </c>
      <c r="B15" s="15" t="s">
        <v>30</v>
      </c>
      <c r="C15" s="18">
        <v>3.0</v>
      </c>
      <c r="D15" s="19" t="s">
        <v>21</v>
      </c>
      <c r="E15" s="18">
        <v>2060.0</v>
      </c>
      <c r="F15" s="18">
        <v>800.0</v>
      </c>
      <c r="G15" s="18">
        <v>400.0</v>
      </c>
      <c r="H15" s="18">
        <v>0.0</v>
      </c>
      <c r="I15" s="22">
        <f t="shared" si="1"/>
        <v>3260</v>
      </c>
    </row>
    <row r="16">
      <c r="A16" s="12">
        <v>46096.0</v>
      </c>
      <c r="B16" s="15" t="s">
        <v>19</v>
      </c>
      <c r="C16" s="18">
        <v>1.5</v>
      </c>
      <c r="D16" s="19" t="s">
        <v>21</v>
      </c>
      <c r="E16" s="18">
        <f>360+720</f>
        <v>1080</v>
      </c>
      <c r="F16" s="18">
        <v>0.0</v>
      </c>
      <c r="G16" s="18">
        <v>400.0</v>
      </c>
      <c r="H16" s="18">
        <v>0.0</v>
      </c>
      <c r="I16" s="22">
        <f t="shared" si="1"/>
        <v>1480</v>
      </c>
    </row>
    <row r="17">
      <c r="A17" s="12">
        <v>46097.0</v>
      </c>
      <c r="B17" s="15" t="s">
        <v>23</v>
      </c>
      <c r="C17" s="18">
        <v>1.5</v>
      </c>
      <c r="D17" s="19" t="s">
        <v>21</v>
      </c>
      <c r="E17" s="18">
        <v>1120.0</v>
      </c>
      <c r="F17" s="18">
        <v>0.0</v>
      </c>
      <c r="G17" s="18">
        <v>50.0</v>
      </c>
      <c r="H17" s="18">
        <v>0.0</v>
      </c>
      <c r="I17" s="22">
        <f t="shared" si="1"/>
        <v>1170</v>
      </c>
    </row>
    <row r="18">
      <c r="A18" s="12">
        <v>46098.0</v>
      </c>
      <c r="B18" s="15" t="s">
        <v>25</v>
      </c>
      <c r="C18" s="18">
        <v>2.0</v>
      </c>
      <c r="D18" s="19" t="s">
        <v>21</v>
      </c>
      <c r="E18" s="18">
        <v>1360.0</v>
      </c>
      <c r="F18" s="18">
        <v>0.0</v>
      </c>
      <c r="G18" s="18">
        <v>50.0</v>
      </c>
      <c r="H18" s="18">
        <v>0.0</v>
      </c>
      <c r="I18" s="22">
        <f t="shared" si="1"/>
        <v>1410</v>
      </c>
    </row>
    <row r="19">
      <c r="A19" s="12">
        <v>46099.0</v>
      </c>
      <c r="B19" s="15" t="s">
        <v>26</v>
      </c>
      <c r="C19" s="18">
        <v>0.0</v>
      </c>
      <c r="D19" s="19" t="s">
        <v>21</v>
      </c>
      <c r="E19" s="18">
        <v>0.0</v>
      </c>
      <c r="F19" s="18">
        <v>0.0</v>
      </c>
      <c r="G19" s="18">
        <v>0.0</v>
      </c>
      <c r="H19" s="18">
        <v>0.0</v>
      </c>
      <c r="I19" s="22">
        <f t="shared" si="1"/>
        <v>0</v>
      </c>
    </row>
    <row r="20">
      <c r="A20" s="12">
        <v>46100.0</v>
      </c>
      <c r="B20" s="15" t="s">
        <v>27</v>
      </c>
      <c r="C20" s="18">
        <v>0.0</v>
      </c>
      <c r="D20" s="19" t="s">
        <v>21</v>
      </c>
      <c r="E20" s="18">
        <v>0.0</v>
      </c>
      <c r="F20" s="18">
        <v>0.0</v>
      </c>
      <c r="G20" s="18">
        <v>0.0</v>
      </c>
      <c r="H20" s="18">
        <v>0.0</v>
      </c>
      <c r="I20" s="22">
        <f t="shared" si="1"/>
        <v>0</v>
      </c>
    </row>
    <row r="21">
      <c r="A21" s="12">
        <v>46101.0</v>
      </c>
      <c r="B21" s="15" t="s">
        <v>29</v>
      </c>
      <c r="C21" s="18">
        <v>1.0</v>
      </c>
      <c r="D21" s="19" t="s">
        <v>21</v>
      </c>
      <c r="E21" s="18">
        <v>720.0</v>
      </c>
      <c r="F21" s="18">
        <v>0.0</v>
      </c>
      <c r="G21" s="18">
        <v>50.0</v>
      </c>
      <c r="H21" s="18">
        <v>0.0</v>
      </c>
      <c r="I21" s="22">
        <f t="shared" si="1"/>
        <v>770</v>
      </c>
    </row>
    <row r="22">
      <c r="A22" s="12">
        <v>46102.0</v>
      </c>
      <c r="B22" s="15" t="s">
        <v>30</v>
      </c>
      <c r="C22" s="18">
        <v>2.0</v>
      </c>
      <c r="D22" s="19" t="s">
        <v>21</v>
      </c>
      <c r="E22" s="18">
        <v>1360.0</v>
      </c>
      <c r="F22" s="18">
        <v>0.0</v>
      </c>
      <c r="G22" s="18">
        <v>650.0</v>
      </c>
      <c r="H22" s="18">
        <v>0.0</v>
      </c>
      <c r="I22" s="22">
        <f t="shared" si="1"/>
        <v>2010</v>
      </c>
    </row>
    <row r="23">
      <c r="A23" s="12">
        <v>46103.0</v>
      </c>
      <c r="B23" s="15" t="s">
        <v>19</v>
      </c>
      <c r="C23" s="18">
        <v>1.0</v>
      </c>
      <c r="D23" s="19" t="s">
        <v>21</v>
      </c>
      <c r="E23" s="18">
        <v>640.0</v>
      </c>
      <c r="F23" s="18">
        <v>0.0</v>
      </c>
      <c r="G23" s="18">
        <v>400.0</v>
      </c>
      <c r="H23" s="18">
        <v>0.0</v>
      </c>
      <c r="I23" s="22">
        <f t="shared" si="1"/>
        <v>1040</v>
      </c>
    </row>
    <row r="24">
      <c r="A24" s="12">
        <v>46104.0</v>
      </c>
      <c r="B24" s="15" t="s">
        <v>23</v>
      </c>
      <c r="C24" s="18">
        <v>3.0</v>
      </c>
      <c r="D24" s="19" t="s">
        <v>21</v>
      </c>
      <c r="E24" s="18">
        <f>1280+640</f>
        <v>1920</v>
      </c>
      <c r="F24" s="18">
        <v>0.0</v>
      </c>
      <c r="G24" s="18">
        <v>100.0</v>
      </c>
      <c r="H24" s="18">
        <v>0.0</v>
      </c>
      <c r="I24" s="22">
        <f t="shared" si="1"/>
        <v>2020</v>
      </c>
    </row>
    <row r="25">
      <c r="A25" s="12">
        <v>46105.0</v>
      </c>
      <c r="B25" s="15" t="s">
        <v>25</v>
      </c>
      <c r="C25" s="18">
        <v>1.0</v>
      </c>
      <c r="D25" s="19" t="s">
        <v>21</v>
      </c>
      <c r="E25" s="18">
        <v>640.0</v>
      </c>
      <c r="F25" s="18">
        <v>0.0</v>
      </c>
      <c r="G25" s="18">
        <v>50.0</v>
      </c>
      <c r="H25" s="18">
        <v>0.0</v>
      </c>
      <c r="I25" s="22">
        <f t="shared" si="1"/>
        <v>690</v>
      </c>
    </row>
    <row r="26">
      <c r="A26" s="12">
        <v>46106.0</v>
      </c>
      <c r="B26" s="15" t="s">
        <v>26</v>
      </c>
      <c r="C26" s="18">
        <v>3.0</v>
      </c>
      <c r="D26" s="19" t="s">
        <v>21</v>
      </c>
      <c r="E26" s="18">
        <v>2000.0</v>
      </c>
      <c r="F26" s="18">
        <v>0.0</v>
      </c>
      <c r="G26" s="18">
        <v>150.0</v>
      </c>
      <c r="H26" s="18">
        <v>0.0</v>
      </c>
      <c r="I26" s="22">
        <f t="shared" si="1"/>
        <v>2150</v>
      </c>
    </row>
    <row r="27">
      <c r="A27" s="12">
        <v>46107.0</v>
      </c>
      <c r="B27" s="15" t="s">
        <v>27</v>
      </c>
      <c r="C27" s="18">
        <v>1.5</v>
      </c>
      <c r="D27" s="19" t="s">
        <v>21</v>
      </c>
      <c r="E27" s="18">
        <f>300+640</f>
        <v>940</v>
      </c>
      <c r="F27" s="18">
        <v>0.0</v>
      </c>
      <c r="G27" s="18">
        <v>0.0</v>
      </c>
      <c r="H27" s="18">
        <v>0.0</v>
      </c>
      <c r="I27" s="22">
        <f t="shared" si="1"/>
        <v>940</v>
      </c>
    </row>
    <row r="28">
      <c r="A28" s="12">
        <v>46108.0</v>
      </c>
      <c r="B28" s="15" t="s">
        <v>29</v>
      </c>
      <c r="C28" s="18">
        <v>2.0</v>
      </c>
      <c r="D28" s="19" t="s">
        <v>21</v>
      </c>
      <c r="E28" s="18">
        <v>1280.0</v>
      </c>
      <c r="F28" s="18">
        <v>0.0</v>
      </c>
      <c r="G28" s="18">
        <v>0.0</v>
      </c>
      <c r="H28" s="18">
        <v>0.0</v>
      </c>
      <c r="I28" s="22">
        <f t="shared" si="1"/>
        <v>1280</v>
      </c>
    </row>
    <row r="29">
      <c r="A29" s="12">
        <v>46109.0</v>
      </c>
      <c r="B29" s="15" t="s">
        <v>30</v>
      </c>
      <c r="C29" s="18">
        <v>2.0</v>
      </c>
      <c r="D29" s="19" t="s">
        <v>21</v>
      </c>
      <c r="E29" s="18">
        <v>1440.0</v>
      </c>
      <c r="F29" s="18">
        <v>0.0</v>
      </c>
      <c r="G29" s="18">
        <v>150.0</v>
      </c>
      <c r="H29" s="18">
        <v>0.0</v>
      </c>
      <c r="I29" s="22">
        <f t="shared" si="1"/>
        <v>1590</v>
      </c>
    </row>
    <row r="30">
      <c r="A30" s="12">
        <v>46110.0</v>
      </c>
      <c r="B30" s="36" t="s">
        <v>19</v>
      </c>
      <c r="C30" s="38">
        <v>0.5</v>
      </c>
      <c r="D30" s="19" t="s">
        <v>21</v>
      </c>
      <c r="E30" s="38">
        <v>300.0</v>
      </c>
      <c r="F30" s="38">
        <v>0.0</v>
      </c>
      <c r="G30" s="38">
        <v>200.0</v>
      </c>
      <c r="H30" s="39">
        <v>0.0</v>
      </c>
      <c r="I30" s="22">
        <f t="shared" si="1"/>
        <v>500</v>
      </c>
      <c r="J30" s="40"/>
      <c r="K30" s="40"/>
      <c r="L30" s="40"/>
      <c r="M30" s="40"/>
      <c r="N30" s="40"/>
      <c r="O30" s="40"/>
      <c r="P30" s="40"/>
    </row>
    <row r="31">
      <c r="A31" s="12">
        <v>46111.0</v>
      </c>
      <c r="B31" s="36" t="s">
        <v>23</v>
      </c>
      <c r="C31" s="38">
        <v>1.0</v>
      </c>
      <c r="D31" s="19" t="s">
        <v>21</v>
      </c>
      <c r="E31" s="38">
        <v>640.0</v>
      </c>
      <c r="F31" s="38">
        <v>0.0</v>
      </c>
      <c r="G31" s="38">
        <v>0.0</v>
      </c>
      <c r="H31" s="39">
        <v>0.0</v>
      </c>
      <c r="I31" s="22">
        <f t="shared" si="1"/>
        <v>640</v>
      </c>
    </row>
    <row r="32">
      <c r="A32" s="12">
        <v>46112.0</v>
      </c>
      <c r="B32" s="36" t="s">
        <v>25</v>
      </c>
      <c r="C32" s="42">
        <v>0.0</v>
      </c>
      <c r="D32" s="19" t="s">
        <v>21</v>
      </c>
      <c r="E32" s="42">
        <v>0.0</v>
      </c>
      <c r="F32" s="42">
        <v>0.0</v>
      </c>
      <c r="G32" s="42">
        <v>0.0</v>
      </c>
      <c r="H32" s="39">
        <v>0.0</v>
      </c>
      <c r="I32" s="22">
        <f t="shared" si="1"/>
        <v>0</v>
      </c>
    </row>
    <row r="33">
      <c r="A33" s="30" t="s">
        <v>28</v>
      </c>
      <c r="B33" s="33"/>
      <c r="C33" s="41">
        <f>SUM(C1:C32)</f>
        <v>45.5</v>
      </c>
      <c r="D33" s="48"/>
      <c r="E33" s="49">
        <f t="shared" ref="E33:I33" si="2">SUM(E1:E32)</f>
        <v>30280</v>
      </c>
      <c r="F33" s="41">
        <f t="shared" si="2"/>
        <v>2300</v>
      </c>
      <c r="G33" s="49">
        <f t="shared" si="2"/>
        <v>6230</v>
      </c>
      <c r="H33" s="41">
        <f t="shared" si="2"/>
        <v>0</v>
      </c>
      <c r="I33" s="41">
        <f t="shared" si="2"/>
        <v>38810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8" t="s">
        <v>1</v>
      </c>
      <c r="B1" s="2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13" t="s">
        <v>11</v>
      </c>
      <c r="I1" s="14"/>
    </row>
    <row r="2">
      <c r="A2" s="16"/>
      <c r="B2" s="17" t="s">
        <v>20</v>
      </c>
      <c r="C2" s="20">
        <v>24470.0</v>
      </c>
      <c r="D2" s="20">
        <v>3322.8</v>
      </c>
      <c r="E2" s="23">
        <f t="shared" ref="E2:E3" si="1">C2-D2</f>
        <v>21147.2</v>
      </c>
      <c r="F2" s="20">
        <v>21.66</v>
      </c>
      <c r="G2" s="20">
        <v>108.35</v>
      </c>
      <c r="H2" s="24">
        <v>22107.25</v>
      </c>
    </row>
    <row r="3">
      <c r="A3" s="26"/>
      <c r="B3" s="17" t="s">
        <v>24</v>
      </c>
      <c r="C3" s="28">
        <v>1600.0</v>
      </c>
      <c r="D3" s="28">
        <v>187.2</v>
      </c>
      <c r="E3" s="23">
        <f t="shared" si="1"/>
        <v>1412.8</v>
      </c>
      <c r="F3" s="28">
        <v>1.22</v>
      </c>
      <c r="G3" s="28">
        <v>6.1</v>
      </c>
      <c r="H3" s="28">
        <v>1245.48</v>
      </c>
    </row>
    <row r="4">
      <c r="B4" s="30" t="s">
        <v>28</v>
      </c>
      <c r="C4" s="32">
        <f>SUM(C2:C3)</f>
        <v>26070</v>
      </c>
      <c r="D4" s="33"/>
      <c r="E4" s="32">
        <f>SUM(E2:E3)</f>
        <v>22560</v>
      </c>
      <c r="F4" s="33"/>
      <c r="G4" s="33"/>
      <c r="H4" s="32">
        <f>SUM(H2:H3)</f>
        <v>23352.73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8" t="s">
        <v>1</v>
      </c>
      <c r="B1" s="2" t="s">
        <v>0</v>
      </c>
      <c r="C1" s="2" t="s">
        <v>34</v>
      </c>
      <c r="D1" s="2" t="s">
        <v>35</v>
      </c>
      <c r="E1" s="2" t="s">
        <v>36</v>
      </c>
      <c r="F1" s="2" t="s">
        <v>16</v>
      </c>
      <c r="G1" s="2" t="s">
        <v>38</v>
      </c>
      <c r="H1" s="2" t="s">
        <v>39</v>
      </c>
      <c r="I1" s="2" t="s">
        <v>40</v>
      </c>
    </row>
    <row r="2">
      <c r="A2" s="34"/>
      <c r="B2" s="17" t="s">
        <v>42</v>
      </c>
      <c r="C2" s="24">
        <v>1520.0</v>
      </c>
      <c r="D2" s="18">
        <v>112.0</v>
      </c>
      <c r="E2" s="18">
        <v>20.16</v>
      </c>
      <c r="F2" s="23">
        <f t="shared" ref="F2:F3" si="1">C2-D2-E2</f>
        <v>1387.84</v>
      </c>
      <c r="G2" s="18">
        <v>1.52</v>
      </c>
      <c r="H2" s="18">
        <v>7.6</v>
      </c>
      <c r="I2" s="24">
        <v>1378.72</v>
      </c>
    </row>
    <row r="3">
      <c r="A3" s="36"/>
      <c r="B3" s="15" t="s">
        <v>47</v>
      </c>
      <c r="C3" s="37"/>
      <c r="D3" s="37"/>
      <c r="E3" s="36"/>
      <c r="F3" s="23">
        <f t="shared" si="1"/>
        <v>0</v>
      </c>
      <c r="G3" s="36"/>
      <c r="H3" s="36"/>
      <c r="I3" s="37"/>
    </row>
    <row r="4">
      <c r="A4" s="36"/>
      <c r="B4" s="41" t="s">
        <v>28</v>
      </c>
      <c r="C4" s="43">
        <f>SUM(C2)</f>
        <v>1520</v>
      </c>
      <c r="D4" s="44"/>
      <c r="E4" s="33"/>
      <c r="F4" s="43">
        <f>SUM(F2)</f>
        <v>1387.84</v>
      </c>
      <c r="G4" s="33"/>
      <c r="H4" s="33"/>
      <c r="I4" s="43">
        <f>SUM(I2)</f>
        <v>1378.72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23.88"/>
    <col customWidth="1" min="5" max="5" width="16.0"/>
    <col customWidth="1" min="6" max="6" width="14.13"/>
    <col customWidth="1" min="9" max="9" width="14.13"/>
  </cols>
  <sheetData>
    <row r="1">
      <c r="A1" s="54" t="s">
        <v>1</v>
      </c>
      <c r="B1" s="13" t="s">
        <v>0</v>
      </c>
      <c r="C1" s="13" t="s">
        <v>62</v>
      </c>
      <c r="D1" s="13" t="s">
        <v>35</v>
      </c>
      <c r="E1" s="56" t="s">
        <v>63</v>
      </c>
      <c r="F1" s="13" t="s">
        <v>16</v>
      </c>
      <c r="G1" s="58" t="s">
        <v>18</v>
      </c>
      <c r="H1" s="58" t="s">
        <v>17</v>
      </c>
      <c r="I1" s="13" t="s">
        <v>40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>
      <c r="A2" s="59"/>
      <c r="B2" s="28" t="s">
        <v>66</v>
      </c>
      <c r="C2" s="28">
        <v>9775.0</v>
      </c>
      <c r="D2" s="28">
        <v>252.0</v>
      </c>
      <c r="E2" s="60">
        <v>45.36</v>
      </c>
      <c r="F2" s="23">
        <f t="shared" ref="F2:F3" si="1">C2-D2-E2</f>
        <v>9477.64</v>
      </c>
      <c r="G2" s="28">
        <v>51.3</v>
      </c>
      <c r="H2" s="28">
        <v>10.3</v>
      </c>
      <c r="I2" s="28">
        <v>9841.44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>
      <c r="A3" s="26"/>
      <c r="B3" s="28" t="s">
        <v>67</v>
      </c>
      <c r="C3" s="28">
        <v>8400.0</v>
      </c>
      <c r="D3" s="28">
        <v>184.0</v>
      </c>
      <c r="E3" s="60">
        <v>33.12</v>
      </c>
      <c r="F3" s="23">
        <f t="shared" si="1"/>
        <v>8182.88</v>
      </c>
      <c r="G3" s="28">
        <v>46.03</v>
      </c>
      <c r="H3" s="28">
        <v>9.17</v>
      </c>
      <c r="I3" s="28">
        <v>8927.68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>
      <c r="A4" s="26"/>
      <c r="B4" s="30" t="s">
        <v>28</v>
      </c>
      <c r="C4" s="61">
        <f>SUM(C2:C3)</f>
        <v>18175</v>
      </c>
      <c r="D4" s="33"/>
      <c r="E4" s="33"/>
      <c r="F4" s="32">
        <f>SUM(F2:F3)</f>
        <v>17660.52</v>
      </c>
      <c r="G4" s="33"/>
      <c r="H4" s="33"/>
      <c r="I4" s="61">
        <f>SUM(I2:I3)</f>
        <v>18769.12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54" t="s">
        <v>1</v>
      </c>
      <c r="B1" s="13" t="s">
        <v>0</v>
      </c>
      <c r="C1" s="13" t="s">
        <v>69</v>
      </c>
      <c r="D1" s="13" t="s">
        <v>35</v>
      </c>
      <c r="E1" s="13" t="s">
        <v>40</v>
      </c>
    </row>
    <row r="2">
      <c r="A2" s="62"/>
      <c r="B2" s="28" t="s">
        <v>75</v>
      </c>
      <c r="C2" s="24">
        <v>4300.0</v>
      </c>
      <c r="D2" s="65">
        <f>C2*5%</f>
        <v>215</v>
      </c>
      <c r="E2" s="66">
        <f>C2-D2</f>
        <v>4085</v>
      </c>
    </row>
    <row r="3">
      <c r="A3" s="26"/>
      <c r="B3" s="67" t="s">
        <v>28</v>
      </c>
      <c r="C3" s="68">
        <f>SUM(C2)</f>
        <v>4300</v>
      </c>
      <c r="D3" s="30"/>
      <c r="E3" s="68">
        <f>SUM(E2)</f>
        <v>4085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6.25"/>
    <col customWidth="1" min="5" max="5" width="15.25"/>
  </cols>
  <sheetData>
    <row r="1">
      <c r="A1" s="10" t="s">
        <v>68</v>
      </c>
      <c r="B1" s="10" t="s">
        <v>53</v>
      </c>
      <c r="C1" s="10" t="s">
        <v>70</v>
      </c>
      <c r="D1" s="2" t="s">
        <v>71</v>
      </c>
      <c r="E1" s="2" t="s">
        <v>72</v>
      </c>
    </row>
    <row r="2">
      <c r="A2" s="46" t="s">
        <v>73</v>
      </c>
      <c r="B2" s="11" t="s">
        <v>74</v>
      </c>
      <c r="C2" s="16" t="s">
        <v>76</v>
      </c>
      <c r="D2" s="63" t="s">
        <v>77</v>
      </c>
      <c r="E2" s="64">
        <v>18000.0</v>
      </c>
    </row>
  </sheetData>
  <drawing r:id="rId1"/>
</worksheet>
</file>