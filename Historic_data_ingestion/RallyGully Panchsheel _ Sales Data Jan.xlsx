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</sheets>
  <definedNames/>
  <calcPr/>
</workbook>
</file>

<file path=xl/sharedStrings.xml><?xml version="1.0" encoding="utf-8"?>
<sst xmlns="http://schemas.openxmlformats.org/spreadsheetml/2006/main" count="108" uniqueCount="72">
  <si>
    <t>Link</t>
  </si>
  <si>
    <t>Date: 1 - 31 Jan</t>
  </si>
  <si>
    <t>Date</t>
  </si>
  <si>
    <t>Day</t>
  </si>
  <si>
    <t>Particulars</t>
  </si>
  <si>
    <t>Offline booking hours</t>
  </si>
  <si>
    <t>Amount</t>
  </si>
  <si>
    <t>Discount Given</t>
  </si>
  <si>
    <t>Offline</t>
  </si>
  <si>
    <t>Booking Revenue</t>
  </si>
  <si>
    <t>Community Revenue</t>
  </si>
  <si>
    <t xml:space="preserve">Paddle Rental </t>
  </si>
  <si>
    <t>Total Revenue</t>
  </si>
  <si>
    <t>Paid to Playo (₹)</t>
  </si>
  <si>
    <t>Paid to Hudle</t>
  </si>
  <si>
    <t>Thursday</t>
  </si>
  <si>
    <t>Commissions (₹)</t>
  </si>
  <si>
    <t>Commisions (Including GST)</t>
  </si>
  <si>
    <t>GST (₹)</t>
  </si>
  <si>
    <t>Net Revenue</t>
  </si>
  <si>
    <t>TDS</t>
  </si>
  <si>
    <t>TCS</t>
  </si>
  <si>
    <t>TDS (₹)</t>
  </si>
  <si>
    <t>TCS (₹)</t>
  </si>
  <si>
    <t>Final Amount (₹)</t>
  </si>
  <si>
    <t>1 - 25 Jan</t>
  </si>
  <si>
    <t>6 - 12 Jan</t>
  </si>
  <si>
    <t>Rentals</t>
  </si>
  <si>
    <t>Friday</t>
  </si>
  <si>
    <t>Saturday</t>
  </si>
  <si>
    <t>F&amp;B</t>
  </si>
  <si>
    <t>Sunday</t>
  </si>
  <si>
    <t>Product Sales</t>
  </si>
  <si>
    <t>Bookings</t>
  </si>
  <si>
    <t>Monday</t>
  </si>
  <si>
    <t>26 - 31 Jan</t>
  </si>
  <si>
    <t>Tuesday</t>
  </si>
  <si>
    <t>Wednesday</t>
  </si>
  <si>
    <t>Online: Third Party Platform</t>
  </si>
  <si>
    <t>13 - 19 Jan</t>
  </si>
  <si>
    <t>Hudle</t>
  </si>
  <si>
    <t>19 - 26 Jan</t>
  </si>
  <si>
    <t>Playo</t>
  </si>
  <si>
    <t>District</t>
  </si>
  <si>
    <t>Khelomore</t>
  </si>
  <si>
    <t>Zplys</t>
  </si>
  <si>
    <t>Community</t>
  </si>
  <si>
    <t>Courtly (Organized by RallyGully)</t>
  </si>
  <si>
    <t>Total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</si>
  <si>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</si>
  <si>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</si>
  <si>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</si>
  <si>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</si>
  <si>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</si>
  <si>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</si>
  <si>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</si>
  <si>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</si>
  <si>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</si>
  <si>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</si>
  <si>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</si>
  <si>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</si>
  <si>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</si>
  <si>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</si>
  <si>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</si>
  <si>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 xml:space="preserve">Balls </t>
  </si>
  <si>
    <t>Net Profit</t>
  </si>
  <si>
    <t>Paid to District</t>
  </si>
  <si>
    <t>GST on Commission</t>
  </si>
  <si>
    <t>1 - 12 Jan</t>
  </si>
  <si>
    <t>Paid to Khelomore (₹)</t>
  </si>
  <si>
    <t>1 - 31 Jan</t>
  </si>
  <si>
    <t>20 - 31 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</si>
</sst>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  <numFmt numFmtId="168" formatCode="[$₹]#,##0"/>
  </numFmts>
  <fonts count="12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000000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2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ill="1" applyFont="1" applyNumberFormat="1">
      <alignment horizontal="center" vertical="bottom"/>
    </xf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3" xfId="0" applyAlignment="1" applyBorder="1" applyFill="1" applyFont="1" applyNumberForma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9" xfId="0" applyAlignment="1" applyBorder="1" applyFont="1" applyNumberForma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vertical="bottom"/>
    </xf>
    <xf borderId="0" fillId="0" fontId="5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readingOrder="0" vertical="bottom"/>
    </xf>
    <xf borderId="1" fillId="0" fontId="6" numFmtId="165" xfId="0" applyAlignment="1" applyBorder="1" applyFont="1" applyNumberFormat="1">
      <alignment vertical="bottom"/>
    </xf>
    <xf borderId="1" fillId="3" fontId="4" numFmtId="165" xfId="0" applyAlignment="1" applyBorder="1" applyFill="1" applyFont="1" applyNumberFormat="1">
      <alignment horizontal="right" vertical="bottom"/>
    </xf>
    <xf borderId="1" fillId="0" fontId="6" numFmtId="165" xfId="0" applyAlignment="1" applyBorder="1" applyFont="1" applyNumberFormat="1">
      <alignment readingOrder="0" vertical="bottom"/>
    </xf>
    <xf borderId="1" fillId="0" fontId="1" numFmtId="166" xfId="0" applyAlignment="1" applyBorder="1" applyFont="1" applyNumberFormat="1">
      <alignment horizontal="right" vertical="bottom"/>
    </xf>
    <xf borderId="1" fillId="3" fontId="4" numFmtId="0" xfId="0" applyAlignment="1" applyBorder="1" applyFill="1" applyFont="1">
      <alignment horizontal="right" vertical="bottom"/>
    </xf>
    <xf borderId="1" fillId="0" fontId="6" numFmtId="167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6" numFmtId="167" xfId="0" applyAlignment="1" applyBorder="1" applyFont="1" applyNumberFormat="1">
      <alignment horizontal="right" vertical="bottom"/>
    </xf>
    <xf borderId="1" fillId="3" fontId="4" numFmtId="167" xfId="0" applyAlignment="1" applyBorder="1" applyFill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1" numFmtId="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4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1" numFmtId="167" xfId="0" applyAlignment="1" applyBorder="1" applyFont="1" applyNumberFormat="1">
      <alignment horizontal="right" vertical="bottom"/>
    </xf>
    <xf borderId="1" fillId="0" fontId="1" numFmtId="166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0" fillId="0" fontId="1" numFmtId="167" xfId="0" applyAlignment="1" applyFont="1" applyNumberFormat="1">
      <alignment horizontal="right" vertical="bottom"/>
    </xf>
    <xf borderId="1" fillId="2" fontId="1" numFmtId="0" xfId="0" applyAlignment="1" applyBorder="1" applyFill="1" applyFont="1">
      <alignment horizontal="right" readingOrder="0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1" fillId="2" fontId="1" numFmtId="9" xfId="0" applyAlignment="1" applyBorder="1" applyFill="1" applyFont="1" applyNumberFormat="1">
      <alignment horizontal="right" vertical="bottom"/>
    </xf>
    <xf borderId="1" fillId="2" fontId="1" numFmtId="3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readingOrder="0" shrinkToFit="0" vertical="bottom" wrapText="1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0" fillId="0" fontId="7" numFmtId="0" xfId="0" applyFont="1"/>
    <xf borderId="1" fillId="0" fontId="7" numFmtId="0" xfId="0" applyAlignment="1" applyBorder="1" applyFont="1">
      <alignment readingOrder="0"/>
    </xf>
    <xf borderId="1" fillId="0" fontId="8" numFmtId="166" xfId="0" applyBorder="1" applyFont="1" applyNumberFormat="1"/>
    <xf borderId="1" fillId="0" fontId="8" numFmtId="0" xfId="0" applyAlignment="1" applyBorder="1" applyFont="1">
      <alignment readingOrder="0"/>
    </xf>
    <xf borderId="1" fillId="0" fontId="8" numFmtId="166" xfId="0" applyAlignment="1" applyBorder="1" applyFont="1" applyNumberFormat="1">
      <alignment readingOrder="0"/>
    </xf>
    <xf borderId="1" fillId="0" fontId="8" numFmtId="168" xfId="0" applyAlignment="1" applyBorder="1" applyFont="1" applyNumberFormat="1">
      <alignment readingOrder="0"/>
    </xf>
    <xf borderId="1" fillId="0" fontId="7" numFmtId="0" xfId="0" applyBorder="1" applyFont="1"/>
    <xf borderId="1" fillId="0" fontId="7" numFmtId="166" xfId="0" applyBorder="1" applyFont="1" applyNumberFormat="1"/>
    <xf borderId="1" fillId="0" fontId="8" numFmtId="0" xfId="0" applyBorder="1" applyFont="1"/>
    <xf borderId="0" fillId="2" fontId="9" numFmtId="165" xfId="0" applyAlignment="1" applyFill="1" applyFont="1" applyNumberFormat="1">
      <alignment horizontal="center" vertical="bottom"/>
    </xf>
    <xf borderId="0" fillId="2" fontId="10" numFmtId="165" xfId="0" applyAlignment="1" applyFill="1" applyFont="1" applyNumberFormat="1">
      <alignment vertical="bottom"/>
    </xf>
    <xf borderId="0" fillId="2" fontId="1" numFmtId="165" xfId="0" applyAlignment="1" applyFill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0" fillId="2" fontId="11" numFmtId="165" xfId="0" applyAlignment="1" applyFill="1" applyFont="1" applyNumberFormat="1">
      <alignment horizontal="center" readingOrder="0" vertical="bottom"/>
    </xf>
    <xf borderId="0" fillId="0" fontId="8" numFmtId="165" xfId="0" applyFont="1" applyNumberFormat="1"/>
    <xf borderId="0" fillId="0" fontId="4" numFmtId="165" xfId="0" applyAlignment="1" applyFont="1" applyNumberFormat="1">
      <alignment readingOrder="0" vertical="bottom"/>
    </xf>
    <xf borderId="1" fillId="0" fontId="4" numFmtId="167" xfId="0" applyAlignment="1" applyBorder="1" applyFont="1" applyNumberFormat="1">
      <alignment vertical="bottom"/>
    </xf>
    <xf borderId="0" fillId="0" fontId="4" numFmtId="165" xfId="0" applyAlignment="1" applyFont="1" applyNumberFormat="1">
      <alignment vertical="bottom"/>
    </xf>
    <xf borderId="1" fillId="0" fontId="10" numFmtId="165" xfId="0" applyAlignment="1" applyBorder="1" applyFont="1" applyNumberFormat="1">
      <alignment horizontal="right" vertical="bottom"/>
    </xf>
    <xf borderId="1" fillId="0" fontId="1" numFmtId="167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1</v>
      </c>
      <c r="C2" s="3"/>
    </row>
    <row r="3">
      <c r="B3" s="5" t="s">
        <v>4</v>
      </c>
      <c r="C3" s="5" t="s">
        <v>6</v>
      </c>
    </row>
    <row r="4">
      <c r="B4" s="7" t="s">
        <v>8</v>
      </c>
      <c r="C4" s="23">
        <f>SUM(C5,C6,C7,C8)</f>
        <v>30252</v>
      </c>
    </row>
    <row r="5" outlineLevel="1">
      <c r="B5" s="26" t="s">
        <v>27</v>
      </c>
      <c r="C5" s="29">
        <f>'Offline &amp; RG Community'!G26</f>
        <v>3700</v>
      </c>
    </row>
    <row r="6" outlineLevel="1">
      <c r="B6" s="26" t="s">
        <v>30</v>
      </c>
      <c r="C6" s="32">
        <v>0.0</v>
      </c>
    </row>
    <row r="7" outlineLevel="1">
      <c r="B7" s="26" t="s">
        <v>32</v>
      </c>
      <c r="C7" s="32">
        <v>0.0</v>
      </c>
    </row>
    <row r="8" outlineLevel="1">
      <c r="B8" s="26" t="s">
        <v>33</v>
      </c>
      <c r="C8" s="29">
        <f>'Offline &amp; RG Community'!E26</f>
        <v>26552</v>
      </c>
    </row>
    <row r="9">
      <c r="B9" s="7" t="s">
        <v>38</v>
      </c>
      <c r="C9" s="23">
        <f>SUM(C10:C14)</f>
        <v>48336</v>
      </c>
    </row>
    <row r="10" outlineLevel="1">
      <c r="B10" s="26" t="s">
        <v>40</v>
      </c>
      <c r="C10" s="29">
        <f>Hudle!C6</f>
        <v>40056</v>
      </c>
    </row>
    <row r="11" outlineLevel="1">
      <c r="B11" s="26" t="s">
        <v>42</v>
      </c>
      <c r="C11" s="29">
        <f>Playo!C4</f>
        <v>2880</v>
      </c>
    </row>
    <row r="12" outlineLevel="1">
      <c r="B12" s="26" t="s">
        <v>43</v>
      </c>
      <c r="C12" s="32">
        <f>District!C5</f>
        <v>5400</v>
      </c>
    </row>
    <row r="13" outlineLevel="1">
      <c r="B13" s="26" t="s">
        <v>44</v>
      </c>
      <c r="C13" s="32">
        <v>0.0</v>
      </c>
    </row>
    <row r="14">
      <c r="B14" s="34" t="s">
        <v>45</v>
      </c>
      <c r="C14" s="42">
        <v>0.0</v>
      </c>
    </row>
    <row r="15">
      <c r="B15" s="43" t="s">
        <v>46</v>
      </c>
      <c r="C15" s="23">
        <f>SUM(C17,C16, C18,C19)</f>
        <v>0</v>
      </c>
    </row>
    <row r="16" outlineLevel="1">
      <c r="B16" s="38" t="s">
        <v>47</v>
      </c>
      <c r="C16" s="32">
        <v>0.0</v>
      </c>
    </row>
    <row r="17" outlineLevel="1">
      <c r="B17" s="38" t="s">
        <v>49</v>
      </c>
      <c r="C17" s="32">
        <v>0.0</v>
      </c>
    </row>
    <row r="18" outlineLevel="1">
      <c r="B18" s="38" t="s">
        <v>50</v>
      </c>
      <c r="C18" s="29">
        <f>'Offline &amp; RG Community'!F26</f>
        <v>0</v>
      </c>
    </row>
    <row r="19" outlineLevel="1">
      <c r="B19" s="26" t="s">
        <v>51</v>
      </c>
      <c r="C19" s="32">
        <v>0.0</v>
      </c>
    </row>
    <row r="20">
      <c r="B20" s="7" t="s">
        <v>52</v>
      </c>
      <c r="C20" s="42">
        <v>0.0</v>
      </c>
    </row>
    <row r="21">
      <c r="B21" s="38" t="s">
        <v>53</v>
      </c>
      <c r="C21" s="32">
        <v>0.0</v>
      </c>
    </row>
    <row r="22">
      <c r="B22" s="26" t="s">
        <v>54</v>
      </c>
      <c r="C22" s="32">
        <v>0.0</v>
      </c>
    </row>
    <row r="23">
      <c r="B23" s="26" t="s">
        <v>55</v>
      </c>
      <c r="C23" s="32">
        <v>0.0</v>
      </c>
    </row>
    <row r="24">
      <c r="B24" s="26" t="s">
        <v>56</v>
      </c>
      <c r="C24" s="32">
        <v>0.0</v>
      </c>
    </row>
    <row r="25">
      <c r="B25" s="7" t="s">
        <v>57</v>
      </c>
      <c r="C25" s="23">
        <f>sum(C4,C9,C20,C22,C23,C24,C15, C21)</f>
        <v>78588</v>
      </c>
    </row>
    <row r="26">
      <c r="B26" s="50" t="s">
        <v>58</v>
      </c>
      <c r="C26" s="56">
        <f>'Offline &amp; RG Community'!H26 + Hudle!E6+ Playo!F4 + District!F5 </f>
        <v>72955.92</v>
      </c>
    </row>
    <row r="27">
      <c r="B27" s="7" t="s">
        <v>59</v>
      </c>
      <c r="C27" s="23">
        <f>C26/1.18</f>
        <v>61827.05085</v>
      </c>
    </row>
    <row r="28">
      <c r="B28" s="58"/>
      <c r="C28" s="59"/>
    </row>
    <row r="29">
      <c r="B29" s="58" t="s">
        <v>60</v>
      </c>
      <c r="C29" s="59"/>
    </row>
    <row r="30">
      <c r="B30" s="60" t="s">
        <v>61</v>
      </c>
      <c r="C30" s="61">
        <v>20000.0</v>
      </c>
    </row>
    <row r="31">
      <c r="B31" s="60" t="s">
        <v>62</v>
      </c>
      <c r="C31" s="61">
        <v>10000.0</v>
      </c>
    </row>
    <row r="32">
      <c r="B32" s="60" t="s">
        <v>63</v>
      </c>
      <c r="C32" s="62">
        <v>10000.0</v>
      </c>
    </row>
    <row r="33">
      <c r="B33" s="60" t="s">
        <v>64</v>
      </c>
      <c r="C33" s="62">
        <v>4500.0</v>
      </c>
    </row>
    <row r="34">
      <c r="B34" s="58"/>
      <c r="C34" s="63"/>
    </row>
    <row r="35">
      <c r="B35" s="58" t="s">
        <v>65</v>
      </c>
      <c r="C35" s="64">
        <f>C27-(sum(C30:C33))</f>
        <v>17327.05085</v>
      </c>
    </row>
    <row r="36">
      <c r="B36" s="65"/>
      <c r="C36" s="65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2" t="s">
        <v>2</v>
      </c>
      <c r="B1" s="4" t="s">
        <v>3</v>
      </c>
      <c r="C1" s="4" t="s">
        <v>5</v>
      </c>
      <c r="D1" s="6" t="s">
        <v>7</v>
      </c>
      <c r="E1" s="8" t="s">
        <v>9</v>
      </c>
      <c r="F1" s="4" t="s">
        <v>10</v>
      </c>
      <c r="G1" s="8" t="s">
        <v>11</v>
      </c>
      <c r="H1" s="10" t="s">
        <v>12</v>
      </c>
    </row>
    <row r="2">
      <c r="A2" s="11">
        <v>46030.0</v>
      </c>
      <c r="B2" s="12" t="s">
        <v>15</v>
      </c>
      <c r="C2" s="13">
        <v>0.0</v>
      </c>
      <c r="D2" s="14">
        <v>0.2</v>
      </c>
      <c r="E2" s="15">
        <v>0.0</v>
      </c>
      <c r="F2" s="13">
        <v>0.0</v>
      </c>
      <c r="G2" s="13">
        <v>0.0</v>
      </c>
      <c r="H2" s="15">
        <f t="shared" ref="H2:H25" si="1">SUM(E2:G2)</f>
        <v>0</v>
      </c>
      <c r="I2" s="27"/>
      <c r="J2" s="27"/>
    </row>
    <row r="3">
      <c r="A3" s="11">
        <v>46031.0</v>
      </c>
      <c r="B3" s="12" t="s">
        <v>28</v>
      </c>
      <c r="C3" s="13">
        <v>1.5</v>
      </c>
      <c r="D3" s="14">
        <v>0.2</v>
      </c>
      <c r="E3" s="15">
        <v>1560.0</v>
      </c>
      <c r="F3" s="28">
        <v>0.0</v>
      </c>
      <c r="G3" s="15">
        <v>50.0</v>
      </c>
      <c r="H3" s="15">
        <f t="shared" si="1"/>
        <v>1610</v>
      </c>
      <c r="I3" s="27"/>
      <c r="J3" s="27"/>
    </row>
    <row r="4">
      <c r="A4" s="11">
        <v>46032.0</v>
      </c>
      <c r="B4" s="12" t="s">
        <v>29</v>
      </c>
      <c r="C4" s="28">
        <v>4.0</v>
      </c>
      <c r="D4" s="14">
        <v>0.2</v>
      </c>
      <c r="E4" s="15">
        <v>3840.0</v>
      </c>
      <c r="F4" s="28">
        <v>0.0</v>
      </c>
      <c r="G4" s="15">
        <v>150.0</v>
      </c>
      <c r="H4" s="15">
        <f t="shared" si="1"/>
        <v>3990</v>
      </c>
      <c r="I4" s="27"/>
      <c r="J4" s="27"/>
    </row>
    <row r="5">
      <c r="A5" s="11">
        <v>46033.0</v>
      </c>
      <c r="B5" s="12" t="s">
        <v>31</v>
      </c>
      <c r="C5" s="28">
        <v>1.5</v>
      </c>
      <c r="D5" s="14">
        <v>0.2</v>
      </c>
      <c r="E5" s="15">
        <v>1500.0</v>
      </c>
      <c r="F5" s="28">
        <v>0.0</v>
      </c>
      <c r="G5" s="15">
        <v>100.0</v>
      </c>
      <c r="H5" s="15">
        <f t="shared" si="1"/>
        <v>1600</v>
      </c>
      <c r="I5" s="27"/>
      <c r="J5" s="27"/>
    </row>
    <row r="6">
      <c r="A6" s="11">
        <v>46034.0</v>
      </c>
      <c r="B6" s="12" t="s">
        <v>34</v>
      </c>
      <c r="C6" s="28">
        <v>3.0</v>
      </c>
      <c r="D6" s="14">
        <v>0.2</v>
      </c>
      <c r="E6" s="15">
        <v>2860.0</v>
      </c>
      <c r="F6" s="28">
        <v>0.0</v>
      </c>
      <c r="G6" s="15">
        <v>150.0</v>
      </c>
      <c r="H6" s="15">
        <f t="shared" si="1"/>
        <v>3010</v>
      </c>
      <c r="I6" s="27"/>
      <c r="J6" s="27"/>
    </row>
    <row r="7">
      <c r="A7" s="11">
        <v>46035.0</v>
      </c>
      <c r="B7" s="12" t="s">
        <v>36</v>
      </c>
      <c r="C7" s="28">
        <v>0.0</v>
      </c>
      <c r="D7" s="14">
        <v>0.2</v>
      </c>
      <c r="E7" s="28">
        <v>0.0</v>
      </c>
      <c r="F7" s="28">
        <v>0.0</v>
      </c>
      <c r="G7" s="28">
        <v>0.0</v>
      </c>
      <c r="H7" s="15">
        <f t="shared" si="1"/>
        <v>0</v>
      </c>
      <c r="I7" s="27"/>
      <c r="J7" s="27"/>
    </row>
    <row r="8">
      <c r="A8" s="11">
        <v>46036.0</v>
      </c>
      <c r="B8" s="12" t="s">
        <v>37</v>
      </c>
      <c r="C8" s="28">
        <v>0.5</v>
      </c>
      <c r="D8" s="14">
        <v>0.2</v>
      </c>
      <c r="E8" s="15">
        <v>500.0</v>
      </c>
      <c r="F8" s="28">
        <v>0.0</v>
      </c>
      <c r="G8" s="15">
        <v>0.0</v>
      </c>
      <c r="H8" s="15">
        <f t="shared" si="1"/>
        <v>500</v>
      </c>
    </row>
    <row r="9">
      <c r="A9" s="11">
        <v>46037.0</v>
      </c>
      <c r="B9" s="12" t="s">
        <v>15</v>
      </c>
      <c r="C9" s="13">
        <v>0.0</v>
      </c>
      <c r="D9" s="14">
        <v>0.2</v>
      </c>
      <c r="E9" s="15">
        <v>0.0</v>
      </c>
      <c r="F9" s="13">
        <v>0.0</v>
      </c>
      <c r="G9" s="15">
        <v>0.0</v>
      </c>
      <c r="H9" s="15">
        <f t="shared" si="1"/>
        <v>0</v>
      </c>
    </row>
    <row r="10">
      <c r="A10" s="11">
        <v>46038.0</v>
      </c>
      <c r="B10" s="12" t="s">
        <v>28</v>
      </c>
      <c r="C10" s="13">
        <v>1.0</v>
      </c>
      <c r="D10" s="14">
        <v>0.2</v>
      </c>
      <c r="E10" s="15">
        <v>960.0</v>
      </c>
      <c r="F10" s="13">
        <v>0.0</v>
      </c>
      <c r="G10" s="15">
        <v>0.0</v>
      </c>
      <c r="H10" s="15">
        <f t="shared" si="1"/>
        <v>960</v>
      </c>
    </row>
    <row r="11">
      <c r="A11" s="11">
        <v>46039.0</v>
      </c>
      <c r="B11" s="12" t="s">
        <v>29</v>
      </c>
      <c r="C11" s="13">
        <v>2.0</v>
      </c>
      <c r="D11" s="14">
        <v>0.2</v>
      </c>
      <c r="E11" s="15">
        <v>1920.0</v>
      </c>
      <c r="F11" s="13">
        <v>0.0</v>
      </c>
      <c r="G11" s="13">
        <v>100.0</v>
      </c>
      <c r="H11" s="15">
        <f t="shared" si="1"/>
        <v>2020</v>
      </c>
    </row>
    <row r="12">
      <c r="A12" s="11">
        <v>46040.0</v>
      </c>
      <c r="B12" s="12" t="s">
        <v>31</v>
      </c>
      <c r="C12" s="28">
        <v>2.5</v>
      </c>
      <c r="D12" s="14">
        <v>0.2</v>
      </c>
      <c r="E12" s="28">
        <v>2500.0</v>
      </c>
      <c r="F12" s="28">
        <v>0.0</v>
      </c>
      <c r="G12" s="15">
        <v>450.0</v>
      </c>
      <c r="H12" s="15">
        <f t="shared" si="1"/>
        <v>2950</v>
      </c>
    </row>
    <row r="13">
      <c r="A13" s="11">
        <v>46041.0</v>
      </c>
      <c r="B13" s="12" t="s">
        <v>34</v>
      </c>
      <c r="C13" s="28">
        <v>2.0</v>
      </c>
      <c r="D13" s="14">
        <v>0.2</v>
      </c>
      <c r="E13" s="15">
        <v>1920.0</v>
      </c>
      <c r="F13" s="28">
        <v>0.0</v>
      </c>
      <c r="G13" s="15">
        <v>100.0</v>
      </c>
      <c r="H13" s="15">
        <f t="shared" si="1"/>
        <v>2020</v>
      </c>
    </row>
    <row r="14">
      <c r="A14" s="11">
        <v>46042.0</v>
      </c>
      <c r="B14" s="12" t="s">
        <v>36</v>
      </c>
      <c r="C14" s="28">
        <v>0.0</v>
      </c>
      <c r="D14" s="14">
        <v>0.2</v>
      </c>
      <c r="E14" s="28">
        <v>0.0</v>
      </c>
      <c r="F14" s="28">
        <v>0.0</v>
      </c>
      <c r="G14" s="28">
        <v>0.0</v>
      </c>
      <c r="H14" s="15">
        <f t="shared" si="1"/>
        <v>0</v>
      </c>
    </row>
    <row r="15">
      <c r="A15" s="11">
        <v>46043.0</v>
      </c>
      <c r="B15" s="12" t="s">
        <v>37</v>
      </c>
      <c r="C15" s="13">
        <v>1.5</v>
      </c>
      <c r="D15" s="14">
        <v>0.2</v>
      </c>
      <c r="E15" s="13">
        <v>1560.0</v>
      </c>
      <c r="F15" s="13">
        <v>0.0</v>
      </c>
      <c r="G15" s="13">
        <v>250.0</v>
      </c>
      <c r="H15" s="15">
        <f t="shared" si="1"/>
        <v>1810</v>
      </c>
    </row>
    <row r="16">
      <c r="A16" s="11">
        <v>46044.0</v>
      </c>
      <c r="B16" s="12" t="s">
        <v>15</v>
      </c>
      <c r="C16" s="28">
        <v>0.0</v>
      </c>
      <c r="D16" s="14">
        <v>0.2</v>
      </c>
      <c r="E16" s="28">
        <v>0.0</v>
      </c>
      <c r="F16" s="28">
        <v>0.0</v>
      </c>
      <c r="G16" s="28">
        <v>350.0</v>
      </c>
      <c r="H16" s="15">
        <f t="shared" si="1"/>
        <v>350</v>
      </c>
    </row>
    <row r="17">
      <c r="A17" s="11">
        <v>46045.0</v>
      </c>
      <c r="B17" s="12" t="s">
        <v>28</v>
      </c>
      <c r="C17" s="28">
        <v>0.0</v>
      </c>
      <c r="D17" s="14">
        <v>0.2</v>
      </c>
      <c r="E17" s="28">
        <v>0.0</v>
      </c>
      <c r="F17" s="28">
        <v>0.0</v>
      </c>
      <c r="G17" s="28">
        <v>0.0</v>
      </c>
      <c r="H17" s="15">
        <f t="shared" si="1"/>
        <v>0</v>
      </c>
    </row>
    <row r="18">
      <c r="A18" s="11">
        <v>46046.0</v>
      </c>
      <c r="B18" s="12" t="s">
        <v>29</v>
      </c>
      <c r="C18" s="28">
        <v>1.0</v>
      </c>
      <c r="D18" s="14">
        <v>0.2</v>
      </c>
      <c r="E18" s="28">
        <v>960.0</v>
      </c>
      <c r="F18" s="28">
        <v>0.0</v>
      </c>
      <c r="G18" s="28">
        <v>350.0</v>
      </c>
      <c r="H18" s="15">
        <f t="shared" si="1"/>
        <v>1310</v>
      </c>
    </row>
    <row r="19">
      <c r="A19" s="11">
        <v>46047.0</v>
      </c>
      <c r="B19" s="12" t="s">
        <v>31</v>
      </c>
      <c r="C19" s="13">
        <v>1.0</v>
      </c>
      <c r="D19" s="14">
        <v>0.2</v>
      </c>
      <c r="E19" s="13">
        <v>960.0</v>
      </c>
      <c r="F19" s="13">
        <v>0.0</v>
      </c>
      <c r="G19" s="13">
        <v>400.0</v>
      </c>
      <c r="H19" s="15">
        <f t="shared" si="1"/>
        <v>1360</v>
      </c>
    </row>
    <row r="20">
      <c r="A20" s="11">
        <v>46048.0</v>
      </c>
      <c r="B20" s="12" t="s">
        <v>34</v>
      </c>
      <c r="C20" s="28">
        <v>4.0</v>
      </c>
      <c r="D20" s="14">
        <v>0.2</v>
      </c>
      <c r="E20" s="15">
        <v>3552.0</v>
      </c>
      <c r="F20" s="28">
        <v>0.0</v>
      </c>
      <c r="G20" s="28">
        <v>0.0</v>
      </c>
      <c r="H20" s="15">
        <f t="shared" si="1"/>
        <v>3552</v>
      </c>
    </row>
    <row r="21">
      <c r="A21" s="11">
        <v>46049.0</v>
      </c>
      <c r="B21" s="12" t="s">
        <v>36</v>
      </c>
      <c r="C21" s="28">
        <v>0.0</v>
      </c>
      <c r="D21" s="14">
        <v>0.2</v>
      </c>
      <c r="E21" s="15">
        <v>0.0</v>
      </c>
      <c r="F21" s="28">
        <v>0.0</v>
      </c>
      <c r="G21" s="28">
        <v>200.0</v>
      </c>
      <c r="H21" s="15">
        <f t="shared" si="1"/>
        <v>200</v>
      </c>
    </row>
    <row r="22">
      <c r="A22" s="11">
        <v>46050.0</v>
      </c>
      <c r="B22" s="12" t="s">
        <v>37</v>
      </c>
      <c r="C22" s="28">
        <v>1.0</v>
      </c>
      <c r="D22" s="14">
        <v>0.2</v>
      </c>
      <c r="E22" s="28">
        <v>960.0</v>
      </c>
      <c r="F22" s="28">
        <v>0.0</v>
      </c>
      <c r="G22" s="28">
        <v>100.0</v>
      </c>
      <c r="H22" s="15">
        <f t="shared" si="1"/>
        <v>1060</v>
      </c>
    </row>
    <row r="23">
      <c r="A23" s="11">
        <v>46051.0</v>
      </c>
      <c r="B23" s="12" t="s">
        <v>15</v>
      </c>
      <c r="C23" s="28">
        <v>0.5</v>
      </c>
      <c r="D23" s="14">
        <v>0.2</v>
      </c>
      <c r="E23" s="28">
        <v>500.0</v>
      </c>
      <c r="F23" s="28">
        <v>0.0</v>
      </c>
      <c r="G23" s="28">
        <v>300.0</v>
      </c>
      <c r="H23" s="15">
        <f t="shared" si="1"/>
        <v>800</v>
      </c>
    </row>
    <row r="24">
      <c r="A24" s="11">
        <v>46052.0</v>
      </c>
      <c r="B24" s="12" t="s">
        <v>28</v>
      </c>
      <c r="C24" s="28">
        <v>0.5</v>
      </c>
      <c r="D24" s="14">
        <v>0.2</v>
      </c>
      <c r="E24" s="15">
        <v>500.0</v>
      </c>
      <c r="F24" s="28">
        <v>0.0</v>
      </c>
      <c r="G24" s="28">
        <v>350.0</v>
      </c>
      <c r="H24" s="15">
        <f t="shared" si="1"/>
        <v>850</v>
      </c>
    </row>
    <row r="25">
      <c r="A25" s="11">
        <v>46053.0</v>
      </c>
      <c r="B25" s="12" t="s">
        <v>29</v>
      </c>
      <c r="C25" s="28">
        <v>0.0</v>
      </c>
      <c r="D25" s="14">
        <v>0.2</v>
      </c>
      <c r="E25" s="15">
        <v>0.0</v>
      </c>
      <c r="F25" s="28">
        <v>0.0</v>
      </c>
      <c r="G25" s="28">
        <v>300.0</v>
      </c>
      <c r="H25" s="15">
        <f t="shared" si="1"/>
        <v>300</v>
      </c>
    </row>
    <row r="26">
      <c r="A26" s="45" t="s">
        <v>48</v>
      </c>
      <c r="B26" s="46"/>
      <c r="C26" s="47">
        <f>SUM(C2:C25)</f>
        <v>27.5</v>
      </c>
      <c r="D26" s="48"/>
      <c r="E26" s="49">
        <f t="shared" ref="E26:H26" si="2">SUM(E2:E25)</f>
        <v>26552</v>
      </c>
      <c r="F26" s="47">
        <f t="shared" si="2"/>
        <v>0</v>
      </c>
      <c r="G26" s="47">
        <f t="shared" si="2"/>
        <v>3700</v>
      </c>
      <c r="H26" s="49">
        <f t="shared" si="2"/>
        <v>30252</v>
      </c>
    </row>
    <row r="27">
      <c r="A27" s="51"/>
      <c r="B27" s="52"/>
      <c r="C27" s="53"/>
      <c r="D27" s="54"/>
      <c r="E27" s="53"/>
      <c r="F27" s="53"/>
      <c r="G27" s="53"/>
      <c r="H27" s="55"/>
    </row>
    <row r="28">
      <c r="A28" s="51"/>
      <c r="B28" s="52"/>
      <c r="C28" s="53"/>
      <c r="D28" s="54"/>
      <c r="E28" s="53"/>
      <c r="F28" s="53"/>
      <c r="G28" s="53"/>
      <c r="H28" s="55"/>
    </row>
    <row r="29">
      <c r="A29" s="51"/>
      <c r="B29" s="52"/>
      <c r="C29" s="53"/>
      <c r="D29" s="54"/>
      <c r="E29" s="53"/>
      <c r="F29" s="53"/>
      <c r="G29" s="53"/>
      <c r="H29" s="55"/>
    </row>
    <row r="30">
      <c r="A30" s="51"/>
      <c r="B30" s="52"/>
      <c r="C30" s="53"/>
      <c r="D30" s="54"/>
      <c r="E30" s="53"/>
      <c r="F30" s="53"/>
      <c r="G30" s="53"/>
      <c r="H30" s="55"/>
    </row>
    <row r="31">
      <c r="A31" s="51"/>
      <c r="B31" s="52"/>
      <c r="C31" s="53"/>
      <c r="D31" s="54"/>
      <c r="E31" s="53"/>
      <c r="F31" s="53"/>
      <c r="G31" s="53"/>
      <c r="H31" s="55"/>
    </row>
    <row r="32">
      <c r="A32" s="51"/>
      <c r="B32" s="52"/>
      <c r="C32" s="53"/>
      <c r="D32" s="54"/>
      <c r="E32" s="53"/>
      <c r="F32" s="53"/>
      <c r="G32" s="53"/>
      <c r="H32" s="55"/>
      <c r="I32" s="57"/>
      <c r="J32" s="57"/>
      <c r="K32" s="57"/>
      <c r="L32" s="57"/>
      <c r="M32" s="57"/>
      <c r="N32" s="57"/>
      <c r="O32" s="57"/>
      <c r="P32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9" t="s">
        <v>0</v>
      </c>
      <c r="B1" s="4" t="s">
        <v>2</v>
      </c>
      <c r="C1" s="4" t="s">
        <v>14</v>
      </c>
      <c r="D1" s="4" t="s">
        <v>17</v>
      </c>
      <c r="E1" s="4" t="s">
        <v>19</v>
      </c>
      <c r="F1" s="4" t="s">
        <v>20</v>
      </c>
      <c r="G1" s="4" t="s">
        <v>21</v>
      </c>
      <c r="H1" s="16" t="s">
        <v>6</v>
      </c>
      <c r="I1" s="18"/>
    </row>
    <row r="2">
      <c r="A2" s="20"/>
      <c r="B2" s="22" t="s">
        <v>26</v>
      </c>
      <c r="C2" s="25">
        <v>6000.0</v>
      </c>
      <c r="D2" s="25">
        <v>780.0</v>
      </c>
      <c r="E2" s="30">
        <f t="shared" ref="E2:E5" si="1">C2 - D2</f>
        <v>5220</v>
      </c>
      <c r="F2" s="25">
        <v>5.08</v>
      </c>
      <c r="G2" s="25">
        <v>25.42</v>
      </c>
      <c r="H2" s="35">
        <v>5189.5</v>
      </c>
    </row>
    <row r="3">
      <c r="A3" s="33"/>
      <c r="B3" s="34" t="s">
        <v>39</v>
      </c>
      <c r="C3" s="34">
        <v>5760.0</v>
      </c>
      <c r="D3" s="34">
        <v>748.8</v>
      </c>
      <c r="E3" s="30">
        <f t="shared" si="1"/>
        <v>5011.2</v>
      </c>
      <c r="F3" s="34">
        <v>4.88</v>
      </c>
      <c r="G3" s="34">
        <v>24.4</v>
      </c>
      <c r="H3" s="34">
        <v>4981.8</v>
      </c>
    </row>
    <row r="4">
      <c r="A4" s="34"/>
      <c r="B4" s="34" t="s">
        <v>41</v>
      </c>
      <c r="C4" s="36">
        <v>14496.0</v>
      </c>
      <c r="D4" s="34">
        <v>1884.48</v>
      </c>
      <c r="E4" s="30">
        <f t="shared" si="1"/>
        <v>12611.52</v>
      </c>
      <c r="F4" s="34">
        <v>12.28</v>
      </c>
      <c r="G4" s="34">
        <v>61.42</v>
      </c>
      <c r="H4" s="36">
        <v>12537.83</v>
      </c>
    </row>
    <row r="5">
      <c r="A5" s="26"/>
      <c r="B5" s="38" t="s">
        <v>35</v>
      </c>
      <c r="C5" s="40">
        <v>13800.0</v>
      </c>
      <c r="D5" s="38">
        <v>1794.0</v>
      </c>
      <c r="E5" s="30">
        <f t="shared" si="1"/>
        <v>12006</v>
      </c>
      <c r="F5" s="38">
        <v>11.69</v>
      </c>
      <c r="G5" s="38">
        <v>58.47</v>
      </c>
      <c r="H5" s="36">
        <v>11935.85</v>
      </c>
    </row>
    <row r="6">
      <c r="A6" s="26"/>
      <c r="B6" s="26"/>
      <c r="C6" s="41">
        <f>SUM(C2:C5)</f>
        <v>40056</v>
      </c>
      <c r="D6" s="7"/>
      <c r="E6" s="41">
        <f>SUM(E2:E5)</f>
        <v>34848.72</v>
      </c>
      <c r="F6" s="26"/>
      <c r="G6" s="26"/>
      <c r="H6" s="41">
        <f>SUM(H2:H5)</f>
        <v>34644.98</v>
      </c>
    </row>
    <row r="7">
      <c r="E7" s="44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9" t="s">
        <v>0</v>
      </c>
      <c r="B1" s="4" t="s">
        <v>2</v>
      </c>
      <c r="C1" s="4" t="s">
        <v>13</v>
      </c>
      <c r="D1" s="4" t="s">
        <v>16</v>
      </c>
      <c r="E1" s="4" t="s">
        <v>18</v>
      </c>
      <c r="F1" s="4" t="s">
        <v>19</v>
      </c>
      <c r="G1" s="4" t="s">
        <v>22</v>
      </c>
      <c r="H1" s="4" t="s">
        <v>23</v>
      </c>
      <c r="I1" s="4" t="s">
        <v>24</v>
      </c>
    </row>
    <row r="2">
      <c r="A2" s="17"/>
      <c r="B2" s="19" t="s">
        <v>25</v>
      </c>
      <c r="C2" s="21">
        <v>960.0</v>
      </c>
      <c r="D2" s="24">
        <v>84.0</v>
      </c>
      <c r="E2" s="24">
        <v>15.12</v>
      </c>
      <c r="F2" s="31">
        <f t="shared" ref="F2:F3" si="1">C2 -D2-E2</f>
        <v>860.88</v>
      </c>
      <c r="G2" s="24">
        <v>0.96</v>
      </c>
      <c r="H2" s="24">
        <v>4.8</v>
      </c>
      <c r="I2" s="24">
        <v>855.12</v>
      </c>
    </row>
    <row r="3">
      <c r="A3" s="33"/>
      <c r="B3" s="34" t="s">
        <v>35</v>
      </c>
      <c r="C3" s="36">
        <v>1920.0</v>
      </c>
      <c r="D3" s="34">
        <v>168.0</v>
      </c>
      <c r="E3" s="34">
        <v>30.24</v>
      </c>
      <c r="F3" s="21">
        <f t="shared" si="1"/>
        <v>1721.76</v>
      </c>
      <c r="G3" s="34">
        <v>1.92</v>
      </c>
      <c r="H3" s="34">
        <v>9.6</v>
      </c>
      <c r="I3" s="36">
        <v>1710.24</v>
      </c>
    </row>
    <row r="4">
      <c r="A4" s="26"/>
      <c r="B4" s="26"/>
      <c r="C4" s="37">
        <f>SUM(C2,C3)</f>
        <v>2880</v>
      </c>
      <c r="D4" s="39"/>
      <c r="E4" s="26"/>
      <c r="F4" s="37">
        <f>SUM(F2,F3)</f>
        <v>2582.64</v>
      </c>
      <c r="G4" s="26"/>
      <c r="H4" s="26"/>
      <c r="I4" s="37">
        <f>SUM(I2,I3)</f>
        <v>2565.36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14.38"/>
    <col customWidth="1" min="5" max="6" width="16.0"/>
    <col customWidth="1" min="9" max="9" width="14.13"/>
  </cols>
  <sheetData>
    <row r="1">
      <c r="A1" s="66" t="s">
        <v>0</v>
      </c>
      <c r="B1" s="16" t="s">
        <v>2</v>
      </c>
      <c r="C1" s="16" t="s">
        <v>66</v>
      </c>
      <c r="D1" s="16" t="s">
        <v>16</v>
      </c>
      <c r="E1" s="67" t="s">
        <v>67</v>
      </c>
      <c r="F1" s="16" t="s">
        <v>19</v>
      </c>
      <c r="G1" s="68" t="s">
        <v>21</v>
      </c>
      <c r="H1" s="68" t="s">
        <v>20</v>
      </c>
      <c r="I1" s="16" t="s">
        <v>24</v>
      </c>
    </row>
    <row r="2">
      <c r="A2" s="69"/>
      <c r="B2" s="33" t="s">
        <v>68</v>
      </c>
      <c r="C2" s="36">
        <v>3000.0</v>
      </c>
      <c r="D2" s="34">
        <f t="shared" ref="D2:D4" si="1">C2*2%</f>
        <v>60</v>
      </c>
      <c r="E2" s="73">
        <f t="shared" ref="E2:E4" si="2">D2*18%</f>
        <v>10.8</v>
      </c>
      <c r="F2" s="73">
        <f t="shared" ref="F2:F4" si="3">C2-D2-E2</f>
        <v>2929.2</v>
      </c>
      <c r="G2" s="33">
        <f t="shared" ref="G2:G4" si="4">C2*0.5%</f>
        <v>15</v>
      </c>
      <c r="H2" s="33">
        <f t="shared" ref="H2:H4" si="5">D2*0.1%</f>
        <v>0.06</v>
      </c>
      <c r="I2" s="33">
        <f t="shared" ref="I2:I4" si="6">F2-G2-H2</f>
        <v>2914.14</v>
      </c>
    </row>
    <row r="3">
      <c r="A3" s="27"/>
      <c r="B3" s="38" t="s">
        <v>39</v>
      </c>
      <c r="C3" s="36">
        <v>1800.0</v>
      </c>
      <c r="D3" s="34">
        <f t="shared" si="1"/>
        <v>36</v>
      </c>
      <c r="E3" s="73">
        <f t="shared" si="2"/>
        <v>6.48</v>
      </c>
      <c r="F3" s="73">
        <f t="shared" si="3"/>
        <v>1757.52</v>
      </c>
      <c r="G3" s="33">
        <f t="shared" si="4"/>
        <v>9</v>
      </c>
      <c r="H3" s="33">
        <f t="shared" si="5"/>
        <v>0.036</v>
      </c>
      <c r="I3" s="33">
        <f t="shared" si="6"/>
        <v>1748.484</v>
      </c>
    </row>
    <row r="4">
      <c r="A4" s="27"/>
      <c r="B4" s="38" t="s">
        <v>71</v>
      </c>
      <c r="C4" s="36">
        <v>600.0</v>
      </c>
      <c r="D4" s="34">
        <f t="shared" si="1"/>
        <v>12</v>
      </c>
      <c r="E4" s="73">
        <f t="shared" si="2"/>
        <v>2.16</v>
      </c>
      <c r="F4" s="73">
        <f t="shared" si="3"/>
        <v>585.84</v>
      </c>
      <c r="G4" s="33">
        <f t="shared" si="4"/>
        <v>3</v>
      </c>
      <c r="H4" s="33">
        <f t="shared" si="5"/>
        <v>0.012</v>
      </c>
      <c r="I4" s="33">
        <f t="shared" si="6"/>
        <v>582.828</v>
      </c>
    </row>
    <row r="5">
      <c r="A5" s="27"/>
      <c r="B5" s="7" t="s">
        <v>48</v>
      </c>
      <c r="C5" s="56">
        <f>SUM(C2:C4)</f>
        <v>5400</v>
      </c>
      <c r="D5" s="26"/>
      <c r="E5" s="7"/>
      <c r="F5" s="76">
        <f>SUM(F2:F4)</f>
        <v>5272.56</v>
      </c>
      <c r="G5" s="77"/>
      <c r="H5" s="26"/>
      <c r="I5" s="78">
        <f>SUM(I2:I4)</f>
        <v>5245.452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70" t="s">
        <v>0</v>
      </c>
      <c r="B1" s="16" t="s">
        <v>2</v>
      </c>
      <c r="C1" s="16" t="s">
        <v>69</v>
      </c>
      <c r="D1" s="16" t="s">
        <v>16</v>
      </c>
      <c r="E1" s="16" t="s">
        <v>24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>
      <c r="A2" s="72"/>
      <c r="B2" s="34" t="s">
        <v>70</v>
      </c>
      <c r="C2" s="34">
        <v>0.0</v>
      </c>
      <c r="D2" s="34"/>
      <c r="E2" s="34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>
      <c r="A3" s="72"/>
      <c r="B3" s="34"/>
      <c r="C3" s="34"/>
      <c r="D3" s="34"/>
      <c r="E3" s="34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>
      <c r="A4" s="74"/>
      <c r="B4" s="33"/>
      <c r="C4" s="75">
        <f t="shared" ref="C4:E4" si="1">SUM(C2:C3)</f>
        <v>0</v>
      </c>
      <c r="D4" s="33">
        <f t="shared" si="1"/>
        <v>0</v>
      </c>
      <c r="E4" s="75">
        <f t="shared" si="1"/>
        <v>0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</row>
    <row r="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</row>
    <row r="10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</row>
  </sheetData>
  <hyperlinks>
    <hyperlink r:id="rId1" ref="A1"/>
  </hyperlinks>
  <drawing r:id="rId2"/>
</worksheet>
</file>