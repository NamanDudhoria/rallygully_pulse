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Misfits" sheetId="6" r:id="rId10"/>
    <sheet state="visible" name="Membership" sheetId="7" r:id="rId11"/>
  </sheets>
  <definedNames/>
  <calcPr/>
</workbook>
</file>

<file path=xl/sharedStrings.xml><?xml version="1.0" encoding="utf-8"?>
<sst xmlns="http://schemas.openxmlformats.org/spreadsheetml/2006/main" count="145" uniqueCount="78">
  <si>
    <t>Date: 1st Oct - 31st Oct</t>
  </si>
  <si>
    <t>Link</t>
  </si>
  <si>
    <t>Date</t>
  </si>
  <si>
    <t>Particulars</t>
  </si>
  <si>
    <t>Amount</t>
  </si>
  <si>
    <t>Offline</t>
  </si>
  <si>
    <t>Day</t>
  </si>
  <si>
    <t>Total Offline (Hours) P + B</t>
  </si>
  <si>
    <t>Discount Given</t>
  </si>
  <si>
    <t>Revenue (₹)</t>
  </si>
  <si>
    <t>Paddle Rental</t>
  </si>
  <si>
    <t>Total (₹)</t>
  </si>
  <si>
    <t>Wednesday</t>
  </si>
  <si>
    <t>Paid to Playo (₹)</t>
  </si>
  <si>
    <t>Commissions (₹)</t>
  </si>
  <si>
    <t>Paid to Hudle</t>
  </si>
  <si>
    <t>Commisions (Including GST)</t>
  </si>
  <si>
    <t>GST (₹)</t>
  </si>
  <si>
    <t>Net Revenue</t>
  </si>
  <si>
    <t>25% B, 40% P</t>
  </si>
  <si>
    <t>TDS (₹)</t>
  </si>
  <si>
    <t>TCS (₹)</t>
  </si>
  <si>
    <t>TDS</t>
  </si>
  <si>
    <t>TCS</t>
  </si>
  <si>
    <t>Final Amount (₹)</t>
  </si>
  <si>
    <t>30 Sep - 7 Oct</t>
  </si>
  <si>
    <t>29 Sep - 30 Sep</t>
  </si>
  <si>
    <t>Rentals</t>
  </si>
  <si>
    <t>Thursday</t>
  </si>
  <si>
    <t>F&amp;B</t>
  </si>
  <si>
    <t>1 Oct - 5 Oct</t>
  </si>
  <si>
    <t>7 Oct - 14 Oct</t>
  </si>
  <si>
    <t>Product Sales</t>
  </si>
  <si>
    <t>Rallygully Community games</t>
  </si>
  <si>
    <t>Bookings</t>
  </si>
  <si>
    <t>Friday</t>
  </si>
  <si>
    <t>Saturday</t>
  </si>
  <si>
    <t>14 Oct - 21 Oct</t>
  </si>
  <si>
    <t>6 Oct - 12 Oct</t>
  </si>
  <si>
    <t>Sunday</t>
  </si>
  <si>
    <t xml:space="preserve">21 Oct - 28 Oct </t>
  </si>
  <si>
    <t>Online: Third Party Platform</t>
  </si>
  <si>
    <t>13 Oct - 19 Oct</t>
  </si>
  <si>
    <t>Monday</t>
  </si>
  <si>
    <t>29 Oct - 31 Oct</t>
  </si>
  <si>
    <t>Tuesday</t>
  </si>
  <si>
    <t>Hudle</t>
  </si>
  <si>
    <t>20 Oct - 26 Oct</t>
  </si>
  <si>
    <t>Playo</t>
  </si>
  <si>
    <t>District</t>
  </si>
  <si>
    <t>25% B, 30% P</t>
  </si>
  <si>
    <t>Khelomore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</si>
  <si>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</si>
  <si>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</si>
  <si>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</si>
  <si>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</si>
  <si>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</si>
  <si>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</si>
  <si>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</si>
  <si>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</si>
  <si>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Total</t>
  </si>
  <si>
    <t>October</t>
  </si>
  <si>
    <t>Paid to Khelomore (₹)</t>
  </si>
  <si>
    <t>Paid to Misfits (₹)</t>
  </si>
  <si>
    <t>Post Comission (20%)</t>
  </si>
  <si>
    <t xml:space="preserve">TDS </t>
  </si>
  <si>
    <t>Member Name</t>
  </si>
  <si>
    <t>Sports Type</t>
  </si>
  <si>
    <t>Membership Type</t>
  </si>
  <si>
    <t>Start Date</t>
  </si>
  <si>
    <t>Amount Collected</t>
  </si>
  <si>
    <t>Indian School of hospitality</t>
  </si>
  <si>
    <t>Pickleball and Box</t>
  </si>
  <si>
    <t>Collab Deal</t>
  </si>
  <si>
    <t>Sunil</t>
  </si>
  <si>
    <t>Box Cricket</t>
  </si>
  <si>
    <t>12 Slots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</si>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</sst>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[&gt;9999999][$₹]##\,##\,##\,##0;[&gt;99999][$₹]##\,##\,##0;[$₹]##,##0"/>
    <numFmt numFmtId="166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0" fillId="0" fontId="4" numFmtId="0" xfId="0" applyFont="1"/>
    <xf borderId="3" fillId="0" fontId="2" numFmtId="0" xfId="0" applyAlignment="1" applyBorder="1" applyFont="1">
      <alignment horizontal="center" vertical="bottom"/>
    </xf>
    <xf borderId="3" fillId="2" fontId="1" numFmtId="0" xfId="0" applyAlignment="1" applyBorder="1" applyFill="1" applyFont="1">
      <alignment horizontal="center"/>
    </xf>
    <xf borderId="3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right"/>
    </xf>
    <xf borderId="0" fillId="2" fontId="6" numFmtId="0" xfId="0" applyAlignment="1" applyFill="1" applyFont="1">
      <alignment horizontal="center" readingOrder="0" vertical="bottom"/>
    </xf>
    <xf borderId="0" fillId="2" fontId="5" numFmtId="0" xfId="0" applyAlignment="1" applyFill="1" applyFont="1">
      <alignment readingOrder="0" vertical="bottom"/>
    </xf>
    <xf borderId="3" fillId="0" fontId="7" numFmtId="164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horizontal="right" vertical="bottom"/>
    </xf>
    <xf borderId="3" fillId="0" fontId="7" numFmtId="9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3" fillId="0" fontId="2" numFmtId="165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vertical="bottom"/>
    </xf>
    <xf borderId="3" fillId="0" fontId="7" numFmtId="166" xfId="0" applyAlignment="1" applyBorder="1" applyFont="1" applyNumberFormat="1">
      <alignment readingOrder="0" vertical="bottom"/>
    </xf>
    <xf borderId="3" fillId="0" fontId="7" numFmtId="0" xfId="0" applyAlignment="1" applyBorder="1" applyFont="1">
      <alignment horizontal="right" vertical="bottom"/>
    </xf>
    <xf borderId="3" fillId="0" fontId="7" numFmtId="165" xfId="0" applyAlignment="1" applyBorder="1" applyFont="1" applyNumberFormat="1">
      <alignment horizontal="right" vertical="bottom"/>
    </xf>
    <xf borderId="3" fillId="0" fontId="7" numFmtId="166" xfId="0" applyAlignment="1" applyBorder="1" applyFont="1" applyNumberFormat="1">
      <alignment horizontal="right" vertical="bottom"/>
    </xf>
    <xf borderId="3" fillId="0" fontId="7" numFmtId="3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readingOrder="0" vertical="bottom"/>
    </xf>
    <xf borderId="3" fillId="0" fontId="7" numFmtId="165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3" fillId="0" fontId="8" numFmtId="0" xfId="0" applyAlignment="1" applyBorder="1" applyFont="1">
      <alignment shrinkToFit="0" vertical="bottom" wrapText="0"/>
    </xf>
    <xf borderId="3" fillId="0" fontId="7" numFmtId="166" xfId="0" applyAlignment="1" applyBorder="1" applyFont="1" applyNumberFormat="1">
      <alignment horizontal="right" readingOrder="0" vertical="bottom"/>
    </xf>
    <xf borderId="3" fillId="0" fontId="7" numFmtId="0" xfId="0" applyAlignment="1" applyBorder="1" applyFont="1">
      <alignment horizontal="right" readingOrder="0" vertical="bottom"/>
    </xf>
    <xf borderId="3" fillId="0" fontId="7" numFmtId="4" xfId="0" applyAlignment="1" applyBorder="1" applyFont="1" applyNumberFormat="1">
      <alignment horizontal="right" readingOrder="0" vertical="bottom"/>
    </xf>
    <xf borderId="3" fillId="0" fontId="7" numFmtId="4" xfId="0" applyAlignment="1" applyBorder="1" applyFont="1" applyNumberFormat="1">
      <alignment readingOrder="0" vertical="bottom"/>
    </xf>
    <xf borderId="3" fillId="0" fontId="2" numFmtId="166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3" fillId="0" fontId="2" numFmtId="4" xfId="0" applyAlignment="1" applyBorder="1" applyFont="1" applyNumberFormat="1">
      <alignment horizontal="right" vertical="bottom"/>
    </xf>
    <xf borderId="3" fillId="0" fontId="7" numFmtId="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7" numFmtId="165" xfId="0" applyAlignment="1" applyBorder="1" applyFont="1" applyNumberFormat="1">
      <alignment horizontal="right" readingOrder="0" vertical="bottom"/>
    </xf>
    <xf borderId="3" fillId="0" fontId="7" numFmtId="0" xfId="0" applyAlignment="1" applyBorder="1" applyFont="1">
      <alignment shrinkToFit="0" vertical="bottom" wrapText="1"/>
    </xf>
    <xf borderId="0" fillId="0" fontId="9" numFmtId="0" xfId="0" applyAlignment="1" applyFont="1">
      <alignment readingOrder="0"/>
    </xf>
    <xf borderId="3" fillId="0" fontId="7" numFmtId="3" xfId="0" applyAlignment="1" applyBorder="1" applyFont="1" applyNumberFormat="1">
      <alignment readingOrder="0" vertical="bottom"/>
    </xf>
    <xf borderId="3" fillId="2" fontId="2" numFmtId="0" xfId="0" applyAlignment="1" applyBorder="1" applyFill="1" applyFont="1">
      <alignment horizontal="right" vertical="bottom"/>
    </xf>
    <xf borderId="3" fillId="2" fontId="7" numFmtId="0" xfId="0" applyAlignment="1" applyBorder="1" applyFill="1" applyFont="1">
      <alignment vertical="bottom"/>
    </xf>
    <xf borderId="3" fillId="2" fontId="7" numFmtId="0" xfId="0" applyAlignment="1" applyBorder="1" applyFill="1" applyFont="1">
      <alignment horizontal="right" vertical="bottom"/>
    </xf>
    <xf borderId="3" fillId="0" fontId="10" numFmtId="0" xfId="0" applyAlignment="1" applyBorder="1" applyFon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right" vertical="bottom"/>
    </xf>
    <xf borderId="3" fillId="0" fontId="9" numFmtId="0" xfId="0" applyAlignment="1" applyBorder="1" applyFont="1">
      <alignment readingOrder="0"/>
    </xf>
    <xf borderId="3" fillId="0" fontId="9" numFmtId="164" xfId="0" applyAlignment="1" applyBorder="1" applyFont="1" applyNumberFormat="1">
      <alignment readingOrder="0"/>
    </xf>
    <xf borderId="3" fillId="0" fontId="9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right" readingOrder="0"/>
    </xf>
    <xf borderId="0" fillId="0" fontId="11" numFmtId="0" xfId="0" applyFont="1"/>
    <xf borderId="3" fillId="0" fontId="7" numFmtId="9" xfId="0" applyAlignment="1" applyBorder="1" applyFont="1" applyNumberFormat="1">
      <alignment readingOrder="0" vertical="bottom"/>
    </xf>
    <xf borderId="3" fillId="0" fontId="2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2" t="s">
        <v>0</v>
      </c>
      <c r="C2" s="3"/>
    </row>
    <row r="3" ht="15.75" customHeight="1">
      <c r="A3" s="4"/>
      <c r="B3" s="5" t="s">
        <v>3</v>
      </c>
      <c r="C3" s="5" t="s">
        <v>4</v>
      </c>
    </row>
    <row r="4" ht="15.75" customHeight="1">
      <c r="A4" s="4"/>
      <c r="B4" s="7" t="s">
        <v>5</v>
      </c>
      <c r="C4" s="18">
        <f>SUM(C5,C6,C7,C8, C9)</f>
        <v>39280</v>
      </c>
    </row>
    <row r="5" ht="15.75" customHeight="1">
      <c r="A5" s="4"/>
      <c r="B5" s="19" t="s">
        <v>27</v>
      </c>
      <c r="C5" s="22">
        <f>'Offline &amp; RG Community'!F33</f>
        <v>6330</v>
      </c>
    </row>
    <row r="6" ht="15.75" customHeight="1">
      <c r="A6" s="4"/>
      <c r="B6" s="19" t="s">
        <v>29</v>
      </c>
      <c r="C6" s="26">
        <v>0.0</v>
      </c>
    </row>
    <row r="7" ht="15.75" customHeight="1">
      <c r="A7" s="4"/>
      <c r="B7" s="19" t="s">
        <v>32</v>
      </c>
      <c r="C7" s="26">
        <v>0.0</v>
      </c>
    </row>
    <row r="8" ht="15.75" customHeight="1">
      <c r="A8" s="4"/>
      <c r="B8" s="19" t="s">
        <v>33</v>
      </c>
      <c r="C8" s="26">
        <v>3250.0</v>
      </c>
    </row>
    <row r="9" ht="15.75" customHeight="1">
      <c r="A9" s="4"/>
      <c r="B9" s="19" t="s">
        <v>34</v>
      </c>
      <c r="C9" s="22">
        <f>'Offline &amp; RG Community'!E33-C8</f>
        <v>29700</v>
      </c>
    </row>
    <row r="10" ht="15.75" customHeight="1">
      <c r="A10" s="4"/>
      <c r="B10" s="7" t="s">
        <v>41</v>
      </c>
      <c r="C10" s="18">
        <f>SUM(C11:C15)</f>
        <v>21915</v>
      </c>
    </row>
    <row r="11" ht="15.75" customHeight="1">
      <c r="B11" s="19" t="s">
        <v>46</v>
      </c>
      <c r="C11" s="22">
        <f>Hudle!C7</f>
        <v>13485</v>
      </c>
    </row>
    <row r="12" ht="15.75" customHeight="1">
      <c r="B12" s="19" t="s">
        <v>48</v>
      </c>
      <c r="C12" s="22">
        <f>Playo!C7</f>
        <v>5000</v>
      </c>
    </row>
    <row r="13" ht="15.75" customHeight="1">
      <c r="B13" s="19" t="s">
        <v>49</v>
      </c>
      <c r="C13" s="26">
        <v>0.0</v>
      </c>
    </row>
    <row r="14" ht="15.75" customHeight="1">
      <c r="B14" s="19" t="s">
        <v>51</v>
      </c>
      <c r="C14" s="22">
        <f>Khelomore!C4</f>
        <v>600</v>
      </c>
    </row>
    <row r="15" ht="15.75" customHeight="1">
      <c r="B15" s="19" t="s">
        <v>52</v>
      </c>
      <c r="C15" s="22">
        <f>Misfits!C2</f>
        <v>2830</v>
      </c>
    </row>
    <row r="16" ht="15.75" customHeight="1">
      <c r="B16" s="7" t="s">
        <v>53</v>
      </c>
      <c r="C16" s="18">
        <f>Membership!E4</f>
        <v>28880</v>
      </c>
    </row>
    <row r="17" ht="15.75" customHeight="1">
      <c r="B17" s="7" t="s">
        <v>54</v>
      </c>
      <c r="C17" s="26">
        <v>0.0</v>
      </c>
    </row>
    <row r="18" ht="15.75" customHeight="1">
      <c r="B18" s="7" t="s">
        <v>55</v>
      </c>
      <c r="C18" s="26">
        <v>0.0</v>
      </c>
    </row>
    <row r="19" ht="15.75" customHeight="1">
      <c r="B19" s="37" t="s">
        <v>56</v>
      </c>
      <c r="C19" s="38">
        <v>0.0</v>
      </c>
    </row>
    <row r="20" ht="15.75" customHeight="1">
      <c r="B20" s="7" t="s">
        <v>57</v>
      </c>
      <c r="C20" s="18">
        <f>SUM(C4,C10,C16,C17,C18:C19)</f>
        <v>90075</v>
      </c>
    </row>
    <row r="21" ht="15.75" customHeight="1">
      <c r="B21" s="39" t="s">
        <v>58</v>
      </c>
      <c r="C21" s="24">
        <f>SUM('Offline &amp; RG Community'!G33,Hudle!E7,Playo!F7,Khelomore!E4,Misfits!D2,Membership!E4)</f>
        <v>86953.3</v>
      </c>
    </row>
    <row r="22" ht="15.75" customHeight="1">
      <c r="B22" s="7" t="s">
        <v>59</v>
      </c>
      <c r="C22" s="18">
        <f>C21/1.18</f>
        <v>73689.23729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75"/>
    <col customWidth="1" min="3" max="3" width="21.63"/>
    <col customWidth="1" min="4" max="4" width="13.25"/>
    <col customWidth="1" min="5" max="6" width="12.63"/>
  </cols>
  <sheetData>
    <row r="1" ht="15.75" customHeight="1">
      <c r="A1" s="6" t="s">
        <v>2</v>
      </c>
      <c r="B1" s="6" t="s">
        <v>6</v>
      </c>
      <c r="C1" s="6" t="s">
        <v>7</v>
      </c>
      <c r="D1" s="8" t="s">
        <v>8</v>
      </c>
      <c r="E1" s="6" t="s">
        <v>9</v>
      </c>
      <c r="F1" s="6" t="s">
        <v>10</v>
      </c>
      <c r="G1" s="6" t="s">
        <v>11</v>
      </c>
    </row>
    <row r="2" ht="15.75" customHeight="1">
      <c r="A2" s="11">
        <v>45931.0</v>
      </c>
      <c r="B2" s="14" t="s">
        <v>12</v>
      </c>
      <c r="C2" s="15">
        <v>0.0</v>
      </c>
      <c r="D2" s="16" t="s">
        <v>19</v>
      </c>
      <c r="E2" s="15">
        <v>0.0</v>
      </c>
      <c r="F2" s="15">
        <v>0.0</v>
      </c>
      <c r="G2" s="15">
        <f t="shared" ref="G2:G8" si="1">sum(E2:F2)</f>
        <v>0</v>
      </c>
    </row>
    <row r="3" ht="15.75" customHeight="1">
      <c r="A3" s="11">
        <v>45932.0</v>
      </c>
      <c r="B3" s="14" t="s">
        <v>28</v>
      </c>
      <c r="C3" s="15">
        <v>1.0</v>
      </c>
      <c r="D3" s="16" t="s">
        <v>19</v>
      </c>
      <c r="E3" s="24">
        <v>480.0</v>
      </c>
      <c r="F3" s="15">
        <v>500.0</v>
      </c>
      <c r="G3" s="24">
        <f t="shared" si="1"/>
        <v>980</v>
      </c>
    </row>
    <row r="4" ht="15.75" customHeight="1">
      <c r="A4" s="11">
        <v>45933.0</v>
      </c>
      <c r="B4" s="14" t="s">
        <v>35</v>
      </c>
      <c r="C4" s="15">
        <v>2.0</v>
      </c>
      <c r="D4" s="16" t="s">
        <v>19</v>
      </c>
      <c r="E4" s="15">
        <v>1440.0</v>
      </c>
      <c r="F4" s="15">
        <v>350.0</v>
      </c>
      <c r="G4" s="15">
        <f t="shared" si="1"/>
        <v>1790</v>
      </c>
    </row>
    <row r="5" ht="15.75" customHeight="1">
      <c r="A5" s="11">
        <v>45934.0</v>
      </c>
      <c r="B5" s="14" t="s">
        <v>36</v>
      </c>
      <c r="C5" s="15">
        <v>0.0</v>
      </c>
      <c r="D5" s="16" t="s">
        <v>19</v>
      </c>
      <c r="E5" s="15">
        <v>0.0</v>
      </c>
      <c r="F5" s="15">
        <v>500.0</v>
      </c>
      <c r="G5" s="15">
        <f t="shared" si="1"/>
        <v>500</v>
      </c>
    </row>
    <row r="6" ht="15.75" customHeight="1">
      <c r="A6" s="11">
        <v>45935.0</v>
      </c>
      <c r="B6" s="14" t="s">
        <v>39</v>
      </c>
      <c r="C6" s="15">
        <v>3.0</v>
      </c>
      <c r="D6" s="16" t="s">
        <v>19</v>
      </c>
      <c r="E6" s="24">
        <v>1440.0</v>
      </c>
      <c r="F6" s="15">
        <v>400.0</v>
      </c>
      <c r="G6" s="24">
        <f t="shared" si="1"/>
        <v>1840</v>
      </c>
    </row>
    <row r="7" ht="15.75" customHeight="1">
      <c r="A7" s="11">
        <v>45936.0</v>
      </c>
      <c r="B7" s="14" t="s">
        <v>43</v>
      </c>
      <c r="C7" s="15">
        <v>0.5</v>
      </c>
      <c r="D7" s="16" t="s">
        <v>19</v>
      </c>
      <c r="E7" s="24">
        <v>240.0</v>
      </c>
      <c r="F7" s="15">
        <v>200.0</v>
      </c>
      <c r="G7" s="24">
        <f t="shared" si="1"/>
        <v>440</v>
      </c>
    </row>
    <row r="8" ht="15.75" customHeight="1">
      <c r="A8" s="11">
        <v>45937.0</v>
      </c>
      <c r="B8" s="14" t="s">
        <v>45</v>
      </c>
      <c r="C8" s="15">
        <v>0.0</v>
      </c>
      <c r="D8" s="16" t="s">
        <v>19</v>
      </c>
      <c r="E8" s="24">
        <v>0.0</v>
      </c>
      <c r="F8" s="15">
        <v>0.0</v>
      </c>
      <c r="G8" s="24">
        <f t="shared" si="1"/>
        <v>0</v>
      </c>
    </row>
    <row r="9" ht="15.75" customHeight="1">
      <c r="A9" s="11">
        <v>45938.0</v>
      </c>
      <c r="B9" s="14" t="s">
        <v>12</v>
      </c>
      <c r="C9" s="15">
        <v>0.0</v>
      </c>
      <c r="D9" s="16" t="s">
        <v>19</v>
      </c>
      <c r="E9" s="24">
        <v>0.0</v>
      </c>
      <c r="F9" s="15">
        <v>0.0</v>
      </c>
      <c r="G9" s="24">
        <v>0.0</v>
      </c>
    </row>
    <row r="10" ht="15.75" customHeight="1">
      <c r="A10" s="11">
        <v>45939.0</v>
      </c>
      <c r="B10" s="14" t="s">
        <v>28</v>
      </c>
      <c r="C10" s="15">
        <v>0.5</v>
      </c>
      <c r="D10" s="16" t="s">
        <v>19</v>
      </c>
      <c r="E10" s="24">
        <v>240.0</v>
      </c>
      <c r="F10" s="15">
        <v>200.0</v>
      </c>
      <c r="G10" s="24">
        <f t="shared" ref="G10:G20" si="2">sum(E10:F10)</f>
        <v>440</v>
      </c>
    </row>
    <row r="11" ht="15.75" customHeight="1">
      <c r="A11" s="11">
        <v>45940.0</v>
      </c>
      <c r="B11" s="14" t="s">
        <v>35</v>
      </c>
      <c r="C11" s="15">
        <v>2.0</v>
      </c>
      <c r="D11" s="16" t="s">
        <v>50</v>
      </c>
      <c r="E11" s="15">
        <v>1120.0</v>
      </c>
      <c r="F11" s="15">
        <v>280.0</v>
      </c>
      <c r="G11" s="15">
        <f t="shared" si="2"/>
        <v>1400</v>
      </c>
    </row>
    <row r="12" ht="15.75" customHeight="1">
      <c r="A12" s="11">
        <v>45941.0</v>
      </c>
      <c r="B12" s="14" t="s">
        <v>36</v>
      </c>
      <c r="C12" s="15">
        <v>2.5</v>
      </c>
      <c r="D12" s="16" t="s">
        <v>50</v>
      </c>
      <c r="E12" s="24">
        <v>1410.0</v>
      </c>
      <c r="F12" s="15">
        <v>300.0</v>
      </c>
      <c r="G12" s="24">
        <f t="shared" si="2"/>
        <v>1710</v>
      </c>
    </row>
    <row r="13" ht="15.75" customHeight="1">
      <c r="A13" s="11">
        <v>45942.0</v>
      </c>
      <c r="B13" s="14" t="s">
        <v>39</v>
      </c>
      <c r="C13" s="15">
        <v>3.75</v>
      </c>
      <c r="D13" s="16" t="s">
        <v>50</v>
      </c>
      <c r="E13" s="24">
        <v>3000.0</v>
      </c>
      <c r="F13" s="14"/>
      <c r="G13" s="24">
        <f t="shared" si="2"/>
        <v>3000</v>
      </c>
    </row>
    <row r="14" ht="15.75" customHeight="1">
      <c r="A14" s="11">
        <v>45943.0</v>
      </c>
      <c r="B14" s="14" t="s">
        <v>43</v>
      </c>
      <c r="C14" s="15">
        <v>5.0</v>
      </c>
      <c r="D14" s="16" t="s">
        <v>50</v>
      </c>
      <c r="E14" s="24">
        <v>4400.0</v>
      </c>
      <c r="F14" s="15">
        <v>400.0</v>
      </c>
      <c r="G14" s="24">
        <f t="shared" si="2"/>
        <v>4800</v>
      </c>
    </row>
    <row r="15" ht="15.75" customHeight="1">
      <c r="A15" s="11">
        <v>45944.0</v>
      </c>
      <c r="B15" s="14" t="s">
        <v>45</v>
      </c>
      <c r="C15" s="15">
        <v>0.0</v>
      </c>
      <c r="D15" s="16" t="s">
        <v>50</v>
      </c>
      <c r="E15" s="15">
        <v>0.0</v>
      </c>
      <c r="F15" s="15">
        <v>0.0</v>
      </c>
      <c r="G15" s="15">
        <f t="shared" si="2"/>
        <v>0</v>
      </c>
    </row>
    <row r="16" ht="15.75" customHeight="1">
      <c r="A16" s="11">
        <v>45945.0</v>
      </c>
      <c r="B16" s="14" t="s">
        <v>12</v>
      </c>
      <c r="C16" s="15">
        <v>1.0</v>
      </c>
      <c r="D16" s="15" t="s">
        <v>50</v>
      </c>
      <c r="E16" s="24">
        <v>560.0</v>
      </c>
      <c r="F16" s="15">
        <v>150.0</v>
      </c>
      <c r="G16" s="24">
        <f t="shared" si="2"/>
        <v>710</v>
      </c>
    </row>
    <row r="17" ht="15.75" customHeight="1">
      <c r="A17" s="11">
        <v>45946.0</v>
      </c>
      <c r="B17" s="14" t="s">
        <v>28</v>
      </c>
      <c r="C17" s="15">
        <v>1.0</v>
      </c>
      <c r="D17" s="15" t="s">
        <v>50</v>
      </c>
      <c r="E17" s="24">
        <v>560.0</v>
      </c>
      <c r="F17" s="15">
        <v>150.0</v>
      </c>
      <c r="G17" s="24">
        <f t="shared" si="2"/>
        <v>710</v>
      </c>
    </row>
    <row r="18" ht="15.75" customHeight="1">
      <c r="A18" s="11">
        <v>45947.0</v>
      </c>
      <c r="B18" s="14" t="s">
        <v>35</v>
      </c>
      <c r="C18" s="15">
        <v>2.0</v>
      </c>
      <c r="D18" s="15" t="s">
        <v>50</v>
      </c>
      <c r="E18" s="15">
        <v>1120.0</v>
      </c>
      <c r="F18" s="15">
        <v>150.0</v>
      </c>
      <c r="G18" s="15">
        <f t="shared" si="2"/>
        <v>1270</v>
      </c>
    </row>
    <row r="19" ht="15.75" customHeight="1">
      <c r="A19" s="11">
        <v>45948.0</v>
      </c>
      <c r="B19" s="14" t="s">
        <v>36</v>
      </c>
      <c r="C19" s="15">
        <v>1.0</v>
      </c>
      <c r="D19" s="15" t="s">
        <v>50</v>
      </c>
      <c r="E19" s="24">
        <v>570.0</v>
      </c>
      <c r="F19" s="15">
        <v>0.0</v>
      </c>
      <c r="G19" s="24">
        <f t="shared" si="2"/>
        <v>570</v>
      </c>
    </row>
    <row r="20" ht="15.75" customHeight="1">
      <c r="A20" s="11">
        <v>45949.0</v>
      </c>
      <c r="B20" s="14" t="s">
        <v>39</v>
      </c>
      <c r="C20" s="15">
        <v>2.0</v>
      </c>
      <c r="D20" s="15" t="s">
        <v>50</v>
      </c>
      <c r="E20" s="24">
        <v>1100.0</v>
      </c>
      <c r="F20" s="15">
        <v>100.0</v>
      </c>
      <c r="G20" s="24">
        <f t="shared" si="2"/>
        <v>1200</v>
      </c>
    </row>
    <row r="21" ht="15.75" customHeight="1">
      <c r="A21" s="11">
        <v>45950.0</v>
      </c>
      <c r="B21" s="14" t="s">
        <v>43</v>
      </c>
      <c r="C21" s="15">
        <v>0.0</v>
      </c>
      <c r="D21" s="15" t="s">
        <v>50</v>
      </c>
      <c r="E21" s="24">
        <v>0.0</v>
      </c>
      <c r="F21" s="15">
        <v>0.0</v>
      </c>
      <c r="G21" s="24">
        <v>0.0</v>
      </c>
    </row>
    <row r="22" ht="15.75" customHeight="1">
      <c r="A22" s="11">
        <v>45951.0</v>
      </c>
      <c r="B22" s="14" t="s">
        <v>45</v>
      </c>
      <c r="C22" s="15">
        <v>5.0</v>
      </c>
      <c r="D22" s="15" t="s">
        <v>50</v>
      </c>
      <c r="E22" s="15">
        <v>4080.0</v>
      </c>
      <c r="F22" s="15">
        <v>400.0</v>
      </c>
      <c r="G22" s="24">
        <f t="shared" ref="G22:G32" si="3">sum(E22:F22)</f>
        <v>4480</v>
      </c>
    </row>
    <row r="23" ht="15.75" customHeight="1">
      <c r="A23" s="11">
        <v>45952.0</v>
      </c>
      <c r="B23" s="14" t="s">
        <v>12</v>
      </c>
      <c r="C23" s="15">
        <v>2.0</v>
      </c>
      <c r="D23" s="15" t="s">
        <v>50</v>
      </c>
      <c r="E23" s="15">
        <v>1760.0</v>
      </c>
      <c r="F23" s="15">
        <v>250.0</v>
      </c>
      <c r="G23" s="15">
        <f t="shared" si="3"/>
        <v>2010</v>
      </c>
    </row>
    <row r="24" ht="15.75" customHeight="1">
      <c r="A24" s="11">
        <v>45953.0</v>
      </c>
      <c r="B24" s="14" t="s">
        <v>28</v>
      </c>
      <c r="C24" s="15">
        <v>2.0</v>
      </c>
      <c r="D24" s="15" t="s">
        <v>50</v>
      </c>
      <c r="E24" s="24">
        <v>1120.0</v>
      </c>
      <c r="F24" s="15">
        <v>200.0</v>
      </c>
      <c r="G24" s="24">
        <f t="shared" si="3"/>
        <v>1320</v>
      </c>
    </row>
    <row r="25" ht="15.75" customHeight="1">
      <c r="A25" s="11">
        <v>45954.0</v>
      </c>
      <c r="B25" s="14" t="s">
        <v>35</v>
      </c>
      <c r="C25" s="15">
        <v>0.5</v>
      </c>
      <c r="D25" s="15" t="s">
        <v>50</v>
      </c>
      <c r="E25" s="24">
        <v>280.0</v>
      </c>
      <c r="F25" s="15">
        <v>100.0</v>
      </c>
      <c r="G25" s="24">
        <f t="shared" si="3"/>
        <v>380</v>
      </c>
    </row>
    <row r="26" ht="15.75" customHeight="1">
      <c r="A26" s="11">
        <v>45955.0</v>
      </c>
      <c r="B26" s="14" t="s">
        <v>36</v>
      </c>
      <c r="C26" s="15">
        <v>2.0</v>
      </c>
      <c r="D26" s="15" t="s">
        <v>50</v>
      </c>
      <c r="E26" s="24">
        <v>1610.0</v>
      </c>
      <c r="F26" s="15">
        <v>0.0</v>
      </c>
      <c r="G26" s="24">
        <f t="shared" si="3"/>
        <v>1610</v>
      </c>
    </row>
    <row r="27" ht="15.75" customHeight="1">
      <c r="A27" s="11">
        <v>45956.0</v>
      </c>
      <c r="B27" s="14" t="s">
        <v>39</v>
      </c>
      <c r="C27" s="15">
        <v>1.0</v>
      </c>
      <c r="D27" s="15" t="s">
        <v>50</v>
      </c>
      <c r="E27" s="24">
        <v>1200.0</v>
      </c>
      <c r="F27" s="15">
        <v>300.0</v>
      </c>
      <c r="G27" s="24">
        <f t="shared" si="3"/>
        <v>1500</v>
      </c>
    </row>
    <row r="28" ht="15.75" customHeight="1">
      <c r="A28" s="11">
        <v>45957.0</v>
      </c>
      <c r="B28" s="14" t="s">
        <v>43</v>
      </c>
      <c r="C28" s="15">
        <v>1.5</v>
      </c>
      <c r="D28" s="15" t="s">
        <v>50</v>
      </c>
      <c r="E28" s="15">
        <v>960.0</v>
      </c>
      <c r="F28" s="15">
        <v>200.0</v>
      </c>
      <c r="G28" s="24">
        <f t="shared" si="3"/>
        <v>1160</v>
      </c>
    </row>
    <row r="29" ht="15.75" customHeight="1">
      <c r="A29" s="11">
        <v>45958.0</v>
      </c>
      <c r="B29" s="14" t="s">
        <v>45</v>
      </c>
      <c r="C29" s="40">
        <v>0.5</v>
      </c>
      <c r="D29" s="15" t="s">
        <v>50</v>
      </c>
      <c r="E29" s="41">
        <v>280.0</v>
      </c>
      <c r="F29" s="25">
        <v>200.0</v>
      </c>
      <c r="G29" s="24">
        <f t="shared" si="3"/>
        <v>480</v>
      </c>
    </row>
    <row r="30" ht="15.75" customHeight="1">
      <c r="A30" s="11">
        <v>45959.0</v>
      </c>
      <c r="B30" s="14" t="s">
        <v>12</v>
      </c>
      <c r="C30" s="25">
        <v>2.0</v>
      </c>
      <c r="D30" s="15" t="s">
        <v>50</v>
      </c>
      <c r="E30" s="25">
        <v>1250.0</v>
      </c>
      <c r="F30" s="25">
        <v>100.0</v>
      </c>
      <c r="G30" s="15">
        <f t="shared" si="3"/>
        <v>1350</v>
      </c>
    </row>
    <row r="31" ht="15.75" customHeight="1">
      <c r="A31" s="11">
        <v>45960.0</v>
      </c>
      <c r="B31" s="14" t="s">
        <v>28</v>
      </c>
      <c r="C31" s="25">
        <v>2.0</v>
      </c>
      <c r="D31" s="15" t="s">
        <v>50</v>
      </c>
      <c r="E31" s="25">
        <v>1120.0</v>
      </c>
      <c r="F31" s="25">
        <v>250.0</v>
      </c>
      <c r="G31" s="15">
        <f t="shared" si="3"/>
        <v>1370</v>
      </c>
    </row>
    <row r="32" ht="15.75" customHeight="1">
      <c r="A32" s="11">
        <v>45961.0</v>
      </c>
      <c r="B32" s="14" t="s">
        <v>35</v>
      </c>
      <c r="C32" s="25">
        <v>3.5</v>
      </c>
      <c r="D32" s="15" t="s">
        <v>50</v>
      </c>
      <c r="E32" s="25">
        <v>1610.0</v>
      </c>
      <c r="F32" s="25">
        <v>650.0</v>
      </c>
      <c r="G32" s="15">
        <f t="shared" si="3"/>
        <v>2260</v>
      </c>
    </row>
    <row r="33" ht="15.75" customHeight="1">
      <c r="A33" s="42" t="s">
        <v>60</v>
      </c>
      <c r="B33" s="12" t="s">
        <v>61</v>
      </c>
      <c r="C33" s="42">
        <f>SUM(C2:C32)</f>
        <v>49.25</v>
      </c>
      <c r="D33" s="43"/>
      <c r="E33" s="42">
        <f t="shared" ref="E33:G33" si="4">SUM(E2:E32)</f>
        <v>32950</v>
      </c>
      <c r="F33" s="44">
        <f t="shared" si="4"/>
        <v>6330</v>
      </c>
      <c r="G33" s="42">
        <f t="shared" si="4"/>
        <v>39280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10" t="s">
        <v>1</v>
      </c>
      <c r="B1" s="12" t="s">
        <v>2</v>
      </c>
      <c r="C1" s="12" t="s">
        <v>15</v>
      </c>
      <c r="D1" s="12" t="s">
        <v>16</v>
      </c>
      <c r="E1" s="13" t="s">
        <v>18</v>
      </c>
      <c r="F1" s="12" t="s">
        <v>22</v>
      </c>
      <c r="G1" s="12" t="s">
        <v>23</v>
      </c>
      <c r="H1" s="12" t="s">
        <v>4</v>
      </c>
    </row>
    <row r="2" ht="15.75" customHeight="1">
      <c r="A2" s="17"/>
      <c r="B2" s="19" t="s">
        <v>25</v>
      </c>
      <c r="C2" s="20">
        <v>3335.0</v>
      </c>
      <c r="D2" s="20">
        <v>436.8</v>
      </c>
      <c r="E2" s="23">
        <f t="shared" ref="E2:E6" si="1">C2-D2</f>
        <v>2898.2</v>
      </c>
      <c r="F2" s="20">
        <v>2.84</v>
      </c>
      <c r="G2" s="20">
        <v>14.32</v>
      </c>
      <c r="H2" s="25">
        <v>2905.84</v>
      </c>
    </row>
    <row r="3" ht="15.75" customHeight="1">
      <c r="A3" s="17"/>
      <c r="B3" s="19" t="s">
        <v>31</v>
      </c>
      <c r="C3" s="20">
        <v>2000.0</v>
      </c>
      <c r="D3" s="25">
        <v>260.0</v>
      </c>
      <c r="E3" s="23">
        <f t="shared" si="1"/>
        <v>1740</v>
      </c>
      <c r="F3" s="25">
        <v>1.69</v>
      </c>
      <c r="G3" s="25">
        <v>8.47</v>
      </c>
      <c r="H3" s="25">
        <v>1729.83</v>
      </c>
    </row>
    <row r="4" ht="15.75" customHeight="1">
      <c r="A4" s="17"/>
      <c r="B4" s="19" t="s">
        <v>37</v>
      </c>
      <c r="C4" s="20">
        <v>960.0</v>
      </c>
      <c r="D4" s="25">
        <v>124.8</v>
      </c>
      <c r="E4" s="23">
        <f t="shared" si="1"/>
        <v>835.2</v>
      </c>
      <c r="F4" s="25">
        <v>0.81</v>
      </c>
      <c r="G4" s="25">
        <v>4.06</v>
      </c>
      <c r="H4" s="25">
        <v>830.32</v>
      </c>
    </row>
    <row r="5" ht="15.75" customHeight="1">
      <c r="A5" s="17"/>
      <c r="B5" s="19" t="s">
        <v>40</v>
      </c>
      <c r="C5" s="20">
        <v>6630.0</v>
      </c>
      <c r="D5" s="25">
        <v>887.9</v>
      </c>
      <c r="E5" s="23">
        <f t="shared" si="1"/>
        <v>5742.1</v>
      </c>
      <c r="F5" s="25">
        <v>5.78</v>
      </c>
      <c r="G5" s="25">
        <v>28.94</v>
      </c>
      <c r="H5" s="25">
        <v>5907.37</v>
      </c>
    </row>
    <row r="6" ht="15.75" customHeight="1">
      <c r="A6" s="27"/>
      <c r="B6" s="25" t="s">
        <v>44</v>
      </c>
      <c r="C6" s="29">
        <v>560.0</v>
      </c>
      <c r="D6" s="25">
        <v>72.8</v>
      </c>
      <c r="E6" s="23">
        <f t="shared" si="1"/>
        <v>487.2</v>
      </c>
      <c r="F6" s="25">
        <v>0.47</v>
      </c>
      <c r="G6" s="25">
        <v>2.37</v>
      </c>
      <c r="H6" s="30">
        <v>484.32</v>
      </c>
    </row>
    <row r="7" ht="15.75" customHeight="1">
      <c r="A7" s="17"/>
      <c r="B7" s="19"/>
      <c r="C7" s="33">
        <f>SUM(C2:C6)</f>
        <v>13485</v>
      </c>
      <c r="D7" s="19"/>
      <c r="E7" s="33">
        <f>SUM(E2:E6)</f>
        <v>11702.7</v>
      </c>
      <c r="F7" s="19"/>
      <c r="G7" s="19"/>
      <c r="H7" s="34">
        <f>SUM(H2:H6)</f>
        <v>11857.68</v>
      </c>
    </row>
    <row r="8" ht="15.75" customHeight="1">
      <c r="E8" s="3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4" width="14.0"/>
    <col customWidth="1" min="5" max="5" width="23.88"/>
    <col customWidth="1" min="6" max="8" width="12.63"/>
    <col customWidth="1" min="10" max="10" width="14.13"/>
  </cols>
  <sheetData>
    <row r="1" ht="15.75" customHeight="1">
      <c r="A1" s="9" t="s">
        <v>1</v>
      </c>
      <c r="B1" s="13" t="s">
        <v>2</v>
      </c>
      <c r="C1" s="13" t="s">
        <v>13</v>
      </c>
      <c r="D1" s="13" t="s">
        <v>14</v>
      </c>
      <c r="E1" s="13" t="s">
        <v>17</v>
      </c>
      <c r="F1" s="13" t="s">
        <v>18</v>
      </c>
      <c r="G1" s="13" t="s">
        <v>20</v>
      </c>
      <c r="H1" s="13" t="s">
        <v>21</v>
      </c>
      <c r="I1" s="13" t="s">
        <v>24</v>
      </c>
    </row>
    <row r="2" ht="15.75" customHeight="1">
      <c r="A2" s="17"/>
      <c r="B2" s="19" t="s">
        <v>26</v>
      </c>
      <c r="C2" s="21">
        <v>1320.0</v>
      </c>
      <c r="D2" s="21">
        <v>154.0</v>
      </c>
      <c r="E2" s="21">
        <v>27.72</v>
      </c>
      <c r="F2" s="23">
        <f t="shared" ref="F2:F5" si="1">C2 - D2-E2</f>
        <v>1138.28</v>
      </c>
      <c r="G2" s="21">
        <v>1.32</v>
      </c>
      <c r="H2" s="21">
        <v>6.6</v>
      </c>
      <c r="I2" s="21">
        <v>1130.36</v>
      </c>
    </row>
    <row r="3" ht="15.75" customHeight="1">
      <c r="A3" s="17"/>
      <c r="B3" s="19" t="s">
        <v>30</v>
      </c>
      <c r="C3" s="21">
        <v>720.0</v>
      </c>
      <c r="D3" s="21">
        <v>168.0</v>
      </c>
      <c r="E3" s="21">
        <v>30.24</v>
      </c>
      <c r="F3" s="23">
        <f t="shared" si="1"/>
        <v>521.76</v>
      </c>
      <c r="G3" s="21">
        <v>0.2</v>
      </c>
      <c r="H3" s="21">
        <v>3.6</v>
      </c>
      <c r="I3" s="21">
        <v>517.44</v>
      </c>
    </row>
    <row r="4" ht="15.75" customHeight="1">
      <c r="A4" s="27"/>
      <c r="B4" s="25" t="s">
        <v>38</v>
      </c>
      <c r="C4" s="25">
        <v>1280.0</v>
      </c>
      <c r="D4" s="25">
        <v>140.0</v>
      </c>
      <c r="E4" s="25">
        <v>25.2</v>
      </c>
      <c r="F4" s="23">
        <f t="shared" si="1"/>
        <v>1114.8</v>
      </c>
      <c r="G4" s="25">
        <v>1.28</v>
      </c>
      <c r="H4" s="25">
        <v>6.4</v>
      </c>
      <c r="I4" s="25">
        <v>1107.12</v>
      </c>
    </row>
    <row r="5" ht="15.75" customHeight="1">
      <c r="A5" s="27"/>
      <c r="B5" s="25" t="s">
        <v>42</v>
      </c>
      <c r="C5" s="28">
        <v>1680.0</v>
      </c>
      <c r="D5" s="28">
        <v>168.0</v>
      </c>
      <c r="E5" s="28">
        <v>30.24</v>
      </c>
      <c r="F5" s="23">
        <f t="shared" si="1"/>
        <v>1481.76</v>
      </c>
      <c r="G5" s="28">
        <v>1.68</v>
      </c>
      <c r="H5" s="28">
        <v>8.4</v>
      </c>
      <c r="I5" s="28">
        <v>1471.68</v>
      </c>
    </row>
    <row r="6" ht="15.75" customHeight="1">
      <c r="A6" s="27"/>
      <c r="B6" s="25" t="s">
        <v>47</v>
      </c>
      <c r="C6" s="31">
        <v>0.0</v>
      </c>
      <c r="D6" s="32">
        <v>0.0</v>
      </c>
      <c r="E6" s="25">
        <v>0.0</v>
      </c>
      <c r="F6" s="33"/>
      <c r="G6" s="19"/>
      <c r="H6" s="25">
        <v>0.0</v>
      </c>
      <c r="I6" s="31">
        <v>0.0</v>
      </c>
    </row>
    <row r="7" ht="15.75" customHeight="1">
      <c r="A7" s="17"/>
      <c r="B7" s="19"/>
      <c r="C7" s="35">
        <f>SUM(C2:C5)</f>
        <v>5000</v>
      </c>
      <c r="D7" s="36"/>
      <c r="E7" s="19"/>
      <c r="F7" s="33">
        <f>SUM(F2:F6)</f>
        <v>4256.6</v>
      </c>
      <c r="G7" s="19"/>
      <c r="H7" s="19"/>
      <c r="I7" s="35">
        <f>SUM(I2:I5)</f>
        <v>4226.6</v>
      </c>
    </row>
    <row r="8" ht="15.75" customHeight="1">
      <c r="F8" s="3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  <col customWidth="1" min="8" max="8" width="14.13"/>
  </cols>
  <sheetData>
    <row r="1" ht="15.75" customHeight="1">
      <c r="A1" s="9" t="s">
        <v>1</v>
      </c>
      <c r="B1" s="13" t="s">
        <v>2</v>
      </c>
      <c r="C1" s="13" t="s">
        <v>62</v>
      </c>
      <c r="D1" s="13" t="s">
        <v>14</v>
      </c>
      <c r="E1" s="13" t="s">
        <v>24</v>
      </c>
    </row>
    <row r="2" ht="15.75" customHeight="1">
      <c r="A2" s="27"/>
      <c r="B2" s="25" t="s">
        <v>42</v>
      </c>
      <c r="C2" s="25">
        <v>600.0</v>
      </c>
      <c r="D2" s="25">
        <v>30.0</v>
      </c>
      <c r="E2" s="25">
        <v>570.0</v>
      </c>
    </row>
    <row r="3" ht="15.75" customHeight="1">
      <c r="A3" s="17"/>
      <c r="B3" s="19"/>
      <c r="C3" s="19"/>
      <c r="D3" s="19"/>
      <c r="E3" s="19"/>
    </row>
    <row r="4" ht="15.75" customHeight="1">
      <c r="A4" s="17"/>
      <c r="B4" s="19"/>
      <c r="C4" s="45">
        <f>SUM(C2:C3)</f>
        <v>600</v>
      </c>
      <c r="D4" s="19"/>
      <c r="E4" s="45">
        <f>SUM(E2:E3)</f>
        <v>570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4.75"/>
    <col customWidth="1" min="4" max="4" width="18.5"/>
    <col customWidth="1" min="5" max="5" width="24.38"/>
    <col customWidth="1" min="6" max="6" width="14.13"/>
    <col customWidth="1" min="7" max="7" width="12.63"/>
  </cols>
  <sheetData>
    <row r="1" ht="15.75" customHeight="1">
      <c r="A1" s="9" t="s">
        <v>1</v>
      </c>
      <c r="B1" s="46" t="s">
        <v>2</v>
      </c>
      <c r="C1" s="46" t="s">
        <v>63</v>
      </c>
      <c r="D1" s="46" t="s">
        <v>64</v>
      </c>
      <c r="E1" s="47" t="s">
        <v>65</v>
      </c>
      <c r="F1" s="46" t="s">
        <v>24</v>
      </c>
    </row>
    <row r="2" ht="15.75" customHeight="1">
      <c r="A2" s="27"/>
      <c r="B2" s="25" t="s">
        <v>61</v>
      </c>
      <c r="C2" s="49">
        <v>2830.0</v>
      </c>
      <c r="D2" s="25">
        <f>C2 - (C2 * 20%)
</f>
        <v>2264</v>
      </c>
      <c r="E2" s="54">
        <v>0.02</v>
      </c>
      <c r="F2" s="55">
        <f>D2 - D2*E2</f>
        <v>2218.72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5.25"/>
    <col customWidth="1" min="3" max="3" width="15.0"/>
    <col customWidth="1" min="4" max="4" width="12.63"/>
    <col customWidth="1" min="5" max="5" width="15.25"/>
    <col customWidth="1" min="6" max="6" width="12.63"/>
  </cols>
  <sheetData>
    <row r="1" ht="15.75" customHeight="1">
      <c r="A1" s="46" t="s">
        <v>66</v>
      </c>
      <c r="B1" s="46" t="s">
        <v>67</v>
      </c>
      <c r="C1" s="46" t="s">
        <v>68</v>
      </c>
      <c r="D1" s="46" t="s">
        <v>69</v>
      </c>
      <c r="E1" s="48" t="s">
        <v>70</v>
      </c>
    </row>
    <row r="2" ht="15.75" customHeight="1">
      <c r="A2" s="49" t="s">
        <v>71</v>
      </c>
      <c r="B2" s="49" t="s">
        <v>72</v>
      </c>
      <c r="C2" s="30" t="s">
        <v>73</v>
      </c>
      <c r="D2" s="50">
        <v>45931.0</v>
      </c>
      <c r="E2" s="49">
        <v>18880.0</v>
      </c>
    </row>
    <row r="3" ht="15.75" customHeight="1">
      <c r="A3" s="51" t="s">
        <v>74</v>
      </c>
      <c r="B3" s="51" t="s">
        <v>75</v>
      </c>
      <c r="C3" s="52" t="s">
        <v>76</v>
      </c>
      <c r="D3" s="52" t="s">
        <v>77</v>
      </c>
      <c r="E3" s="52">
        <v>10000.0</v>
      </c>
    </row>
    <row r="4" ht="15.75" customHeight="1">
      <c r="E4" s="53">
        <f>SUM(E2:E3)</f>
        <v>28880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