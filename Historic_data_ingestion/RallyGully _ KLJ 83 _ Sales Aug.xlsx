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  <sheet state="visible" name="Corporate Events" sheetId="5" r:id="rId9"/>
  </sheets>
  <definedNames/>
  <calcPr/>
</workbook>
</file>

<file path=xl/sharedStrings.xml><?xml version="1.0" encoding="utf-8"?>
<sst xmlns="http://schemas.openxmlformats.org/spreadsheetml/2006/main" count="117" uniqueCount="80">
  <si>
    <t>1 - 31 Aug</t>
  </si>
  <si>
    <t>Link</t>
  </si>
  <si>
    <t>Date</t>
  </si>
  <si>
    <t>Member Name</t>
  </si>
  <si>
    <t>Day</t>
  </si>
  <si>
    <t>Offline booking hours</t>
  </si>
  <si>
    <t>Particulars</t>
  </si>
  <si>
    <t>Sports Type</t>
  </si>
  <si>
    <t>Membership Type</t>
  </si>
  <si>
    <t>Amount</t>
  </si>
  <si>
    <t>Amount Collected</t>
  </si>
  <si>
    <t>Booking Revenue</t>
  </si>
  <si>
    <t>Booking Revenue (Turf)</t>
  </si>
  <si>
    <t>Community Revenue</t>
  </si>
  <si>
    <t>Payment Gateway</t>
  </si>
  <si>
    <t xml:space="preserve">Paddle Rental </t>
  </si>
  <si>
    <t>Total Revenue</t>
  </si>
  <si>
    <t>Net Revenue</t>
  </si>
  <si>
    <t>Sumit</t>
  </si>
  <si>
    <t>Total</t>
  </si>
  <si>
    <t>Box Cricket</t>
  </si>
  <si>
    <t>Pickleball</t>
  </si>
  <si>
    <t>10 Hours</t>
  </si>
  <si>
    <t>Turf</t>
  </si>
  <si>
    <t>Saturday</t>
  </si>
  <si>
    <t>Paid to District</t>
  </si>
  <si>
    <t>Commissions (₹)</t>
  </si>
  <si>
    <t>GST on Commission</t>
  </si>
  <si>
    <t>TCS</t>
  </si>
  <si>
    <t>TDS</t>
  </si>
  <si>
    <t>Pay &amp; Play</t>
  </si>
  <si>
    <t>Final Amount (₹)</t>
  </si>
  <si>
    <t>Amit</t>
  </si>
  <si>
    <t>30 Hours</t>
  </si>
  <si>
    <t>ISH</t>
  </si>
  <si>
    <t>Turf and Pickleball</t>
  </si>
  <si>
    <t>Custom</t>
  </si>
  <si>
    <t>Sunday</t>
  </si>
  <si>
    <t xml:space="preserve">Online </t>
  </si>
  <si>
    <t>Monday</t>
  </si>
  <si>
    <t>District</t>
  </si>
  <si>
    <t>Tuesday</t>
  </si>
  <si>
    <t>Wednesday</t>
  </si>
  <si>
    <t>Thursday</t>
  </si>
  <si>
    <t>Friday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</si>
  <si>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</si>
  <si>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</si>
  <si>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</si>
  <si>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</si>
  <si>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</si>
  <si>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</si>
  <si>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</si>
  <si>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</si>
  <si>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</si>
  <si>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</si>
  <si>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Partnerships</t>
  </si>
  <si>
    <t>Academy</t>
  </si>
  <si>
    <t>Events &amp; Partnership</t>
  </si>
  <si>
    <t>Start Month</t>
  </si>
  <si>
    <t>Partnership Type</t>
  </si>
  <si>
    <t>Name of Brand/Person</t>
  </si>
  <si>
    <t>Deliverables</t>
  </si>
  <si>
    <t>Venue</t>
  </si>
  <si>
    <t>Corporate events</t>
  </si>
  <si>
    <t>Amount (₹)</t>
  </si>
  <si>
    <t>July</t>
  </si>
  <si>
    <t>Team Event</t>
  </si>
  <si>
    <t>Bio Gas KLJ</t>
  </si>
  <si>
    <t>2 hours of Turf</t>
  </si>
  <si>
    <t>Sec 83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</si>
  <si>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</si>
  <si>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</si>
  <si>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</si>
  <si>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</si>
  <si>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</si>
  <si>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</si>
  <si>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</si>
  <si>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</si>
  <si>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Commissions, Payment gateway &amp; Event Expense(C)</t>
  </si>
  <si>
    <t>Net Revenue (A-B-C)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</si>
</sst>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0"/>
    <numFmt numFmtId="166" formatCode="[$₹]#,##0.0"/>
    <numFmt numFmtId="167" formatCode="[&gt;9999999][$₹]##\,##\,##\,##0;[&gt;99999][$₹]##\,##\,##0;[$₹]##,##0"/>
    <numFmt numFmtId="168" formatCode="d mmmm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2" numFmtId="164" xfId="0" applyAlignment="1" applyBorder="1" applyFill="1" applyFont="1" applyNumberFormat="1">
      <alignment horizontal="center" vertical="bottom"/>
    </xf>
    <xf borderId="3" fillId="2" fontId="4" numFmtId="0" xfId="0" applyBorder="1" applyFill="1" applyFont="1"/>
    <xf borderId="3" fillId="2" fontId="2" numFmtId="165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4" numFmtId="0" xfId="0" applyBorder="1" applyFont="1"/>
    <xf borderId="3" fillId="2" fontId="2" numFmtId="0" xfId="0" applyAlignment="1" applyBorder="1" applyFill="1" applyFont="1">
      <alignment horizontal="right" vertical="bottom"/>
    </xf>
    <xf borderId="3" fillId="0" fontId="5" numFmtId="0" xfId="0" applyAlignment="1" applyBorder="1" applyFont="1">
      <alignment vertical="bottom"/>
    </xf>
    <xf borderId="3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6" xfId="0" applyAlignment="1" applyBorder="1" applyFill="1" applyFont="1" applyNumberFormat="1">
      <alignment vertical="bottom"/>
    </xf>
    <xf borderId="3" fillId="2" fontId="2" numFmtId="167" xfId="0" applyAlignment="1" applyBorder="1" applyFill="1" applyFont="1" applyNumberFormat="1">
      <alignment horizontal="center" readingOrder="0" vertical="bottom"/>
    </xf>
    <xf borderId="3" fillId="0" fontId="5" numFmtId="165" xfId="0" applyAlignment="1" applyBorder="1" applyFont="1" applyNumberFormat="1">
      <alignment readingOrder="0" vertical="bottom"/>
    </xf>
    <xf borderId="3" fillId="2" fontId="1" numFmtId="0" xfId="0" applyAlignment="1" applyBorder="1" applyFill="1" applyFont="1">
      <alignment horizontal="center" readingOrder="0"/>
    </xf>
    <xf borderId="3" fillId="2" fontId="6" numFmtId="165" xfId="0" applyAlignment="1" applyBorder="1" applyFill="1" applyFont="1" applyNumberFormat="1">
      <alignment horizontal="center" readingOrder="0" vertical="bottom"/>
    </xf>
    <xf borderId="3" fillId="0" fontId="5" numFmtId="165" xfId="0" applyAlignment="1" applyBorder="1" applyFont="1" applyNumberFormat="1">
      <alignment horizontal="right" readingOrder="0" vertical="bottom"/>
    </xf>
    <xf borderId="3" fillId="3" fontId="5" numFmtId="168" xfId="0" applyAlignment="1" applyBorder="1" applyFill="1" applyFont="1" applyNumberFormat="1">
      <alignment horizontal="right" vertical="bottom"/>
    </xf>
    <xf borderId="3" fillId="3" fontId="5" numFmtId="164" xfId="0" applyAlignment="1" applyBorder="1" applyFill="1" applyFont="1" applyNumberFormat="1">
      <alignment vertical="bottom"/>
    </xf>
    <xf borderId="3" fillId="3" fontId="5" numFmtId="4" xfId="0" applyAlignment="1" applyBorder="1" applyFill="1" applyFont="1" applyNumberFormat="1">
      <alignment horizontal="right" vertical="bottom"/>
    </xf>
    <xf borderId="3" fillId="0" fontId="5" numFmtId="164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horizontal="center" readingOrder="0" vertical="bottom"/>
    </xf>
    <xf borderId="3" fillId="2" fontId="7" numFmtId="165" xfId="0" applyAlignment="1" applyBorder="1" applyFill="1" applyFont="1" applyNumberFormat="1">
      <alignment vertical="bottom"/>
    </xf>
    <xf borderId="3" fillId="0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3" fillId="0" fontId="5" numFmtId="164" xfId="0" applyAlignment="1" applyBorder="1" applyFont="1" applyNumberFormat="1">
      <alignment horizontal="right" vertical="bottom"/>
    </xf>
    <xf borderId="3" fillId="0" fontId="5" numFmtId="169" xfId="0" applyAlignment="1" applyBorder="1" applyFont="1" applyNumberFormat="1">
      <alignment vertical="bottom"/>
    </xf>
    <xf borderId="3" fillId="0" fontId="5" numFmtId="170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readingOrder="0" vertical="bottom"/>
    </xf>
    <xf borderId="3" fillId="0" fontId="2" numFmtId="167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165" xfId="0" applyAlignment="1" applyBorder="1" applyFont="1" applyNumberFormat="1">
      <alignment vertical="bottom"/>
    </xf>
    <xf borderId="3" fillId="0" fontId="5" numFmtId="170" xfId="0" applyAlignment="1" applyBorder="1" applyFont="1" applyNumberFormat="1">
      <alignment horizontal="right" vertical="bottom"/>
    </xf>
    <xf borderId="3" fillId="0" fontId="5" numFmtId="165" xfId="0" applyAlignment="1" applyBorder="1" applyFont="1" applyNumberFormat="1">
      <alignment horizontal="right" vertical="bottom"/>
    </xf>
    <xf borderId="3" fillId="0" fontId="5" numFmtId="4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readingOrder="0"/>
    </xf>
    <xf borderId="3" fillId="0" fontId="5" numFmtId="164" xfId="0" applyAlignment="1" applyBorder="1" applyFont="1" applyNumberFormat="1">
      <alignment vertical="bottom"/>
    </xf>
    <xf borderId="3" fillId="0" fontId="1" numFmtId="0" xfId="0" applyBorder="1" applyFont="1"/>
    <xf borderId="3" fillId="2" fontId="2" numFmtId="164" xfId="0" applyAlignment="1" applyBorder="1" applyFill="1" applyFont="1" applyNumberFormat="1">
      <alignment vertical="bottom"/>
    </xf>
    <xf borderId="3" fillId="2" fontId="2" numFmtId="165" xfId="0" applyAlignment="1" applyBorder="1" applyFill="1" applyFont="1" applyNumberFormat="1">
      <alignment horizontal="right" vertical="bottom"/>
    </xf>
    <xf borderId="3" fillId="0" fontId="1" numFmtId="165" xfId="0" applyBorder="1" applyFont="1" applyNumberFormat="1"/>
    <xf borderId="3" fillId="0" fontId="5" numFmtId="167" xfId="0" applyAlignment="1" applyBorder="1" applyFont="1" applyNumberFormat="1">
      <alignment vertical="bottom"/>
    </xf>
    <xf borderId="3" fillId="0" fontId="1" numFmtId="164" xfId="0" applyBorder="1" applyFont="1" applyNumberFormat="1"/>
    <xf borderId="0" fillId="0" fontId="5" numFmtId="164" xfId="0" applyAlignment="1" applyFont="1" applyNumberFormat="1">
      <alignment horizontal="right" vertical="bottom"/>
    </xf>
    <xf borderId="3" fillId="0" fontId="1" numFmtId="164" xfId="0" applyBorder="1" applyFont="1" applyNumberFormat="1"/>
    <xf borderId="3" fillId="2" fontId="2" numFmtId="170" xfId="0" applyAlignment="1" applyBorder="1" applyFill="1" applyFont="1" applyNumberFormat="1">
      <alignment horizontal="right" vertical="bottom"/>
    </xf>
    <xf borderId="3" fillId="0" fontId="4" numFmtId="166" xfId="0" applyBorder="1" applyFont="1" applyNumberFormat="1"/>
    <xf borderId="3" fillId="2" fontId="5" numFmtId="164" xfId="0" applyAlignment="1" applyBorder="1" applyFill="1" applyFont="1" applyNumberFormat="1">
      <alignment vertical="bottom"/>
    </xf>
    <xf borderId="3" fillId="0" fontId="5" numFmtId="167" xfId="0" applyAlignment="1" applyBorder="1" applyFont="1" applyNumberFormat="1">
      <alignment readingOrder="0" vertical="bottom"/>
    </xf>
    <xf borderId="3" fillId="0" fontId="4" numFmtId="0" xfId="0" applyAlignment="1" applyBorder="1" applyFont="1">
      <alignment readingOrder="0"/>
    </xf>
    <xf borderId="3" fillId="0" fontId="1" numFmtId="166" xfId="0" applyAlignment="1" applyBorder="1" applyFont="1" applyNumberFormat="1">
      <alignment readingOrder="0"/>
    </xf>
    <xf borderId="3" fillId="0" fontId="2" numFmtId="0" xfId="0" applyAlignment="1" applyBorder="1" applyFont="1">
      <alignment vertical="bottom"/>
    </xf>
    <xf borderId="3" fillId="0" fontId="2" numFmtId="165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3" fillId="0" fontId="4" numFmtId="164" xfId="0" applyBorder="1" applyFont="1" applyNumberFormat="1"/>
    <xf borderId="3" fillId="0" fontId="4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 vertical="bottom"/>
    </xf>
    <xf borderId="3" fillId="0" fontId="2" numFmtId="167" xfId="0" applyAlignment="1" applyBorder="1" applyFont="1" applyNumberFormat="1">
      <alignment horizontal="right" readingOrder="0" vertical="bottom"/>
    </xf>
    <xf borderId="3" fillId="0" fontId="5" numFmtId="167" xfId="0" applyAlignment="1" applyBorder="1" applyFont="1" applyNumberFormat="1">
      <alignment horizontal="right" readingOrder="0" vertical="bottom"/>
    </xf>
    <xf borderId="3" fillId="3" fontId="5" numFmtId="164" xfId="0" applyAlignment="1" applyBorder="1" applyFill="1" applyFont="1" applyNumberFormat="1">
      <alignment horizontal="right" vertical="bottom"/>
    </xf>
    <xf borderId="3" fillId="0" fontId="4" numFmtId="165" xfId="0" applyAlignment="1" applyBorder="1" applyFont="1" applyNumberFormat="1">
      <alignment readingOrder="0"/>
    </xf>
    <xf borderId="3" fillId="2" fontId="2" numFmtId="4" xfId="0" applyAlignment="1" applyBorder="1" applyFill="1" applyFont="1" applyNumberFormat="1">
      <alignment vertical="bottom"/>
    </xf>
    <xf borderId="3" fillId="0" fontId="5" numFmtId="167" xfId="0" applyAlignment="1" applyBorder="1" applyFont="1" applyNumberFormat="1">
      <alignment horizontal="right" vertical="bottom"/>
    </xf>
    <xf borderId="3" fillId="2" fontId="2" numFmtId="164" xfId="0" applyAlignment="1" applyBorder="1" applyFill="1" applyFont="1" applyNumberFormat="1">
      <alignment horizontal="right" vertical="bottom"/>
    </xf>
    <xf borderId="3" fillId="0" fontId="5" numFmtId="164" xfId="0" applyAlignment="1" applyBorder="1" applyFont="1" applyNumberFormat="1">
      <alignment shrinkToFit="0" vertical="bottom" wrapText="1"/>
    </xf>
    <xf borderId="3" fillId="0" fontId="2" numFmtId="164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  <c r="D2" s="5"/>
      <c r="E2" s="5"/>
    </row>
    <row r="3">
      <c r="B3" s="8" t="s">
        <v>6</v>
      </c>
      <c r="C3" s="8" t="s">
        <v>9</v>
      </c>
      <c r="D3" s="9"/>
      <c r="E3" s="11"/>
    </row>
    <row r="4">
      <c r="B4" s="13"/>
      <c r="C4" s="15" t="s">
        <v>19</v>
      </c>
      <c r="D4" s="17" t="s">
        <v>21</v>
      </c>
      <c r="E4" s="24" t="s">
        <v>23</v>
      </c>
    </row>
    <row r="5">
      <c r="B5" s="26" t="s">
        <v>30</v>
      </c>
      <c r="C5" s="32">
        <f t="shared" ref="C5:E5" si="1">sum(C6,C12)</f>
        <v>206637</v>
      </c>
      <c r="D5" s="32">
        <f t="shared" si="1"/>
        <v>105423</v>
      </c>
      <c r="E5" s="32">
        <f t="shared" si="1"/>
        <v>91814</v>
      </c>
    </row>
    <row r="6">
      <c r="B6" s="26" t="s">
        <v>38</v>
      </c>
      <c r="C6" s="32">
        <f t="shared" ref="C6:E6" si="2">sum(C7:C11)</f>
        <v>61103</v>
      </c>
      <c r="D6" s="32">
        <f t="shared" si="2"/>
        <v>38123</v>
      </c>
      <c r="E6" s="32">
        <f t="shared" si="2"/>
        <v>22980</v>
      </c>
    </row>
    <row r="7" outlineLevel="1">
      <c r="B7" s="11" t="s">
        <v>40</v>
      </c>
      <c r="C7" s="44">
        <f>District!C3</f>
        <v>61103</v>
      </c>
      <c r="D7" s="49">
        <f>District!B5</f>
        <v>38123</v>
      </c>
      <c r="E7" s="34">
        <f>District!B6</f>
        <v>22980</v>
      </c>
    </row>
    <row r="8" outlineLevel="1">
      <c r="B8" s="11" t="s">
        <v>45</v>
      </c>
      <c r="C8" s="51">
        <v>0.0</v>
      </c>
      <c r="D8" s="52">
        <v>0.0</v>
      </c>
      <c r="E8" s="31">
        <v>0.0</v>
      </c>
    </row>
    <row r="9" outlineLevel="1">
      <c r="B9" s="11" t="s">
        <v>46</v>
      </c>
      <c r="C9" s="51">
        <v>0.0</v>
      </c>
      <c r="D9" s="52">
        <v>0.0</v>
      </c>
      <c r="E9" s="31">
        <v>0.0</v>
      </c>
    </row>
    <row r="10" outlineLevel="1">
      <c r="B10" s="33" t="s">
        <v>47</v>
      </c>
      <c r="C10" s="51">
        <v>0.0</v>
      </c>
      <c r="D10" s="52">
        <v>0.0</v>
      </c>
      <c r="E10" s="31">
        <v>0.0</v>
      </c>
    </row>
    <row r="11" outlineLevel="1">
      <c r="B11" s="11" t="s">
        <v>48</v>
      </c>
      <c r="C11" s="51">
        <v>0.0</v>
      </c>
      <c r="D11" s="52">
        <v>0.0</v>
      </c>
      <c r="E11" s="31">
        <v>0.0</v>
      </c>
    </row>
    <row r="12">
      <c r="B12" s="54" t="s">
        <v>49</v>
      </c>
      <c r="C12" s="32">
        <f t="shared" ref="C12:E12" si="3">sum(C13:C14)</f>
        <v>145534</v>
      </c>
      <c r="D12" s="32">
        <f t="shared" si="3"/>
        <v>67300</v>
      </c>
      <c r="E12" s="32">
        <f t="shared" si="3"/>
        <v>68834</v>
      </c>
    </row>
    <row r="13" outlineLevel="1">
      <c r="B13" s="11" t="s">
        <v>50</v>
      </c>
      <c r="C13" s="44">
        <f>'Offline &amp; RG Community'!D33+'Offline &amp; RG Community'!E33</f>
        <v>102734</v>
      </c>
      <c r="D13" s="57">
        <f>'Offline &amp; RG Community'!D33</f>
        <v>55300</v>
      </c>
      <c r="E13" s="57">
        <f>'Offline &amp; RG Community'!E33</f>
        <v>47434</v>
      </c>
    </row>
    <row r="14" outlineLevel="1">
      <c r="B14" s="34" t="s">
        <v>51</v>
      </c>
      <c r="C14" s="51">
        <f>Memberships!D5</f>
        <v>42800</v>
      </c>
      <c r="D14" s="58">
        <f>Memberships!D3</f>
        <v>12000</v>
      </c>
      <c r="E14" s="58">
        <f>Memberships!D4/2+Memberships!D2</f>
        <v>21400</v>
      </c>
    </row>
    <row r="15">
      <c r="B15" s="54" t="s">
        <v>52</v>
      </c>
      <c r="C15" s="32">
        <f t="shared" ref="C15:E15" si="4">sum(C16:C18)</f>
        <v>450</v>
      </c>
      <c r="D15" s="32">
        <f t="shared" si="4"/>
        <v>450</v>
      </c>
      <c r="E15" s="32">
        <f t="shared" si="4"/>
        <v>0</v>
      </c>
    </row>
    <row r="16" outlineLevel="1">
      <c r="B16" s="33" t="s">
        <v>53</v>
      </c>
      <c r="C16" s="51">
        <f>'Offline &amp; RG Community'!F33</f>
        <v>450</v>
      </c>
      <c r="D16" s="58">
        <f>'Offline &amp; RG Community'!F33</f>
        <v>450</v>
      </c>
      <c r="E16" s="31">
        <v>0.0</v>
      </c>
    </row>
    <row r="17" outlineLevel="1">
      <c r="B17" s="33" t="s">
        <v>54</v>
      </c>
      <c r="C17" s="51">
        <v>0.0</v>
      </c>
      <c r="D17" s="52">
        <v>0.0</v>
      </c>
      <c r="E17" s="52">
        <v>0.0</v>
      </c>
    </row>
    <row r="18">
      <c r="B18" s="59" t="s">
        <v>55</v>
      </c>
      <c r="C18" s="51">
        <v>0.0</v>
      </c>
      <c r="D18" s="51">
        <v>0.0</v>
      </c>
      <c r="E18" s="51">
        <v>0.0</v>
      </c>
    </row>
    <row r="19">
      <c r="B19" s="54" t="s">
        <v>56</v>
      </c>
      <c r="C19" s="60">
        <v>0.0</v>
      </c>
      <c r="D19" s="60">
        <v>0.0</v>
      </c>
      <c r="E19" s="60">
        <v>0.0</v>
      </c>
    </row>
    <row r="20">
      <c r="B20" s="26" t="s">
        <v>57</v>
      </c>
      <c r="C20" s="32">
        <f t="shared" ref="C20:E20" si="5">sum(C21,C22)</f>
        <v>2560</v>
      </c>
      <c r="D20" s="32">
        <f t="shared" si="5"/>
        <v>0</v>
      </c>
      <c r="E20" s="32">
        <f t="shared" si="5"/>
        <v>2560</v>
      </c>
    </row>
    <row r="21" outlineLevel="1">
      <c r="B21" s="11" t="s">
        <v>63</v>
      </c>
      <c r="C21" s="61">
        <f>'Corporate Events'!F2</f>
        <v>2560</v>
      </c>
      <c r="D21" s="52">
        <v>0.0</v>
      </c>
      <c r="E21" s="63">
        <f>'Corporate Events'!F2</f>
        <v>2560</v>
      </c>
    </row>
    <row r="22" outlineLevel="1">
      <c r="B22" s="33" t="s">
        <v>70</v>
      </c>
      <c r="C22" s="61">
        <v>0.0</v>
      </c>
      <c r="D22" s="52">
        <v>0.0</v>
      </c>
      <c r="E22" s="52">
        <v>0.0</v>
      </c>
    </row>
    <row r="23">
      <c r="B23" s="26" t="s">
        <v>71</v>
      </c>
      <c r="C23" s="32">
        <f t="shared" ref="C23:E23" si="6">sum(C24:C26)</f>
        <v>200</v>
      </c>
      <c r="D23" s="32">
        <f t="shared" si="6"/>
        <v>200</v>
      </c>
      <c r="E23" s="32">
        <f t="shared" si="6"/>
        <v>0</v>
      </c>
    </row>
    <row r="24" outlineLevel="1">
      <c r="B24" s="11" t="s">
        <v>72</v>
      </c>
      <c r="C24" s="65">
        <f>'Offline &amp; RG Community'!G33</f>
        <v>200</v>
      </c>
      <c r="D24" s="57">
        <f>'Offline &amp; RG Community'!G33</f>
        <v>200</v>
      </c>
      <c r="E24" s="52">
        <v>0.0</v>
      </c>
    </row>
    <row r="25" outlineLevel="1">
      <c r="B25" s="11" t="s">
        <v>73</v>
      </c>
      <c r="C25" s="51">
        <v>0.0</v>
      </c>
      <c r="D25" s="52">
        <v>0.0</v>
      </c>
      <c r="E25" s="52">
        <v>0.0</v>
      </c>
    </row>
    <row r="26" outlineLevel="1">
      <c r="B26" s="11" t="s">
        <v>74</v>
      </c>
      <c r="C26" s="61">
        <v>0.0</v>
      </c>
      <c r="D26" s="52">
        <v>0.0</v>
      </c>
      <c r="E26" s="52">
        <v>0.0</v>
      </c>
    </row>
    <row r="27">
      <c r="B27" s="26" t="s">
        <v>75</v>
      </c>
      <c r="C27" s="32">
        <v>0.0</v>
      </c>
      <c r="D27" s="32">
        <v>0.0</v>
      </c>
      <c r="E27" s="32">
        <v>0.0</v>
      </c>
    </row>
    <row r="28">
      <c r="B28" s="12" t="s">
        <v>76</v>
      </c>
      <c r="C28" s="66">
        <f t="shared" ref="C28:E28" si="7">C6+C12+C15+C19+C20+C23+C27</f>
        <v>209847</v>
      </c>
      <c r="D28" s="66">
        <f t="shared" si="7"/>
        <v>106073</v>
      </c>
      <c r="E28" s="66">
        <f t="shared" si="7"/>
        <v>94374</v>
      </c>
    </row>
    <row r="29">
      <c r="B29" s="67" t="s">
        <v>77</v>
      </c>
      <c r="C29" s="68">
        <f>C28-(C28/1.18)</f>
        <v>32010.55932</v>
      </c>
      <c r="D29" s="9"/>
      <c r="E29" s="9"/>
    </row>
    <row r="30">
      <c r="B30" s="67" t="s">
        <v>78</v>
      </c>
      <c r="C30" s="69">
        <f>'Offline &amp; RG Community'!I33+District!D3+District!E3+Memberships!E5+'Corporate Events'!G2</f>
        <v>7359.02</v>
      </c>
      <c r="D30" s="9"/>
      <c r="E30" s="9"/>
    </row>
    <row r="31">
      <c r="B31" s="69" t="s">
        <v>79</v>
      </c>
      <c r="C31" s="68">
        <f>C28-C29-C30</f>
        <v>170477.4207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5.13"/>
    <col customWidth="1" min="5" max="6" width="19.75"/>
    <col customWidth="1" min="8" max="8" width="15.25"/>
  </cols>
  <sheetData>
    <row r="1">
      <c r="A1" s="4" t="s">
        <v>2</v>
      </c>
      <c r="B1" s="4" t="s">
        <v>4</v>
      </c>
      <c r="C1" s="7" t="s">
        <v>5</v>
      </c>
      <c r="D1" s="4" t="s">
        <v>11</v>
      </c>
      <c r="E1" s="4" t="s">
        <v>12</v>
      </c>
      <c r="F1" s="4" t="s">
        <v>13</v>
      </c>
      <c r="G1" s="4" t="s">
        <v>15</v>
      </c>
      <c r="H1" s="4" t="s">
        <v>16</v>
      </c>
      <c r="I1" s="14" t="s">
        <v>14</v>
      </c>
      <c r="J1" s="12" t="s">
        <v>17</v>
      </c>
    </row>
    <row r="2">
      <c r="A2" s="20">
        <v>46235.0</v>
      </c>
      <c r="B2" s="21" t="s">
        <v>24</v>
      </c>
      <c r="C2" s="22">
        <v>7.5</v>
      </c>
      <c r="D2" s="23">
        <v>4540.0</v>
      </c>
      <c r="E2" s="23">
        <v>3400.0</v>
      </c>
      <c r="F2" s="23">
        <v>0.0</v>
      </c>
      <c r="G2" s="23">
        <v>0.0</v>
      </c>
      <c r="H2" s="23">
        <f t="shared" ref="H2:H32" si="1">sum(D2:G2)</f>
        <v>7940</v>
      </c>
      <c r="I2" s="28">
        <f t="shared" ref="I2:I32" si="2">H2*1.75%</f>
        <v>138.95</v>
      </c>
      <c r="J2" s="23">
        <f t="shared" ref="J2:J32" si="3">H2-I2</f>
        <v>7801.05</v>
      </c>
    </row>
    <row r="3">
      <c r="A3" s="20">
        <v>46236.0</v>
      </c>
      <c r="B3" s="21" t="s">
        <v>37</v>
      </c>
      <c r="C3" s="22">
        <v>6.0</v>
      </c>
      <c r="D3" s="23">
        <v>1825.0</v>
      </c>
      <c r="E3" s="23">
        <v>3600.0</v>
      </c>
      <c r="F3" s="23">
        <v>0.0</v>
      </c>
      <c r="G3" s="23">
        <v>0.0</v>
      </c>
      <c r="H3" s="23">
        <f t="shared" si="1"/>
        <v>5425</v>
      </c>
      <c r="I3" s="28">
        <f t="shared" si="2"/>
        <v>94.9375</v>
      </c>
      <c r="J3" s="23">
        <f t="shared" si="3"/>
        <v>5330.0625</v>
      </c>
    </row>
    <row r="4">
      <c r="A4" s="20">
        <v>46237.0</v>
      </c>
      <c r="B4" s="21" t="s">
        <v>39</v>
      </c>
      <c r="C4" s="37">
        <v>3.0</v>
      </c>
      <c r="D4" s="23">
        <v>1925.0</v>
      </c>
      <c r="E4" s="23">
        <v>0.0</v>
      </c>
      <c r="F4" s="23">
        <v>0.0</v>
      </c>
      <c r="G4" s="23">
        <v>0.0</v>
      </c>
      <c r="H4" s="23">
        <f t="shared" si="1"/>
        <v>1925</v>
      </c>
      <c r="I4" s="28">
        <f t="shared" si="2"/>
        <v>33.6875</v>
      </c>
      <c r="J4" s="23">
        <f t="shared" si="3"/>
        <v>1891.3125</v>
      </c>
    </row>
    <row r="5">
      <c r="A5" s="20">
        <v>46238.0</v>
      </c>
      <c r="B5" s="21" t="s">
        <v>41</v>
      </c>
      <c r="C5" s="37">
        <v>3.0</v>
      </c>
      <c r="D5" s="23">
        <v>1285.0</v>
      </c>
      <c r="E5" s="23">
        <v>1200.0</v>
      </c>
      <c r="F5" s="23">
        <v>0.0</v>
      </c>
      <c r="G5" s="23">
        <v>0.0</v>
      </c>
      <c r="H5" s="23">
        <f t="shared" si="1"/>
        <v>2485</v>
      </c>
      <c r="I5" s="28">
        <f t="shared" si="2"/>
        <v>43.4875</v>
      </c>
      <c r="J5" s="23">
        <f t="shared" si="3"/>
        <v>2441.5125</v>
      </c>
    </row>
    <row r="6">
      <c r="A6" s="20">
        <v>46239.0</v>
      </c>
      <c r="B6" s="21" t="s">
        <v>42</v>
      </c>
      <c r="C6" s="37">
        <v>1.5</v>
      </c>
      <c r="D6" s="23">
        <v>1040.0</v>
      </c>
      <c r="E6" s="23">
        <v>0.0</v>
      </c>
      <c r="F6" s="23">
        <v>0.0</v>
      </c>
      <c r="G6" s="23">
        <v>0.0</v>
      </c>
      <c r="H6" s="23">
        <f t="shared" si="1"/>
        <v>1040</v>
      </c>
      <c r="I6" s="28">
        <f t="shared" si="2"/>
        <v>18.2</v>
      </c>
      <c r="J6" s="23">
        <f t="shared" si="3"/>
        <v>1021.8</v>
      </c>
    </row>
    <row r="7">
      <c r="A7" s="20">
        <v>46240.0</v>
      </c>
      <c r="B7" s="21" t="s">
        <v>43</v>
      </c>
      <c r="C7" s="37">
        <v>1.0</v>
      </c>
      <c r="D7" s="23">
        <v>640.0</v>
      </c>
      <c r="E7" s="23">
        <v>0.0</v>
      </c>
      <c r="F7" s="23">
        <v>0.0</v>
      </c>
      <c r="G7" s="46">
        <v>0.0</v>
      </c>
      <c r="H7" s="23">
        <f t="shared" si="1"/>
        <v>640</v>
      </c>
      <c r="I7" s="28">
        <f t="shared" si="2"/>
        <v>11.2</v>
      </c>
      <c r="J7" s="23">
        <f t="shared" si="3"/>
        <v>628.8</v>
      </c>
    </row>
    <row r="8">
      <c r="A8" s="20">
        <v>46241.0</v>
      </c>
      <c r="B8" s="21" t="s">
        <v>44</v>
      </c>
      <c r="C8" s="37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f t="shared" si="1"/>
        <v>0</v>
      </c>
      <c r="I8" s="28">
        <f t="shared" si="2"/>
        <v>0</v>
      </c>
      <c r="J8" s="23">
        <f t="shared" si="3"/>
        <v>0</v>
      </c>
    </row>
    <row r="9">
      <c r="A9" s="20">
        <v>46242.0</v>
      </c>
      <c r="B9" s="21" t="s">
        <v>24</v>
      </c>
      <c r="C9" s="37">
        <v>7.0</v>
      </c>
      <c r="D9" s="23">
        <v>3230.0</v>
      </c>
      <c r="E9" s="23">
        <v>2800.0</v>
      </c>
      <c r="F9" s="23">
        <v>0.0</v>
      </c>
      <c r="G9" s="46">
        <v>0.0</v>
      </c>
      <c r="H9" s="23">
        <f t="shared" si="1"/>
        <v>6030</v>
      </c>
      <c r="I9" s="28">
        <f t="shared" si="2"/>
        <v>105.525</v>
      </c>
      <c r="J9" s="23">
        <f t="shared" si="3"/>
        <v>5924.475</v>
      </c>
    </row>
    <row r="10">
      <c r="A10" s="20">
        <v>46243.0</v>
      </c>
      <c r="B10" s="21" t="s">
        <v>37</v>
      </c>
      <c r="C10" s="37">
        <v>6.5</v>
      </c>
      <c r="D10" s="23">
        <v>3250.0</v>
      </c>
      <c r="E10" s="23">
        <v>2396.0</v>
      </c>
      <c r="F10" s="23">
        <v>450.0</v>
      </c>
      <c r="G10" s="23">
        <v>0.0</v>
      </c>
      <c r="H10" s="23">
        <f t="shared" si="1"/>
        <v>6096</v>
      </c>
      <c r="I10" s="28">
        <f t="shared" si="2"/>
        <v>106.68</v>
      </c>
      <c r="J10" s="23">
        <f t="shared" si="3"/>
        <v>5989.32</v>
      </c>
    </row>
    <row r="11">
      <c r="A11" s="20">
        <v>46244.0</v>
      </c>
      <c r="B11" s="21" t="s">
        <v>39</v>
      </c>
      <c r="C11" s="37">
        <v>1.5</v>
      </c>
      <c r="D11" s="23">
        <v>1075.0</v>
      </c>
      <c r="E11" s="23">
        <v>0.0</v>
      </c>
      <c r="F11" s="23">
        <v>0.0</v>
      </c>
      <c r="G11" s="23">
        <v>0.0</v>
      </c>
      <c r="H11" s="23">
        <f t="shared" si="1"/>
        <v>1075</v>
      </c>
      <c r="I11" s="28">
        <f t="shared" si="2"/>
        <v>18.8125</v>
      </c>
      <c r="J11" s="23">
        <f t="shared" si="3"/>
        <v>1056.1875</v>
      </c>
    </row>
    <row r="12">
      <c r="A12" s="20">
        <v>46245.0</v>
      </c>
      <c r="B12" s="21" t="s">
        <v>41</v>
      </c>
      <c r="C12" s="37">
        <v>6.0</v>
      </c>
      <c r="D12" s="23">
        <v>3050.0</v>
      </c>
      <c r="E12" s="23">
        <v>3600.0</v>
      </c>
      <c r="F12" s="23">
        <v>0.0</v>
      </c>
      <c r="G12" s="23">
        <v>0.0</v>
      </c>
      <c r="H12" s="23">
        <f t="shared" si="1"/>
        <v>6650</v>
      </c>
      <c r="I12" s="28">
        <f t="shared" si="2"/>
        <v>116.375</v>
      </c>
      <c r="J12" s="23">
        <f t="shared" si="3"/>
        <v>6533.625</v>
      </c>
    </row>
    <row r="13">
      <c r="A13" s="20">
        <v>46246.0</v>
      </c>
      <c r="B13" s="21" t="s">
        <v>42</v>
      </c>
      <c r="C13" s="37">
        <v>3.0</v>
      </c>
      <c r="D13" s="23">
        <v>1950.0</v>
      </c>
      <c r="E13" s="23">
        <v>0.0</v>
      </c>
      <c r="F13" s="23">
        <v>0.0</v>
      </c>
      <c r="G13" s="23">
        <v>0.0</v>
      </c>
      <c r="H13" s="23">
        <f t="shared" si="1"/>
        <v>1950</v>
      </c>
      <c r="I13" s="28">
        <f t="shared" si="2"/>
        <v>34.125</v>
      </c>
      <c r="J13" s="23">
        <f t="shared" si="3"/>
        <v>1915.875</v>
      </c>
    </row>
    <row r="14">
      <c r="A14" s="20">
        <v>46247.0</v>
      </c>
      <c r="B14" s="21" t="s">
        <v>43</v>
      </c>
      <c r="C14" s="37">
        <v>1.5</v>
      </c>
      <c r="D14" s="23">
        <v>975.0</v>
      </c>
      <c r="E14" s="23">
        <v>0.0</v>
      </c>
      <c r="F14" s="23">
        <v>0.0</v>
      </c>
      <c r="G14" s="23">
        <v>0.0</v>
      </c>
      <c r="H14" s="23">
        <f t="shared" si="1"/>
        <v>975</v>
      </c>
      <c r="I14" s="28">
        <f t="shared" si="2"/>
        <v>17.0625</v>
      </c>
      <c r="J14" s="23">
        <f t="shared" si="3"/>
        <v>957.9375</v>
      </c>
    </row>
    <row r="15">
      <c r="A15" s="20">
        <v>46248.0</v>
      </c>
      <c r="B15" s="21" t="s">
        <v>44</v>
      </c>
      <c r="C15" s="37">
        <v>4.5</v>
      </c>
      <c r="D15" s="23">
        <v>975.0</v>
      </c>
      <c r="E15" s="23">
        <v>3600.0</v>
      </c>
      <c r="F15" s="23">
        <v>0.0</v>
      </c>
      <c r="G15" s="23">
        <v>0.0</v>
      </c>
      <c r="H15" s="23">
        <f t="shared" si="1"/>
        <v>4575</v>
      </c>
      <c r="I15" s="28">
        <f t="shared" si="2"/>
        <v>80.0625</v>
      </c>
      <c r="J15" s="23">
        <f t="shared" si="3"/>
        <v>4494.9375</v>
      </c>
    </row>
    <row r="16">
      <c r="A16" s="20">
        <v>46249.0</v>
      </c>
      <c r="B16" s="21" t="s">
        <v>24</v>
      </c>
      <c r="C16" s="37">
        <v>6.5</v>
      </c>
      <c r="D16" s="23">
        <v>2475.0</v>
      </c>
      <c r="E16" s="23">
        <v>4200.0</v>
      </c>
      <c r="F16" s="23">
        <v>0.0</v>
      </c>
      <c r="G16" s="23">
        <v>0.0</v>
      </c>
      <c r="H16" s="23">
        <f t="shared" si="1"/>
        <v>6675</v>
      </c>
      <c r="I16" s="28">
        <f t="shared" si="2"/>
        <v>116.8125</v>
      </c>
      <c r="J16" s="23">
        <f t="shared" si="3"/>
        <v>6558.1875</v>
      </c>
    </row>
    <row r="17">
      <c r="A17" s="20">
        <v>46250.0</v>
      </c>
      <c r="B17" s="21" t="s">
        <v>37</v>
      </c>
      <c r="C17" s="37">
        <v>10.5</v>
      </c>
      <c r="D17" s="23">
        <v>6015.0</v>
      </c>
      <c r="E17" s="46">
        <v>2240.0</v>
      </c>
      <c r="F17" s="23">
        <v>0.0</v>
      </c>
      <c r="G17" s="23">
        <v>0.0</v>
      </c>
      <c r="H17" s="23">
        <f t="shared" si="1"/>
        <v>8255</v>
      </c>
      <c r="I17" s="28">
        <f t="shared" si="2"/>
        <v>144.4625</v>
      </c>
      <c r="J17" s="23">
        <f t="shared" si="3"/>
        <v>8110.5375</v>
      </c>
    </row>
    <row r="18">
      <c r="A18" s="20">
        <v>46251.0</v>
      </c>
      <c r="B18" s="21" t="s">
        <v>39</v>
      </c>
      <c r="C18" s="37">
        <v>4.5</v>
      </c>
      <c r="D18" s="23">
        <v>2925.0</v>
      </c>
      <c r="E18" s="23">
        <v>0.0</v>
      </c>
      <c r="F18" s="23">
        <v>0.0</v>
      </c>
      <c r="G18" s="23">
        <v>0.0</v>
      </c>
      <c r="H18" s="23">
        <f t="shared" si="1"/>
        <v>2925</v>
      </c>
      <c r="I18" s="28">
        <f t="shared" si="2"/>
        <v>51.1875</v>
      </c>
      <c r="J18" s="23">
        <f t="shared" si="3"/>
        <v>2873.8125</v>
      </c>
    </row>
    <row r="19">
      <c r="A19" s="20">
        <v>46252.0</v>
      </c>
      <c r="B19" s="21" t="s">
        <v>41</v>
      </c>
      <c r="C19" s="37">
        <v>4.5</v>
      </c>
      <c r="D19" s="23">
        <v>1125.0</v>
      </c>
      <c r="E19" s="23">
        <v>3600.0</v>
      </c>
      <c r="F19" s="23">
        <v>0.0</v>
      </c>
      <c r="G19" s="23">
        <v>0.0</v>
      </c>
      <c r="H19" s="23">
        <f t="shared" si="1"/>
        <v>4725</v>
      </c>
      <c r="I19" s="28">
        <f t="shared" si="2"/>
        <v>82.6875</v>
      </c>
      <c r="J19" s="23">
        <f t="shared" si="3"/>
        <v>4642.3125</v>
      </c>
    </row>
    <row r="20">
      <c r="A20" s="20">
        <v>46253.0</v>
      </c>
      <c r="B20" s="21" t="s">
        <v>42</v>
      </c>
      <c r="C20" s="37">
        <v>1.0</v>
      </c>
      <c r="D20" s="23">
        <v>650.0</v>
      </c>
      <c r="E20" s="23">
        <v>0.0</v>
      </c>
      <c r="F20" s="23">
        <v>0.0</v>
      </c>
      <c r="G20" s="23">
        <v>0.0</v>
      </c>
      <c r="H20" s="23">
        <f t="shared" si="1"/>
        <v>650</v>
      </c>
      <c r="I20" s="28">
        <f t="shared" si="2"/>
        <v>11.375</v>
      </c>
      <c r="J20" s="23">
        <f t="shared" si="3"/>
        <v>638.625</v>
      </c>
    </row>
    <row r="21">
      <c r="A21" s="20">
        <v>46254.0</v>
      </c>
      <c r="B21" s="21" t="s">
        <v>43</v>
      </c>
      <c r="C21" s="37">
        <v>1.0</v>
      </c>
      <c r="D21" s="23">
        <v>650.0</v>
      </c>
      <c r="E21" s="23">
        <v>0.0</v>
      </c>
      <c r="F21" s="23">
        <v>0.0</v>
      </c>
      <c r="G21" s="23">
        <v>0.0</v>
      </c>
      <c r="H21" s="23">
        <f t="shared" si="1"/>
        <v>650</v>
      </c>
      <c r="I21" s="28">
        <f t="shared" si="2"/>
        <v>11.375</v>
      </c>
      <c r="J21" s="23">
        <f t="shared" si="3"/>
        <v>638.625</v>
      </c>
    </row>
    <row r="22">
      <c r="A22" s="20">
        <v>46255.0</v>
      </c>
      <c r="B22" s="21" t="s">
        <v>44</v>
      </c>
      <c r="C22" s="37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f t="shared" si="1"/>
        <v>0</v>
      </c>
      <c r="I22" s="28">
        <f t="shared" si="2"/>
        <v>0</v>
      </c>
      <c r="J22" s="23">
        <f t="shared" si="3"/>
        <v>0</v>
      </c>
    </row>
    <row r="23">
      <c r="A23" s="20">
        <v>46256.0</v>
      </c>
      <c r="B23" s="21" t="s">
        <v>24</v>
      </c>
      <c r="C23" s="37">
        <v>9.0</v>
      </c>
      <c r="D23" s="23">
        <v>4100.0</v>
      </c>
      <c r="E23" s="23">
        <v>4200.0</v>
      </c>
      <c r="F23" s="23">
        <v>0.0</v>
      </c>
      <c r="G23" s="23">
        <v>0.0</v>
      </c>
      <c r="H23" s="23">
        <f t="shared" si="1"/>
        <v>8300</v>
      </c>
      <c r="I23" s="28">
        <f t="shared" si="2"/>
        <v>145.25</v>
      </c>
      <c r="J23" s="23">
        <f t="shared" si="3"/>
        <v>8154.75</v>
      </c>
    </row>
    <row r="24">
      <c r="A24" s="20">
        <v>46257.0</v>
      </c>
      <c r="B24" s="21" t="s">
        <v>37</v>
      </c>
      <c r="C24" s="37">
        <v>7.0</v>
      </c>
      <c r="D24" s="23">
        <v>2525.0</v>
      </c>
      <c r="E24" s="23">
        <v>4200.0</v>
      </c>
      <c r="F24" s="23">
        <v>0.0</v>
      </c>
      <c r="G24" s="23">
        <v>0.0</v>
      </c>
      <c r="H24" s="23">
        <f t="shared" si="1"/>
        <v>6725</v>
      </c>
      <c r="I24" s="28">
        <f t="shared" si="2"/>
        <v>117.6875</v>
      </c>
      <c r="J24" s="23">
        <f t="shared" si="3"/>
        <v>6607.3125</v>
      </c>
    </row>
    <row r="25">
      <c r="A25" s="20">
        <v>46258.0</v>
      </c>
      <c r="B25" s="21" t="s">
        <v>39</v>
      </c>
      <c r="C25" s="37">
        <v>1.0</v>
      </c>
      <c r="D25" s="23">
        <v>650.0</v>
      </c>
      <c r="E25" s="23">
        <v>0.0</v>
      </c>
      <c r="F25" s="23">
        <v>0.0</v>
      </c>
      <c r="G25" s="23">
        <v>0.0</v>
      </c>
      <c r="H25" s="23">
        <f t="shared" si="1"/>
        <v>650</v>
      </c>
      <c r="I25" s="28">
        <f t="shared" si="2"/>
        <v>11.375</v>
      </c>
      <c r="J25" s="23">
        <f t="shared" si="3"/>
        <v>638.625</v>
      </c>
    </row>
    <row r="26">
      <c r="A26" s="20">
        <v>46259.0</v>
      </c>
      <c r="B26" s="21" t="s">
        <v>41</v>
      </c>
      <c r="C26" s="37">
        <v>1.0</v>
      </c>
      <c r="D26" s="23">
        <v>650.0</v>
      </c>
      <c r="E26" s="23">
        <v>0.0</v>
      </c>
      <c r="F26" s="23">
        <v>0.0</v>
      </c>
      <c r="G26" s="23">
        <v>200.0</v>
      </c>
      <c r="H26" s="23">
        <f t="shared" si="1"/>
        <v>850</v>
      </c>
      <c r="I26" s="28">
        <f t="shared" si="2"/>
        <v>14.875</v>
      </c>
      <c r="J26" s="23">
        <f t="shared" si="3"/>
        <v>835.125</v>
      </c>
    </row>
    <row r="27">
      <c r="A27" s="20">
        <v>46260.0</v>
      </c>
      <c r="B27" s="21" t="s">
        <v>42</v>
      </c>
      <c r="C27" s="37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f t="shared" si="1"/>
        <v>0</v>
      </c>
      <c r="I27" s="28">
        <f t="shared" si="2"/>
        <v>0</v>
      </c>
      <c r="J27" s="23">
        <f t="shared" si="3"/>
        <v>0</v>
      </c>
    </row>
    <row r="28">
      <c r="A28" s="20">
        <v>46261.0</v>
      </c>
      <c r="B28" s="21" t="s">
        <v>43</v>
      </c>
      <c r="C28" s="37">
        <v>2.5</v>
      </c>
      <c r="D28" s="23">
        <v>0.0</v>
      </c>
      <c r="E28" s="23">
        <v>3500.0</v>
      </c>
      <c r="F28" s="23">
        <v>0.0</v>
      </c>
      <c r="G28" s="23">
        <v>0.0</v>
      </c>
      <c r="H28" s="23">
        <f t="shared" si="1"/>
        <v>3500</v>
      </c>
      <c r="I28" s="28">
        <f t="shared" si="2"/>
        <v>61.25</v>
      </c>
      <c r="J28" s="23">
        <f t="shared" si="3"/>
        <v>3438.75</v>
      </c>
    </row>
    <row r="29">
      <c r="A29" s="20">
        <v>46262.0</v>
      </c>
      <c r="B29" s="21" t="s">
        <v>44</v>
      </c>
      <c r="C29" s="37">
        <v>2.0</v>
      </c>
      <c r="D29" s="23">
        <v>850.0</v>
      </c>
      <c r="E29" s="23">
        <v>1398.0</v>
      </c>
      <c r="F29" s="23">
        <v>0.0</v>
      </c>
      <c r="G29" s="23">
        <v>0.0</v>
      </c>
      <c r="H29" s="23">
        <f t="shared" si="1"/>
        <v>2248</v>
      </c>
      <c r="I29" s="28">
        <f t="shared" si="2"/>
        <v>39.34</v>
      </c>
      <c r="J29" s="23">
        <f t="shared" si="3"/>
        <v>2208.66</v>
      </c>
    </row>
    <row r="30">
      <c r="A30" s="20">
        <v>46263.0</v>
      </c>
      <c r="B30" s="21" t="s">
        <v>24</v>
      </c>
      <c r="C30" s="37">
        <v>7.5</v>
      </c>
      <c r="D30" s="23">
        <v>3300.0</v>
      </c>
      <c r="E30" s="23">
        <v>3500.0</v>
      </c>
      <c r="F30" s="23">
        <v>0.0</v>
      </c>
      <c r="G30" s="23">
        <v>0.0</v>
      </c>
      <c r="H30" s="23">
        <f t="shared" si="1"/>
        <v>6800</v>
      </c>
      <c r="I30" s="28">
        <f t="shared" si="2"/>
        <v>119</v>
      </c>
      <c r="J30" s="23">
        <f t="shared" si="3"/>
        <v>6681</v>
      </c>
    </row>
    <row r="31">
      <c r="A31" s="20">
        <v>46264.0</v>
      </c>
      <c r="B31" s="21" t="s">
        <v>37</v>
      </c>
      <c r="C31" s="22">
        <v>5.5</v>
      </c>
      <c r="D31" s="62">
        <v>3625.0</v>
      </c>
      <c r="E31" s="62">
        <v>0.0</v>
      </c>
      <c r="F31" s="62">
        <v>0.0</v>
      </c>
      <c r="G31" s="62">
        <v>0.0</v>
      </c>
      <c r="H31" s="23">
        <f t="shared" si="1"/>
        <v>3625</v>
      </c>
      <c r="I31" s="28">
        <f t="shared" si="2"/>
        <v>63.4375</v>
      </c>
      <c r="J31" s="23">
        <f t="shared" si="3"/>
        <v>3561.5625</v>
      </c>
    </row>
    <row r="32">
      <c r="A32" s="20">
        <v>46265.0</v>
      </c>
      <c r="B32" s="21" t="s">
        <v>39</v>
      </c>
      <c r="C32" s="22">
        <v>0.0</v>
      </c>
      <c r="D32" s="62">
        <v>0.0</v>
      </c>
      <c r="E32" s="62">
        <v>0.0</v>
      </c>
      <c r="F32" s="62">
        <v>0.0</v>
      </c>
      <c r="G32" s="62">
        <v>0.0</v>
      </c>
      <c r="H32" s="23">
        <f t="shared" si="1"/>
        <v>0</v>
      </c>
      <c r="I32" s="28">
        <f t="shared" si="2"/>
        <v>0</v>
      </c>
      <c r="J32" s="23">
        <f t="shared" si="3"/>
        <v>0</v>
      </c>
    </row>
    <row r="33">
      <c r="A33" s="41" t="s">
        <v>19</v>
      </c>
      <c r="B33" s="41"/>
      <c r="C33" s="64"/>
      <c r="D33" s="41">
        <f t="shared" ref="D33:J33" si="4">SUM(D2:D32)</f>
        <v>55300</v>
      </c>
      <c r="E33" s="41">
        <f t="shared" si="4"/>
        <v>47434</v>
      </c>
      <c r="F33" s="41">
        <f t="shared" si="4"/>
        <v>450</v>
      </c>
      <c r="G33" s="41">
        <f t="shared" si="4"/>
        <v>200</v>
      </c>
      <c r="H33" s="41">
        <f t="shared" si="4"/>
        <v>103384</v>
      </c>
      <c r="I33" s="41">
        <f t="shared" si="4"/>
        <v>1809.22</v>
      </c>
      <c r="J33" s="41">
        <f t="shared" si="4"/>
        <v>101574.78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8" t="s">
        <v>1</v>
      </c>
      <c r="B1" s="6" t="s">
        <v>2</v>
      </c>
      <c r="C1" s="6" t="s">
        <v>25</v>
      </c>
      <c r="D1" s="6" t="s">
        <v>26</v>
      </c>
      <c r="E1" s="25" t="s">
        <v>27</v>
      </c>
      <c r="F1" s="6" t="s">
        <v>17</v>
      </c>
      <c r="G1" s="6" t="s">
        <v>28</v>
      </c>
      <c r="H1" s="6" t="s">
        <v>29</v>
      </c>
      <c r="I1" s="6" t="s">
        <v>31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9"/>
      <c r="B2" s="16" t="s">
        <v>0</v>
      </c>
      <c r="C2" s="19">
        <v>61103.0</v>
      </c>
      <c r="D2" s="19">
        <v>4310.0</v>
      </c>
      <c r="E2" s="30">
        <v>775.0</v>
      </c>
      <c r="F2" s="35">
        <f>C2-D2-E2</f>
        <v>56018</v>
      </c>
      <c r="G2" s="19">
        <v>308.0</v>
      </c>
      <c r="H2" s="19">
        <v>61.0</v>
      </c>
      <c r="I2" s="19">
        <f>F2-G2-H2</f>
        <v>55649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9"/>
      <c r="B3" s="41" t="s">
        <v>19</v>
      </c>
      <c r="C3" s="42">
        <f t="shared" ref="C3:F3" si="1">SUM(C2)</f>
        <v>61103</v>
      </c>
      <c r="D3" s="42">
        <f t="shared" si="1"/>
        <v>4310</v>
      </c>
      <c r="E3" s="42">
        <f t="shared" si="1"/>
        <v>775</v>
      </c>
      <c r="F3" s="48">
        <f t="shared" si="1"/>
        <v>56018</v>
      </c>
      <c r="G3" s="50"/>
      <c r="H3" s="50"/>
      <c r="I3" s="42">
        <f>SUM(I2)</f>
        <v>55649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53" t="s">
        <v>21</v>
      </c>
      <c r="B5" s="53">
        <v>38123.0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53" t="s">
        <v>23</v>
      </c>
      <c r="B6" s="55">
        <f>C3-B5</f>
        <v>22980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5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3" max="3" width="15.0"/>
    <col customWidth="1" min="4" max="5" width="15.25"/>
  </cols>
  <sheetData>
    <row r="1">
      <c r="A1" s="6" t="s">
        <v>3</v>
      </c>
      <c r="B1" s="6" t="s">
        <v>7</v>
      </c>
      <c r="C1" s="6" t="s">
        <v>8</v>
      </c>
      <c r="D1" s="10" t="s">
        <v>10</v>
      </c>
      <c r="E1" s="12" t="s">
        <v>14</v>
      </c>
      <c r="F1" s="12" t="s">
        <v>17</v>
      </c>
    </row>
    <row r="2">
      <c r="A2" s="11" t="s">
        <v>18</v>
      </c>
      <c r="B2" s="16" t="s">
        <v>20</v>
      </c>
      <c r="C2" s="16" t="s">
        <v>22</v>
      </c>
      <c r="D2" s="19">
        <v>12000.0</v>
      </c>
      <c r="E2" s="28">
        <f t="shared" ref="E2:E3" si="1">D2*1.75%</f>
        <v>210</v>
      </c>
      <c r="F2" s="23">
        <f t="shared" ref="F2:F4" si="2">D2-E2</f>
        <v>11790</v>
      </c>
    </row>
    <row r="3">
      <c r="A3" s="31" t="s">
        <v>32</v>
      </c>
      <c r="B3" s="16" t="s">
        <v>21</v>
      </c>
      <c r="C3" s="16" t="s">
        <v>33</v>
      </c>
      <c r="D3" s="19">
        <v>12000.0</v>
      </c>
      <c r="E3" s="28">
        <f t="shared" si="1"/>
        <v>210</v>
      </c>
      <c r="F3" s="23">
        <f t="shared" si="2"/>
        <v>11790</v>
      </c>
    </row>
    <row r="4">
      <c r="A4" s="33" t="s">
        <v>34</v>
      </c>
      <c r="B4" s="34" t="s">
        <v>35</v>
      </c>
      <c r="C4" s="34" t="s">
        <v>36</v>
      </c>
      <c r="D4" s="36">
        <v>18800.0</v>
      </c>
      <c r="E4" s="28">
        <v>0.0</v>
      </c>
      <c r="F4" s="23">
        <f t="shared" si="2"/>
        <v>18800</v>
      </c>
    </row>
    <row r="5">
      <c r="A5" s="38" t="s">
        <v>19</v>
      </c>
      <c r="B5" s="40"/>
      <c r="C5" s="40"/>
      <c r="D5" s="43">
        <f t="shared" ref="D5:F5" si="3">SUM(D2:D4)</f>
        <v>42800</v>
      </c>
      <c r="E5" s="45">
        <f t="shared" si="3"/>
        <v>420</v>
      </c>
      <c r="F5" s="47">
        <f t="shared" si="3"/>
        <v>42380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5"/>
    <col customWidth="1" min="3" max="3" width="19.0"/>
  </cols>
  <sheetData>
    <row r="1">
      <c r="A1" s="13" t="s">
        <v>58</v>
      </c>
      <c r="B1" s="13" t="s">
        <v>59</v>
      </c>
      <c r="C1" s="13" t="s">
        <v>60</v>
      </c>
      <c r="D1" s="13" t="s">
        <v>61</v>
      </c>
      <c r="E1" s="13" t="s">
        <v>62</v>
      </c>
      <c r="F1" s="6" t="s">
        <v>64</v>
      </c>
      <c r="G1" s="14" t="s">
        <v>14</v>
      </c>
      <c r="H1" s="12" t="s">
        <v>17</v>
      </c>
    </row>
    <row r="2">
      <c r="A2" s="11" t="s">
        <v>65</v>
      </c>
      <c r="B2" s="11" t="s">
        <v>66</v>
      </c>
      <c r="C2" s="11" t="s">
        <v>67</v>
      </c>
      <c r="D2" s="11" t="s">
        <v>68</v>
      </c>
      <c r="E2" s="11" t="s">
        <v>69</v>
      </c>
      <c r="F2" s="36">
        <v>2560.0</v>
      </c>
      <c r="G2" s="28">
        <f>F2*1.75%</f>
        <v>44.8</v>
      </c>
      <c r="H2" s="23">
        <f>F2-G2</f>
        <v>2515.2</v>
      </c>
    </row>
  </sheetData>
  <drawing r:id="rId1"/>
</worksheet>
</file>