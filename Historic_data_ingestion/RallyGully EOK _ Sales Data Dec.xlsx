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Khelomore" sheetId="5" r:id="rId9"/>
    <sheet state="visible" name="District" sheetId="6" r:id="rId10"/>
    <sheet state="visible" name="Misfits" sheetId="7" r:id="rId11"/>
    <sheet state="visible" name="Sportomic" sheetId="8" r:id="rId12"/>
    <sheet state="visible" name="Memberships" sheetId="9" r:id="rId13"/>
    <sheet state="visible" name="Brand Activation" sheetId="10" r:id="rId14"/>
    <sheet state="visible" name="Other Income" sheetId="11" r:id="rId15"/>
  </sheets>
  <definedNames/>
  <calcPr/>
</workbook>
</file>

<file path=xl/sharedStrings.xml><?xml version="1.0" encoding="utf-8"?>
<sst xmlns="http://schemas.openxmlformats.org/spreadsheetml/2006/main" count="149" uniqueCount="93">
  <si>
    <t>Date: 1st - 31st Dec</t>
  </si>
  <si>
    <t>Particulars</t>
  </si>
  <si>
    <t>Amount</t>
  </si>
  <si>
    <t>Offline</t>
  </si>
  <si>
    <t>Rentals</t>
  </si>
  <si>
    <t>F&amp;B</t>
  </si>
  <si>
    <t>Product Sales</t>
  </si>
  <si>
    <t>Bookings</t>
  </si>
  <si>
    <t>Online: Third Party Platform</t>
  </si>
  <si>
    <t>Hudle</t>
  </si>
  <si>
    <t>Playo</t>
  </si>
  <si>
    <t>District</t>
  </si>
  <si>
    <t>Khelomore</t>
  </si>
  <si>
    <t>Community</t>
  </si>
  <si>
    <t>Courtly</t>
  </si>
  <si>
    <t>Sportomic</t>
  </si>
  <si>
    <t>Rallygully Community games</t>
  </si>
  <si>
    <t>Misfits Community</t>
  </si>
  <si>
    <t>Memberships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</si>
  <si>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</si>
  <si>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</si>
  <si>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</si>
  <si>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</si>
  <si>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</si>
  <si>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Taxes</t>
  </si>
  <si>
    <t>Expenses</t>
  </si>
  <si>
    <t>Venue Manager + Cleaner</t>
  </si>
  <si>
    <t>Marketing, Branding &amp; Community</t>
  </si>
  <si>
    <t>Total Expenses</t>
  </si>
  <si>
    <t>Net Profit (Revenue - Expenses)</t>
  </si>
  <si>
    <t>School's Profit Share (65%)</t>
  </si>
  <si>
    <t>RallyGully's Profit Share (35%)</t>
  </si>
  <si>
    <t>Date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</si>
  <si>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</si>
  <si>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</si>
  <si>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</si>
  <si>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</si>
  <si>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</si>
  <si>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</si>
  <si>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Total Revenue</t>
  </si>
  <si>
    <t>Monday</t>
  </si>
  <si>
    <t>Tuesday</t>
  </si>
  <si>
    <t>Wednesday</t>
  </si>
  <si>
    <t>Thursday</t>
  </si>
  <si>
    <t>Friday</t>
  </si>
  <si>
    <t>Saturday</t>
  </si>
  <si>
    <t>Sunday</t>
  </si>
  <si>
    <t>Total</t>
  </si>
  <si>
    <t>Link</t>
  </si>
  <si>
    <t>Paid to Hudle</t>
  </si>
  <si>
    <t>Commisions (Including GST)</t>
  </si>
  <si>
    <t>Net Revenue</t>
  </si>
  <si>
    <t>TDS</t>
  </si>
  <si>
    <t>TCS</t>
  </si>
  <si>
    <t>1 - 8 Dec</t>
  </si>
  <si>
    <t>9 - 16 Dec</t>
  </si>
  <si>
    <t>16 - 23 Dec</t>
  </si>
  <si>
    <t>23 - 30 Dec</t>
  </si>
  <si>
    <t>30 - 31 Dec</t>
  </si>
  <si>
    <r>
      <rPr>
        <rFont val="Arial"/>
        <b/>
        <color rgb="FF1155CC"/>
        <u/>
      </rPr>
      <t>Link</t>
    </r>
    <r>
      <rPr>
        <rFont val="Arial"/>
        <b/>
      </rPr>
      <t xml:space="preserve"> </t>
    </r>
  </si>
  <si>
    <t>Paid to Playo (₹)</t>
  </si>
  <si>
    <t>Commissions (₹)</t>
  </si>
  <si>
    <t>GST (₹)</t>
  </si>
  <si>
    <t>TDS (₹)</t>
  </si>
  <si>
    <t>TCS (₹)</t>
  </si>
  <si>
    <t>Final Amount (₹)</t>
  </si>
  <si>
    <t>1 - 6 Dec</t>
  </si>
  <si>
    <t>7 - 21 Dec</t>
  </si>
  <si>
    <t>22 - 31 Dec</t>
  </si>
  <si>
    <t>Paid to Khelomore (₹)</t>
  </si>
  <si>
    <t>1 - 31 Dec</t>
  </si>
  <si>
    <t>Paid to District</t>
  </si>
  <si>
    <t>GST on Commission</t>
  </si>
  <si>
    <t>Paid to Misfits (₹)</t>
  </si>
  <si>
    <t>Post Comission (20%)</t>
  </si>
  <si>
    <t xml:space="preserve">TDS </t>
  </si>
  <si>
    <t>1 - 31st Dec</t>
  </si>
  <si>
    <t>Paid to Sportomic (₹)</t>
  </si>
  <si>
    <t>Sports Type</t>
  </si>
  <si>
    <t>Membership Type</t>
  </si>
  <si>
    <t>Start Date</t>
  </si>
  <si>
    <t>Amount Collected</t>
  </si>
  <si>
    <t>Pickleball</t>
  </si>
  <si>
    <t>Coaching</t>
  </si>
  <si>
    <t xml:space="preserve">Date </t>
  </si>
  <si>
    <t>Brand Name</t>
  </si>
  <si>
    <t>Type of collab</t>
  </si>
  <si>
    <t>Savikalpa</t>
  </si>
  <si>
    <t>Christmas Event</t>
  </si>
  <si>
    <t>Sweetlifey</t>
  </si>
  <si>
    <t>Ticket Sale</t>
  </si>
  <si>
    <t xml:space="preserve">Sports </t>
  </si>
  <si>
    <t>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</si>
</sst>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&gt;9999999][$₹]##\,##\,##\,##0;[&gt;99999][$₹]##\,##\,##0;[$₹]##,##0"/>
    <numFmt numFmtId="165" formatCode="d mmm"/>
    <numFmt numFmtId="166" formatCode="[$₹]#,##0.00"/>
    <numFmt numFmtId="167" formatCode="[&gt;9999999][$₹]##\,##\,##\,##0.00;[&gt;99999][$₹]##\,##\,##0.00;[$₹]##,##0.00"/>
  </numFmts>
  <fonts count="12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color theme="1"/>
      <name val="Arial"/>
      <scheme val="minor"/>
    </font>
    <font>
      <b/>
      <u/>
      <color rgb="FF0000FF"/>
      <name val="Arial"/>
    </font>
    <font>
      <color rgb="FF000000"/>
      <name val="Arial"/>
    </font>
    <font>
      <sz val="10.0"/>
      <color theme="1"/>
      <name val="Arial"/>
    </font>
    <font>
      <b/>
      <sz val="11.0"/>
      <color theme="1"/>
      <name val="Calibri"/>
    </font>
    <font>
      <b/>
      <u/>
      <color rgb="FF1155CC"/>
      <name val="Arial"/>
    </font>
    <font>
      <b/>
      <u/>
      <color rgb="FF0000FF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3" fillId="0" fontId="1" numFmtId="164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vertical="bottom"/>
    </xf>
    <xf borderId="3" fillId="0" fontId="3" numFmtId="164" xfId="0" applyAlignment="1" applyBorder="1" applyFont="1" applyNumberFormat="1">
      <alignment horizontal="right" vertical="bottom"/>
    </xf>
    <xf borderId="3" fillId="0" fontId="3" numFmtId="164" xfId="0" applyAlignment="1" applyBorder="1" applyFont="1" applyNumberFormat="1">
      <alignment horizontal="right" readingOrder="0" vertical="bottom"/>
    </xf>
    <xf borderId="3" fillId="0" fontId="1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readingOrder="0" shrinkToFit="0" vertical="bottom" wrapText="1"/>
    </xf>
    <xf borderId="3" fillId="0" fontId="1" numFmtId="3" xfId="0" applyAlignment="1" applyBorder="1" applyFont="1" applyNumberFormat="1">
      <alignment horizontal="right" vertical="bottom"/>
    </xf>
    <xf borderId="0" fillId="2" fontId="1" numFmtId="165" xfId="0" applyAlignment="1" applyFill="1" applyFont="1" applyNumberForma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2" fontId="1" numFmtId="9" xfId="0" applyAlignment="1" applyFill="1" applyFont="1" applyNumberFormat="1">
      <alignment horizontal="center" vertical="bottom"/>
    </xf>
    <xf borderId="0" fillId="2" fontId="1" numFmtId="3" xfId="0" applyAlignment="1" applyFill="1" applyFont="1" applyNumberForma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9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3" fontId="3" numFmtId="165" xfId="0" applyAlignment="1" applyFill="1" applyFont="1" applyNumberFormat="1">
      <alignment horizontal="right" vertical="bottom"/>
    </xf>
    <xf borderId="0" fillId="3" fontId="3" numFmtId="0" xfId="0" applyAlignment="1" applyFill="1" applyFont="1">
      <alignment vertical="bottom"/>
    </xf>
    <xf borderId="0" fillId="3" fontId="3" numFmtId="9" xfId="0" applyAlignment="1" applyFill="1" applyFont="1" applyNumberFormat="1">
      <alignment horizontal="right" vertical="bottom"/>
    </xf>
    <xf borderId="0" fillId="3" fontId="3" numFmtId="3" xfId="0" applyAlignment="1" applyFill="1" applyFont="1" applyNumberFormat="1">
      <alignment vertical="bottom"/>
    </xf>
    <xf borderId="0" fillId="3" fontId="3" numFmtId="0" xfId="0" applyAlignment="1" applyFill="1" applyFont="1">
      <alignment vertical="bottom"/>
    </xf>
    <xf borderId="0" fillId="3" fontId="3" numFmtId="3" xfId="0" applyAlignment="1" applyFill="1" applyFont="1" applyNumberFormat="1">
      <alignment horizontal="right" vertical="bottom"/>
    </xf>
    <xf borderId="0" fillId="3" fontId="3" numFmtId="0" xfId="0" applyAlignment="1" applyFill="1" applyFont="1">
      <alignment horizontal="right" vertical="bottom"/>
    </xf>
    <xf borderId="0" fillId="4" fontId="3" numFmtId="165" xfId="0" applyAlignment="1" applyFill="1" applyFont="1" applyNumberFormat="1">
      <alignment horizontal="right" vertical="bottom"/>
    </xf>
    <xf borderId="0" fillId="4" fontId="3" numFmtId="0" xfId="0" applyAlignment="1" applyFill="1" applyFont="1">
      <alignment vertical="bottom"/>
    </xf>
    <xf borderId="0" fillId="0" fontId="4" numFmtId="0" xfId="0" applyFont="1"/>
    <xf borderId="0" fillId="2" fontId="1" numFmtId="0" xfId="0" applyAlignment="1" applyFill="1" applyFont="1">
      <alignment horizontal="center" vertical="bottom"/>
    </xf>
    <xf borderId="0" fillId="2" fontId="3" numFmtId="0" xfId="0" applyAlignment="1" applyFill="1" applyFont="1">
      <alignment vertical="bottom"/>
    </xf>
    <xf borderId="0" fillId="2" fontId="3" numFmtId="9" xfId="0" applyAlignment="1" applyFill="1" applyFont="1" applyNumberFormat="1">
      <alignment vertical="bottom"/>
    </xf>
    <xf borderId="0" fillId="2" fontId="5" numFmtId="0" xfId="0" applyAlignment="1" applyFill="1" applyFont="1">
      <alignment horizontal="center" readingOrder="0" vertical="bottom"/>
    </xf>
    <xf borderId="3" fillId="2" fontId="1" numFmtId="0" xfId="0" applyAlignment="1" applyBorder="1" applyFill="1" applyFont="1">
      <alignment horizontal="center" vertical="bottom"/>
    </xf>
    <xf borderId="3" fillId="2" fontId="1" numFmtId="166" xfId="0" applyAlignment="1" applyBorder="1" applyFill="1" applyFont="1" applyNumberFormat="1">
      <alignment horizontal="center" vertical="bottom"/>
    </xf>
    <xf borderId="0" fillId="0" fontId="6" numFmtId="0" xfId="0" applyAlignment="1" applyFont="1">
      <alignment shrinkToFit="0" vertical="bottom" wrapText="0"/>
    </xf>
    <xf borderId="3" fillId="0" fontId="3" numFmtId="167" xfId="0" applyAlignment="1" applyBorder="1" applyFont="1" applyNumberFormat="1">
      <alignment horizontal="right" readingOrder="0" vertical="bottom"/>
    </xf>
    <xf borderId="3" fillId="0" fontId="3" numFmtId="167" xfId="0" applyAlignment="1" applyBorder="1" applyFont="1" applyNumberFormat="1">
      <alignment horizontal="right" vertical="bottom"/>
    </xf>
    <xf borderId="3" fillId="0" fontId="3" numFmtId="166" xfId="0" applyAlignment="1" applyBorder="1" applyFont="1" applyNumberFormat="1">
      <alignment readingOrder="0" vertical="bottom"/>
    </xf>
    <xf borderId="0" fillId="0" fontId="3" numFmtId="166" xfId="0" applyAlignment="1" applyFont="1" applyNumberFormat="1">
      <alignment vertical="bottom"/>
    </xf>
    <xf borderId="3" fillId="0" fontId="3" numFmtId="166" xfId="0" applyAlignment="1" applyBorder="1" applyFont="1" applyNumberFormat="1">
      <alignment horizontal="right" readingOrder="0" vertical="bottom"/>
    </xf>
    <xf borderId="0" fillId="0" fontId="3" numFmtId="166" xfId="0" applyAlignment="1" applyFont="1" applyNumberFormat="1">
      <alignment readingOrder="0" vertical="bottom"/>
    </xf>
    <xf borderId="3" fillId="0" fontId="1" numFmtId="167" xfId="0" applyAlignment="1" applyBorder="1" applyFont="1" applyNumberFormat="1">
      <alignment horizontal="right" vertical="bottom"/>
    </xf>
    <xf borderId="3" fillId="0" fontId="1" numFmtId="166" xfId="0" applyAlignment="1" applyBorder="1" applyFont="1" applyNumberFormat="1">
      <alignment horizontal="right" vertical="bottom"/>
    </xf>
    <xf borderId="3" fillId="0" fontId="7" numFmtId="166" xfId="0" applyAlignment="1" applyBorder="1" applyFont="1" applyNumberFormat="1">
      <alignment readingOrder="0" shrinkToFit="0" vertical="bottom" wrapText="0"/>
    </xf>
    <xf borderId="3" fillId="0" fontId="3" numFmtId="167" xfId="0" applyAlignment="1" applyBorder="1" applyFont="1" applyNumberFormat="1">
      <alignment horizontal="right" readingOrder="0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3" fillId="0" fontId="3" numFmtId="4" xfId="0" applyAlignment="1" applyBorder="1" applyFont="1" applyNumberFormat="1">
      <alignment readingOrder="0" vertical="bottom"/>
    </xf>
    <xf borderId="0" fillId="0" fontId="3" numFmtId="4" xfId="0" applyAlignment="1" applyFont="1" applyNumberFormat="1">
      <alignment vertical="bottom"/>
    </xf>
    <xf borderId="3" fillId="0" fontId="3" numFmtId="4" xfId="0" applyAlignment="1" applyBorder="1" applyFont="1" applyNumberFormat="1">
      <alignment vertical="bottom"/>
    </xf>
    <xf borderId="3" fillId="0" fontId="1" numFmtId="4" xfId="0" applyAlignment="1" applyBorder="1" applyFont="1" applyNumberFormat="1">
      <alignment horizontal="right" vertical="bottom"/>
    </xf>
    <xf borderId="3" fillId="0" fontId="1" numFmtId="167" xfId="0" applyAlignment="1" applyBorder="1" applyFont="1" applyNumberFormat="1">
      <alignment vertical="bottom"/>
    </xf>
    <xf borderId="0" fillId="0" fontId="3" numFmtId="0" xfId="0" applyAlignment="1" applyFont="1">
      <alignment readingOrder="0" vertical="bottom"/>
    </xf>
    <xf borderId="3" fillId="0" fontId="8" numFmtId="0" xfId="0" applyAlignment="1" applyBorder="1" applyFont="1">
      <alignment horizontal="right" vertical="bottom"/>
    </xf>
    <xf borderId="0" fillId="2" fontId="9" numFmtId="0" xfId="0" applyAlignment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0" fillId="2" fontId="8" numFmtId="0" xfId="0" applyAlignment="1" applyFill="1" applyFont="1">
      <alignment vertical="bottom"/>
    </xf>
    <xf borderId="0" fillId="0" fontId="3" numFmtId="165" xfId="0" applyAlignment="1" applyFont="1" applyNumberFormat="1">
      <alignment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readingOrder="0" vertical="bottom"/>
    </xf>
    <xf borderId="3" fillId="0" fontId="1" numFmtId="0" xfId="0" applyAlignment="1" applyBorder="1" applyFont="1">
      <alignment horizontal="right" vertical="bottom"/>
    </xf>
    <xf borderId="3" fillId="2" fontId="10" numFmtId="0" xfId="0" applyAlignment="1" applyBorder="1" applyFill="1" applyFont="1">
      <alignment horizontal="center" readingOrder="0" vertical="bottom"/>
    </xf>
    <xf borderId="3" fillId="2" fontId="1" numFmtId="0" xfId="0" applyAlignment="1" applyBorder="1" applyFill="1" applyFont="1">
      <alignment horizontal="center" readingOrder="0" vertical="bottom"/>
    </xf>
    <xf borderId="3" fillId="0" fontId="11" numFmtId="0" xfId="0" applyBorder="1" applyFont="1"/>
    <xf borderId="3" fillId="0" fontId="1" numFmtId="164" xfId="0" applyAlignment="1" applyBorder="1" applyFont="1" applyNumberFormat="1">
      <alignment horizontal="right" readingOrder="0" vertical="bottom"/>
    </xf>
    <xf borderId="3" fillId="0" fontId="11" numFmtId="165" xfId="0" applyAlignment="1" applyBorder="1" applyFont="1" applyNumberFormat="1">
      <alignment readingOrder="0"/>
    </xf>
    <xf borderId="3" fillId="0" fontId="11" numFmtId="0" xfId="0" applyAlignment="1" applyBorder="1" applyFont="1">
      <alignment readingOrder="0"/>
    </xf>
    <xf borderId="3" fillId="0" fontId="3" numFmtId="165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horizontal="right" vertical="bottom"/>
    </xf>
    <xf borderId="3" fillId="0" fontId="4" numFmtId="164" xfId="0" applyBorder="1" applyFont="1" applyNumberFormat="1"/>
    <xf borderId="3" fillId="2" fontId="1" numFmtId="0" xfId="0" applyAlignment="1" applyBorder="1" applyFill="1" applyFon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2" fontId="4" numFmtId="166" xfId="0" applyAlignment="1" applyFill="1" applyFont="1" applyNumberFormat="1">
      <alignment horizontal="center" readingOrder="0"/>
    </xf>
    <xf borderId="0" fillId="0" fontId="11" numFmtId="165" xfId="0" applyAlignment="1" applyFont="1" applyNumberFormat="1">
      <alignment horizontal="left" readingOrder="0"/>
    </xf>
    <xf borderId="0" fillId="0" fontId="11" numFmtId="166" xfId="0" applyAlignment="1" applyFont="1" applyNumberFormat="1">
      <alignment horizontal="left" readingOrder="0"/>
    </xf>
    <xf borderId="0" fillId="0" fontId="11" numFmtId="166" xfId="0" applyFont="1" applyNumberFormat="1"/>
    <xf borderId="0" fillId="0" fontId="4" numFmtId="166" xfId="0" applyFont="1" applyNumberFormat="1"/>
    <xf borderId="0" fillId="0" fontId="1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cOmxwwsynRu2D6yOxCEl0-u_xBGbHjb2dvqz-i-zpI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KU1ST88wC7Rvh2DmccLuArchm6aZ5NOnNP50kPnRl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9Wa28gIIbCIp9MAL_vgaQwWHx04GsbZsnm-w7Q_JWg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2pvBujn3IjAb-R7nOaYEMb8OmgYxmTGC8vXRMXJqBo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1cbUxpHn7B902POJxt69whOjj19fSBEJ8Obpkw120I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1cbUxpHn7B902POJxt69whOjj19fSBEJ8Obpkw120I/edit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1" t="s">
        <v>0</v>
      </c>
      <c r="C2" s="2"/>
    </row>
    <row r="3">
      <c r="B3" s="3" t="s">
        <v>1</v>
      </c>
      <c r="C3" s="3" t="s">
        <v>2</v>
      </c>
    </row>
    <row r="4">
      <c r="B4" s="4" t="s">
        <v>3</v>
      </c>
      <c r="C4" s="5">
        <f>SUM(C5,C6,C7,C8)</f>
        <v>23250</v>
      </c>
    </row>
    <row r="5" outlineLevel="1">
      <c r="B5" s="6" t="s">
        <v>4</v>
      </c>
      <c r="C5" s="7">
        <f>'Offline &amp; RG Community'!G33</f>
        <v>6150</v>
      </c>
    </row>
    <row r="6" outlineLevel="1">
      <c r="B6" s="6" t="s">
        <v>5</v>
      </c>
      <c r="C6" s="7">
        <f>'Offline &amp; RG Community'!H33</f>
        <v>460</v>
      </c>
    </row>
    <row r="7" outlineLevel="1">
      <c r="B7" s="6" t="s">
        <v>6</v>
      </c>
      <c r="C7" s="7">
        <v>0.0</v>
      </c>
    </row>
    <row r="8" outlineLevel="1">
      <c r="B8" s="6" t="s">
        <v>7</v>
      </c>
      <c r="C8" s="8">
        <f>'Offline &amp; RG Community'!E33</f>
        <v>16640</v>
      </c>
    </row>
    <row r="9">
      <c r="B9" s="4" t="s">
        <v>8</v>
      </c>
      <c r="C9" s="5">
        <f>SUM(C10:C13)</f>
        <v>54376</v>
      </c>
    </row>
    <row r="10" outlineLevel="1">
      <c r="B10" s="6" t="s">
        <v>9</v>
      </c>
      <c r="C10" s="7">
        <f>Hudle!C7</f>
        <v>38450</v>
      </c>
    </row>
    <row r="11" outlineLevel="1">
      <c r="B11" s="6" t="s">
        <v>10</v>
      </c>
      <c r="C11" s="7">
        <f>Playo!C6</f>
        <v>6326</v>
      </c>
    </row>
    <row r="12" outlineLevel="1">
      <c r="B12" s="6" t="s">
        <v>11</v>
      </c>
      <c r="C12" s="7">
        <f>District!C2</f>
        <v>6000</v>
      </c>
    </row>
    <row r="13" outlineLevel="1">
      <c r="B13" s="6" t="s">
        <v>12</v>
      </c>
      <c r="C13" s="7">
        <f>Khelomore!C4</f>
        <v>3600</v>
      </c>
    </row>
    <row r="14">
      <c r="B14" s="9" t="s">
        <v>13</v>
      </c>
      <c r="C14" s="5">
        <f>SUM(C16,C17,C18)</f>
        <v>12399</v>
      </c>
    </row>
    <row r="15" outlineLevel="1">
      <c r="B15" s="10" t="s">
        <v>14</v>
      </c>
      <c r="C15" s="8">
        <v>0.0</v>
      </c>
    </row>
    <row r="16" outlineLevel="1">
      <c r="B16" s="10" t="s">
        <v>15</v>
      </c>
      <c r="C16" s="7">
        <f>Sportomic!C6</f>
        <v>8100</v>
      </c>
    </row>
    <row r="17" outlineLevel="1">
      <c r="B17" s="6" t="s">
        <v>16</v>
      </c>
      <c r="C17" s="8">
        <f>'Offline &amp; RG Community'!F33</f>
        <v>450</v>
      </c>
    </row>
    <row r="18" outlineLevel="1">
      <c r="B18" s="6" t="s">
        <v>17</v>
      </c>
      <c r="C18" s="7">
        <f>Misfits!C6</f>
        <v>3849</v>
      </c>
    </row>
    <row r="19">
      <c r="B19" s="4" t="s">
        <v>18</v>
      </c>
      <c r="C19" s="8">
        <f>Memberships!D2</f>
        <v>10000</v>
      </c>
    </row>
    <row r="20">
      <c r="B20" s="6" t="s">
        <v>19</v>
      </c>
      <c r="C20" s="8">
        <v>0.0</v>
      </c>
    </row>
    <row r="21">
      <c r="B21" s="6" t="s">
        <v>20</v>
      </c>
      <c r="C21" s="8">
        <f>'Brand Activation'!C5</f>
        <v>23313</v>
      </c>
    </row>
    <row r="22">
      <c r="B22" s="11" t="s">
        <v>21</v>
      </c>
      <c r="C22" s="12">
        <v>0.0</v>
      </c>
    </row>
    <row r="23">
      <c r="B23" s="4" t="s">
        <v>22</v>
      </c>
      <c r="C23" s="5">
        <f>sum(C4,C9,C14,C19,C20,C21,C22)</f>
        <v>123338</v>
      </c>
    </row>
    <row r="24">
      <c r="B24" s="13" t="s">
        <v>23</v>
      </c>
      <c r="C24" s="14">
        <f>'Offline &amp; RG Community'!I33 + Hudle!E7 + Playo!F6 + Khelomore!E4 + District!F4 + Sportomic!C6 + 'Brand Activation'!C5  +Misfits!F6 +Memberships!D2</f>
        <v>117393.28</v>
      </c>
    </row>
    <row r="25">
      <c r="B25" s="9" t="s">
        <v>24</v>
      </c>
      <c r="C25" s="5">
        <f>C24/1.18</f>
        <v>99485.83051</v>
      </c>
    </row>
    <row r="26">
      <c r="B26" s="9" t="s">
        <v>25</v>
      </c>
      <c r="C26" s="5"/>
    </row>
    <row r="27">
      <c r="B27" s="10" t="s">
        <v>26</v>
      </c>
      <c r="C27" s="8">
        <v>34100.0</v>
      </c>
    </row>
    <row r="28">
      <c r="B28" s="10" t="s">
        <v>27</v>
      </c>
      <c r="C28" s="8">
        <v>15000.0</v>
      </c>
    </row>
    <row r="29">
      <c r="B29" s="9" t="s">
        <v>28</v>
      </c>
      <c r="C29" s="5">
        <f>C27+C28</f>
        <v>49100</v>
      </c>
    </row>
    <row r="30">
      <c r="B30" s="9" t="s">
        <v>29</v>
      </c>
      <c r="C30" s="5">
        <f>C25-C29</f>
        <v>50385.83051</v>
      </c>
    </row>
    <row r="31">
      <c r="B31" s="9"/>
      <c r="C31" s="5"/>
    </row>
    <row r="32">
      <c r="B32" s="9" t="s">
        <v>30</v>
      </c>
      <c r="C32" s="5">
        <f>C30*65%</f>
        <v>32750.78983</v>
      </c>
    </row>
    <row r="33">
      <c r="B33" s="9" t="s">
        <v>31</v>
      </c>
      <c r="C33" s="5">
        <f>C30*35%</f>
        <v>17635.04068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15" t="s">
        <v>32</v>
      </c>
      <c r="B1" s="16" t="s">
        <v>33</v>
      </c>
      <c r="C1" s="16" t="s">
        <v>34</v>
      </c>
      <c r="D1" s="17" t="s">
        <v>35</v>
      </c>
      <c r="E1" s="18" t="s">
        <v>36</v>
      </c>
      <c r="F1" s="16" t="s">
        <v>37</v>
      </c>
      <c r="G1" s="18" t="s">
        <v>38</v>
      </c>
      <c r="H1" s="19" t="s">
        <v>5</v>
      </c>
      <c r="I1" s="16" t="s">
        <v>39</v>
      </c>
    </row>
    <row r="2">
      <c r="A2" s="20">
        <v>45992.0</v>
      </c>
      <c r="B2" s="21" t="s">
        <v>40</v>
      </c>
      <c r="C2" s="22">
        <v>0.0</v>
      </c>
      <c r="D2" s="23">
        <v>0.0</v>
      </c>
      <c r="E2" s="22">
        <v>0.0</v>
      </c>
      <c r="F2" s="22">
        <v>0.0</v>
      </c>
      <c r="G2" s="22">
        <v>300.0</v>
      </c>
      <c r="H2" s="24"/>
      <c r="I2" s="25">
        <f t="shared" ref="I2:I14" si="1">SUM(E2:G2)</f>
        <v>300</v>
      </c>
    </row>
    <row r="3">
      <c r="A3" s="20">
        <v>45993.0</v>
      </c>
      <c r="B3" s="21" t="s">
        <v>41</v>
      </c>
      <c r="C3" s="25">
        <v>0.0</v>
      </c>
      <c r="D3" s="23">
        <v>0.0</v>
      </c>
      <c r="E3" s="26">
        <v>0.0</v>
      </c>
      <c r="F3" s="25">
        <v>0.0</v>
      </c>
      <c r="G3" s="26">
        <v>200.0</v>
      </c>
      <c r="H3" s="24"/>
      <c r="I3" s="26">
        <f t="shared" si="1"/>
        <v>200</v>
      </c>
    </row>
    <row r="4">
      <c r="A4" s="20">
        <v>45994.0</v>
      </c>
      <c r="B4" s="21" t="s">
        <v>42</v>
      </c>
      <c r="C4" s="25">
        <v>0.0</v>
      </c>
      <c r="D4" s="23">
        <v>0.0</v>
      </c>
      <c r="E4" s="26">
        <v>0.0</v>
      </c>
      <c r="F4" s="25">
        <v>450.0</v>
      </c>
      <c r="G4" s="26">
        <v>0.0</v>
      </c>
      <c r="H4" s="24"/>
      <c r="I4" s="26">
        <f t="shared" si="1"/>
        <v>450</v>
      </c>
    </row>
    <row r="5">
      <c r="A5" s="20">
        <v>45995.0</v>
      </c>
      <c r="B5" s="21" t="s">
        <v>43</v>
      </c>
      <c r="C5" s="25">
        <v>1.0</v>
      </c>
      <c r="D5" s="23">
        <v>0.0</v>
      </c>
      <c r="E5" s="26">
        <v>1200.0</v>
      </c>
      <c r="F5" s="25">
        <v>0.0</v>
      </c>
      <c r="G5" s="26">
        <v>50.0</v>
      </c>
      <c r="H5" s="24"/>
      <c r="I5" s="26">
        <f t="shared" si="1"/>
        <v>1250</v>
      </c>
    </row>
    <row r="6">
      <c r="A6" s="20">
        <v>45996.0</v>
      </c>
      <c r="B6" s="21" t="s">
        <v>44</v>
      </c>
      <c r="C6" s="25">
        <v>0.0</v>
      </c>
      <c r="D6" s="23">
        <v>0.0</v>
      </c>
      <c r="E6" s="25">
        <v>0.0</v>
      </c>
      <c r="F6" s="25">
        <v>0.0</v>
      </c>
      <c r="G6" s="26">
        <v>0.0</v>
      </c>
      <c r="H6" s="24"/>
      <c r="I6" s="25">
        <f t="shared" si="1"/>
        <v>0</v>
      </c>
    </row>
    <row r="7">
      <c r="A7" s="20">
        <v>45997.0</v>
      </c>
      <c r="B7" s="21" t="s">
        <v>45</v>
      </c>
      <c r="C7" s="25">
        <v>1.0</v>
      </c>
      <c r="D7" s="23">
        <v>0.0</v>
      </c>
      <c r="E7" s="25">
        <v>900.0</v>
      </c>
      <c r="F7" s="25">
        <v>0.0</v>
      </c>
      <c r="G7" s="25">
        <v>300.0</v>
      </c>
      <c r="H7" s="24"/>
      <c r="I7" s="25">
        <f t="shared" si="1"/>
        <v>1200</v>
      </c>
    </row>
    <row r="8">
      <c r="A8" s="20">
        <v>45998.0</v>
      </c>
      <c r="B8" s="21" t="s">
        <v>46</v>
      </c>
      <c r="C8" s="25">
        <v>0.0</v>
      </c>
      <c r="D8" s="23">
        <v>0.0</v>
      </c>
      <c r="E8" s="26">
        <v>0.0</v>
      </c>
      <c r="F8" s="25">
        <v>0.0</v>
      </c>
      <c r="G8" s="26">
        <v>700.0</v>
      </c>
      <c r="H8" s="24"/>
      <c r="I8" s="26">
        <f t="shared" si="1"/>
        <v>700</v>
      </c>
    </row>
    <row r="9">
      <c r="A9" s="20">
        <v>45999.0</v>
      </c>
      <c r="B9" s="21" t="s">
        <v>40</v>
      </c>
      <c r="C9" s="25">
        <v>0.5</v>
      </c>
      <c r="D9" s="23">
        <v>0.0</v>
      </c>
      <c r="E9" s="26">
        <v>600.0</v>
      </c>
      <c r="F9" s="25">
        <v>0.0</v>
      </c>
      <c r="G9" s="26">
        <v>0.0</v>
      </c>
      <c r="H9" s="24"/>
      <c r="I9" s="26">
        <f t="shared" si="1"/>
        <v>600</v>
      </c>
    </row>
    <row r="10">
      <c r="A10" s="27">
        <v>46000.0</v>
      </c>
      <c r="B10" s="28" t="s">
        <v>41</v>
      </c>
      <c r="C10" s="28"/>
      <c r="D10" s="29">
        <v>0.0</v>
      </c>
      <c r="E10" s="30"/>
      <c r="F10" s="28"/>
      <c r="G10" s="30"/>
      <c r="H10" s="31"/>
      <c r="I10" s="32">
        <f t="shared" si="1"/>
        <v>0</v>
      </c>
    </row>
    <row r="11">
      <c r="A11" s="27">
        <v>46001.0</v>
      </c>
      <c r="B11" s="28" t="s">
        <v>42</v>
      </c>
      <c r="C11" s="28"/>
      <c r="D11" s="29">
        <v>0.0</v>
      </c>
      <c r="E11" s="30"/>
      <c r="F11" s="28"/>
      <c r="G11" s="28"/>
      <c r="H11" s="31"/>
      <c r="I11" s="32">
        <f t="shared" si="1"/>
        <v>0</v>
      </c>
    </row>
    <row r="12">
      <c r="A12" s="27">
        <v>46002.0</v>
      </c>
      <c r="B12" s="28" t="s">
        <v>43</v>
      </c>
      <c r="C12" s="31"/>
      <c r="D12" s="29">
        <v>0.0</v>
      </c>
      <c r="E12" s="31"/>
      <c r="F12" s="31"/>
      <c r="G12" s="30"/>
      <c r="H12" s="31"/>
      <c r="I12" s="33">
        <f t="shared" si="1"/>
        <v>0</v>
      </c>
    </row>
    <row r="13">
      <c r="A13" s="27">
        <v>46003.0</v>
      </c>
      <c r="B13" s="28" t="s">
        <v>44</v>
      </c>
      <c r="C13" s="31"/>
      <c r="D13" s="29">
        <v>0.0</v>
      </c>
      <c r="E13" s="30"/>
      <c r="F13" s="31"/>
      <c r="G13" s="30"/>
      <c r="H13" s="31"/>
      <c r="I13" s="32">
        <f t="shared" si="1"/>
        <v>0</v>
      </c>
    </row>
    <row r="14">
      <c r="A14" s="27">
        <v>46004.0</v>
      </c>
      <c r="B14" s="28" t="s">
        <v>45</v>
      </c>
      <c r="C14" s="31"/>
      <c r="D14" s="29">
        <v>0.0</v>
      </c>
      <c r="E14" s="31"/>
      <c r="F14" s="31"/>
      <c r="G14" s="31"/>
      <c r="H14" s="31"/>
      <c r="I14" s="33">
        <f t="shared" si="1"/>
        <v>0</v>
      </c>
    </row>
    <row r="15">
      <c r="A15" s="34">
        <v>46005.0</v>
      </c>
      <c r="B15" s="35" t="s">
        <v>46</v>
      </c>
      <c r="C15" s="25">
        <v>0.0</v>
      </c>
      <c r="D15" s="23">
        <v>0.0</v>
      </c>
      <c r="E15" s="25">
        <v>0.0</v>
      </c>
      <c r="F15" s="25">
        <v>0.0</v>
      </c>
      <c r="G15" s="25">
        <v>800.0</v>
      </c>
      <c r="H15" s="25">
        <v>0.0</v>
      </c>
      <c r="I15" s="25">
        <f t="shared" ref="I15:I32" si="2">SUM(E15:H15)</f>
        <v>800</v>
      </c>
    </row>
    <row r="16">
      <c r="A16" s="34">
        <v>46006.0</v>
      </c>
      <c r="B16" s="35" t="s">
        <v>40</v>
      </c>
      <c r="C16" s="25">
        <v>1.0</v>
      </c>
      <c r="D16" s="23">
        <v>0.0</v>
      </c>
      <c r="E16" s="25">
        <v>1200.0</v>
      </c>
      <c r="F16" s="25">
        <v>0.0</v>
      </c>
      <c r="G16" s="25">
        <v>0.0</v>
      </c>
      <c r="H16" s="25">
        <v>0.0</v>
      </c>
      <c r="I16" s="25">
        <f t="shared" si="2"/>
        <v>1200</v>
      </c>
    </row>
    <row r="17">
      <c r="A17" s="34">
        <v>46007.0</v>
      </c>
      <c r="B17" s="35" t="s">
        <v>41</v>
      </c>
      <c r="C17" s="25">
        <v>2.0</v>
      </c>
      <c r="D17" s="23">
        <v>0.0</v>
      </c>
      <c r="E17" s="25">
        <v>2160.0</v>
      </c>
      <c r="F17" s="25">
        <v>0.0</v>
      </c>
      <c r="G17" s="25">
        <v>0.0</v>
      </c>
      <c r="H17" s="25">
        <v>0.0</v>
      </c>
      <c r="I17" s="25">
        <f t="shared" si="2"/>
        <v>2160</v>
      </c>
    </row>
    <row r="18">
      <c r="A18" s="34">
        <v>46008.0</v>
      </c>
      <c r="B18" s="35" t="s">
        <v>42</v>
      </c>
      <c r="C18" s="25">
        <v>0.0</v>
      </c>
      <c r="D18" s="23">
        <v>0.0</v>
      </c>
      <c r="E18" s="25">
        <v>0.0</v>
      </c>
      <c r="F18" s="25">
        <v>0.0</v>
      </c>
      <c r="G18" s="25">
        <v>100.0</v>
      </c>
      <c r="H18" s="25">
        <v>0.0</v>
      </c>
      <c r="I18" s="25">
        <f t="shared" si="2"/>
        <v>100</v>
      </c>
    </row>
    <row r="19">
      <c r="A19" s="34">
        <v>46009.0</v>
      </c>
      <c r="B19" s="35" t="s">
        <v>43</v>
      </c>
      <c r="C19" s="25">
        <v>1.5</v>
      </c>
      <c r="D19" s="23">
        <v>0.0</v>
      </c>
      <c r="E19" s="25">
        <v>1800.0</v>
      </c>
      <c r="F19" s="25">
        <v>0.0</v>
      </c>
      <c r="G19" s="25">
        <v>0.0</v>
      </c>
      <c r="H19" s="25">
        <v>0.0</v>
      </c>
      <c r="I19" s="25">
        <f t="shared" si="2"/>
        <v>1800</v>
      </c>
    </row>
    <row r="20">
      <c r="A20" s="34">
        <v>46010.0</v>
      </c>
      <c r="B20" s="35" t="s">
        <v>44</v>
      </c>
      <c r="C20" s="25">
        <v>0.0</v>
      </c>
      <c r="D20" s="23">
        <v>0.0</v>
      </c>
      <c r="E20" s="25">
        <v>0.0</v>
      </c>
      <c r="F20" s="25">
        <v>0.0</v>
      </c>
      <c r="G20" s="25">
        <v>400.0</v>
      </c>
      <c r="H20" s="25">
        <v>0.0</v>
      </c>
      <c r="I20" s="25">
        <f t="shared" si="2"/>
        <v>400</v>
      </c>
    </row>
    <row r="21">
      <c r="A21" s="20">
        <v>46011.0</v>
      </c>
      <c r="B21" s="21" t="s">
        <v>45</v>
      </c>
      <c r="C21" s="25">
        <v>0.0</v>
      </c>
      <c r="D21" s="23">
        <v>0.0</v>
      </c>
      <c r="E21" s="25">
        <v>0.0</v>
      </c>
      <c r="F21" s="25">
        <v>0.0</v>
      </c>
      <c r="G21" s="25">
        <v>0.0</v>
      </c>
      <c r="H21" s="25">
        <v>0.0</v>
      </c>
      <c r="I21" s="25">
        <f t="shared" si="2"/>
        <v>0</v>
      </c>
    </row>
    <row r="22">
      <c r="A22" s="20">
        <v>46012.0</v>
      </c>
      <c r="B22" s="21" t="s">
        <v>46</v>
      </c>
      <c r="C22" s="25">
        <v>1.5</v>
      </c>
      <c r="D22" s="23">
        <v>0.0</v>
      </c>
      <c r="E22" s="25">
        <v>1800.0</v>
      </c>
      <c r="F22" s="25">
        <v>0.0</v>
      </c>
      <c r="G22" s="25">
        <v>600.0</v>
      </c>
      <c r="H22" s="25">
        <v>0.0</v>
      </c>
      <c r="I22" s="25">
        <f t="shared" si="2"/>
        <v>2400</v>
      </c>
    </row>
    <row r="23">
      <c r="A23" s="20">
        <v>46013.0</v>
      </c>
      <c r="B23" s="21" t="s">
        <v>40</v>
      </c>
      <c r="C23" s="25">
        <v>1.5</v>
      </c>
      <c r="D23" s="23">
        <v>0.0</v>
      </c>
      <c r="E23" s="25">
        <v>1800.0</v>
      </c>
      <c r="F23" s="25">
        <v>0.0</v>
      </c>
      <c r="G23" s="25">
        <v>100.0</v>
      </c>
      <c r="H23" s="25">
        <v>0.0</v>
      </c>
      <c r="I23" s="25">
        <f t="shared" si="2"/>
        <v>1900</v>
      </c>
    </row>
    <row r="24">
      <c r="A24" s="20">
        <v>46014.0</v>
      </c>
      <c r="B24" s="21" t="s">
        <v>41</v>
      </c>
      <c r="C24" s="25">
        <v>1.5</v>
      </c>
      <c r="D24" s="23">
        <v>0.0</v>
      </c>
      <c r="E24" s="25">
        <v>1780.0</v>
      </c>
      <c r="F24" s="25">
        <v>0.0</v>
      </c>
      <c r="G24" s="25">
        <v>400.0</v>
      </c>
      <c r="H24" s="25">
        <v>0.0</v>
      </c>
      <c r="I24" s="25">
        <f t="shared" si="2"/>
        <v>2180</v>
      </c>
    </row>
    <row r="25">
      <c r="A25" s="20">
        <v>46015.0</v>
      </c>
      <c r="B25" s="21" t="s">
        <v>42</v>
      </c>
      <c r="C25" s="25">
        <v>0.5</v>
      </c>
      <c r="D25" s="23">
        <v>0.0</v>
      </c>
      <c r="E25" s="25">
        <v>600.0</v>
      </c>
      <c r="F25" s="25">
        <v>0.0</v>
      </c>
      <c r="G25" s="25">
        <v>0.0</v>
      </c>
      <c r="H25" s="25">
        <v>60.0</v>
      </c>
      <c r="I25" s="25">
        <f t="shared" si="2"/>
        <v>660</v>
      </c>
    </row>
    <row r="26">
      <c r="A26" s="20">
        <v>46016.0</v>
      </c>
      <c r="B26" s="21" t="s">
        <v>43</v>
      </c>
      <c r="C26" s="25">
        <v>1.5</v>
      </c>
      <c r="D26" s="23">
        <v>0.0</v>
      </c>
      <c r="E26" s="25">
        <v>1600.0</v>
      </c>
      <c r="F26" s="25">
        <v>0.0</v>
      </c>
      <c r="G26" s="25">
        <v>0.0</v>
      </c>
      <c r="H26" s="25">
        <v>300.0</v>
      </c>
      <c r="I26" s="25">
        <f t="shared" si="2"/>
        <v>1900</v>
      </c>
    </row>
    <row r="27">
      <c r="A27" s="20">
        <v>46017.0</v>
      </c>
      <c r="B27" s="21" t="s">
        <v>44</v>
      </c>
      <c r="C27" s="25">
        <v>0.0</v>
      </c>
      <c r="D27" s="23">
        <v>0.0</v>
      </c>
      <c r="E27" s="25">
        <v>0.0</v>
      </c>
      <c r="F27" s="25">
        <v>0.0</v>
      </c>
      <c r="G27" s="25">
        <v>200.0</v>
      </c>
      <c r="H27" s="25">
        <v>70.0</v>
      </c>
      <c r="I27" s="25">
        <f t="shared" si="2"/>
        <v>270</v>
      </c>
    </row>
    <row r="28">
      <c r="A28" s="20">
        <v>46018.0</v>
      </c>
      <c r="B28" s="21" t="s">
        <v>45</v>
      </c>
      <c r="C28" s="25">
        <v>0.0</v>
      </c>
      <c r="D28" s="23">
        <v>0.0</v>
      </c>
      <c r="E28" s="25">
        <v>0.0</v>
      </c>
      <c r="F28" s="25">
        <v>0.0</v>
      </c>
      <c r="G28" s="25">
        <v>0.0</v>
      </c>
      <c r="H28" s="25">
        <v>0.0</v>
      </c>
      <c r="I28" s="25">
        <f t="shared" si="2"/>
        <v>0</v>
      </c>
    </row>
    <row r="29">
      <c r="A29" s="20">
        <v>46019.0</v>
      </c>
      <c r="B29" s="21" t="s">
        <v>46</v>
      </c>
      <c r="C29" s="25">
        <v>0.0</v>
      </c>
      <c r="D29" s="23">
        <v>0.0</v>
      </c>
      <c r="E29" s="25">
        <v>0.0</v>
      </c>
      <c r="F29" s="25">
        <v>0.0</v>
      </c>
      <c r="G29" s="25">
        <v>1100.0</v>
      </c>
      <c r="H29" s="25">
        <v>30.0</v>
      </c>
      <c r="I29" s="25">
        <f t="shared" si="2"/>
        <v>1130</v>
      </c>
    </row>
    <row r="30">
      <c r="A30" s="20">
        <v>46020.0</v>
      </c>
      <c r="B30" s="21" t="s">
        <v>40</v>
      </c>
      <c r="C30" s="25">
        <v>1.0</v>
      </c>
      <c r="D30" s="23">
        <v>0.0</v>
      </c>
      <c r="E30" s="25">
        <v>1200.0</v>
      </c>
      <c r="F30" s="25">
        <v>0.0</v>
      </c>
      <c r="G30" s="25">
        <v>900.0</v>
      </c>
      <c r="H30" s="25">
        <v>0.0</v>
      </c>
      <c r="I30" s="25">
        <f t="shared" si="2"/>
        <v>2100</v>
      </c>
    </row>
    <row r="31">
      <c r="A31" s="20">
        <v>46021.0</v>
      </c>
      <c r="B31" s="21" t="s">
        <v>41</v>
      </c>
      <c r="C31" s="25">
        <v>0.0</v>
      </c>
      <c r="D31" s="23">
        <v>0.0</v>
      </c>
      <c r="E31" s="25">
        <v>0.0</v>
      </c>
      <c r="F31" s="25">
        <v>0.0</v>
      </c>
      <c r="G31" s="25">
        <v>0.0</v>
      </c>
      <c r="H31" s="25">
        <v>0.0</v>
      </c>
      <c r="I31" s="25">
        <f t="shared" si="2"/>
        <v>0</v>
      </c>
    </row>
    <row r="32">
      <c r="A32" s="20">
        <v>46022.0</v>
      </c>
      <c r="B32" s="21" t="s">
        <v>42</v>
      </c>
      <c r="C32" s="25">
        <v>0.0</v>
      </c>
      <c r="D32" s="23">
        <v>0.0</v>
      </c>
      <c r="E32" s="25">
        <v>0.0</v>
      </c>
      <c r="F32" s="25">
        <v>0.0</v>
      </c>
      <c r="G32" s="25">
        <v>0.0</v>
      </c>
      <c r="H32" s="25">
        <v>0.0</v>
      </c>
      <c r="I32" s="25">
        <f t="shared" si="2"/>
        <v>0</v>
      </c>
      <c r="J32" s="36"/>
      <c r="K32" s="36"/>
      <c r="L32" s="36"/>
      <c r="M32" s="36"/>
      <c r="N32" s="36"/>
      <c r="O32" s="36"/>
      <c r="P32" s="36"/>
      <c r="Q32" s="36"/>
    </row>
    <row r="33">
      <c r="A33" s="37" t="s">
        <v>47</v>
      </c>
      <c r="B33" s="38"/>
      <c r="C33" s="16">
        <f>SUM(C2:C32)</f>
        <v>14.5</v>
      </c>
      <c r="D33" s="39"/>
      <c r="E33" s="16">
        <f t="shared" ref="E33:I33" si="3">SUM(E2:E32)</f>
        <v>16640</v>
      </c>
      <c r="F33" s="16">
        <f t="shared" si="3"/>
        <v>450</v>
      </c>
      <c r="G33" s="16">
        <f t="shared" si="3"/>
        <v>6150</v>
      </c>
      <c r="H33" s="16">
        <f t="shared" si="3"/>
        <v>460</v>
      </c>
      <c r="I33" s="16">
        <f t="shared" si="3"/>
        <v>23700</v>
      </c>
      <c r="J33" s="36"/>
      <c r="K33" s="36"/>
      <c r="L33" s="36"/>
      <c r="M33" s="36"/>
      <c r="N33" s="36"/>
      <c r="O33" s="36"/>
      <c r="P33" s="36"/>
      <c r="Q33" s="3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4" max="4" width="23.88"/>
    <col customWidth="1" min="5" max="5" width="11.13"/>
  </cols>
  <sheetData>
    <row r="1">
      <c r="A1" s="40" t="s">
        <v>48</v>
      </c>
      <c r="B1" s="41" t="s">
        <v>32</v>
      </c>
      <c r="C1" s="41" t="s">
        <v>49</v>
      </c>
      <c r="D1" s="41" t="s">
        <v>50</v>
      </c>
      <c r="E1" s="41" t="s">
        <v>51</v>
      </c>
      <c r="F1" s="41" t="s">
        <v>52</v>
      </c>
      <c r="G1" s="41" t="s">
        <v>53</v>
      </c>
      <c r="H1" s="42" t="s">
        <v>2</v>
      </c>
      <c r="I1" s="43"/>
    </row>
    <row r="2">
      <c r="A2" s="24"/>
      <c r="B2" s="10" t="s">
        <v>54</v>
      </c>
      <c r="C2" s="44">
        <v>17400.0</v>
      </c>
      <c r="D2" s="44">
        <v>2262.0</v>
      </c>
      <c r="E2" s="45">
        <f t="shared" ref="E2:E6" si="1">C2 - D2</f>
        <v>15138</v>
      </c>
      <c r="F2" s="44">
        <v>14.74</v>
      </c>
      <c r="G2" s="44">
        <v>73.72</v>
      </c>
      <c r="H2" s="46">
        <v>15049.55</v>
      </c>
    </row>
    <row r="3">
      <c r="A3" s="47"/>
      <c r="B3" s="10" t="s">
        <v>55</v>
      </c>
      <c r="C3" s="48">
        <v>1200.0</v>
      </c>
      <c r="D3" s="48">
        <v>156.0</v>
      </c>
      <c r="E3" s="45">
        <f t="shared" si="1"/>
        <v>1044</v>
      </c>
      <c r="F3" s="48">
        <v>1.01</v>
      </c>
      <c r="G3" s="48">
        <v>5.08</v>
      </c>
      <c r="H3" s="46">
        <v>1037.9</v>
      </c>
    </row>
    <row r="4">
      <c r="A4" s="47"/>
      <c r="B4" s="46" t="s">
        <v>56</v>
      </c>
      <c r="C4" s="46">
        <v>4250.0</v>
      </c>
      <c r="D4" s="46">
        <v>559.0</v>
      </c>
      <c r="E4" s="45">
        <f t="shared" si="1"/>
        <v>3691</v>
      </c>
      <c r="F4" s="46">
        <v>3.64</v>
      </c>
      <c r="G4" s="46">
        <v>18.22</v>
      </c>
      <c r="H4" s="46">
        <v>3719.14</v>
      </c>
    </row>
    <row r="5">
      <c r="A5" s="47"/>
      <c r="B5" s="46" t="s">
        <v>57</v>
      </c>
      <c r="C5" s="46">
        <v>15000.0</v>
      </c>
      <c r="D5" s="46">
        <v>1950.0</v>
      </c>
      <c r="E5" s="45">
        <f t="shared" si="1"/>
        <v>13050</v>
      </c>
      <c r="F5" s="46">
        <v>12.7</v>
      </c>
      <c r="G5" s="46">
        <v>63.55</v>
      </c>
      <c r="H5" s="46">
        <v>12973.5</v>
      </c>
    </row>
    <row r="6">
      <c r="A6" s="49"/>
      <c r="B6" s="46" t="s">
        <v>58</v>
      </c>
      <c r="C6" s="48">
        <v>600.0</v>
      </c>
      <c r="D6" s="46">
        <v>79.92</v>
      </c>
      <c r="E6" s="45">
        <f t="shared" si="1"/>
        <v>520.08</v>
      </c>
      <c r="F6" s="46">
        <v>0.52</v>
      </c>
      <c r="G6" s="46">
        <v>2.58</v>
      </c>
      <c r="H6" s="48">
        <v>516.98</v>
      </c>
    </row>
    <row r="7">
      <c r="A7" s="24"/>
      <c r="B7" s="6"/>
      <c r="C7" s="50">
        <f>SUM(C2:C6)</f>
        <v>38450</v>
      </c>
      <c r="D7" s="6"/>
      <c r="E7" s="50">
        <f>SUM(E2:E6)</f>
        <v>33443.08</v>
      </c>
      <c r="F7" s="6"/>
      <c r="G7" s="6"/>
      <c r="H7" s="51">
        <f>SUM(H2:H6)</f>
        <v>33297.07</v>
      </c>
    </row>
    <row r="8">
      <c r="E8" s="50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40" t="s">
        <v>59</v>
      </c>
      <c r="B1" s="41" t="s">
        <v>32</v>
      </c>
      <c r="C1" s="41" t="s">
        <v>60</v>
      </c>
      <c r="D1" s="41" t="s">
        <v>61</v>
      </c>
      <c r="E1" s="41" t="s">
        <v>62</v>
      </c>
      <c r="F1" s="41" t="s">
        <v>51</v>
      </c>
      <c r="G1" s="41" t="s">
        <v>63</v>
      </c>
      <c r="H1" s="41" t="s">
        <v>64</v>
      </c>
      <c r="I1" s="41" t="s">
        <v>65</v>
      </c>
    </row>
    <row r="2">
      <c r="A2" s="21"/>
      <c r="B2" s="10" t="s">
        <v>66</v>
      </c>
      <c r="C2" s="52">
        <v>1726.0</v>
      </c>
      <c r="D2" s="22">
        <v>200.2</v>
      </c>
      <c r="E2" s="22">
        <v>36.04</v>
      </c>
      <c r="F2" s="45">
        <f t="shared" ref="F2:F3" si="1">C2 -D2-E2</f>
        <v>1489.76</v>
      </c>
      <c r="G2" s="22">
        <v>1.72</v>
      </c>
      <c r="H2" s="22">
        <v>8.63</v>
      </c>
      <c r="I2" s="22">
        <v>1479.41</v>
      </c>
    </row>
    <row r="3">
      <c r="A3" s="21"/>
      <c r="B3" s="10" t="s">
        <v>67</v>
      </c>
      <c r="C3" s="53">
        <v>4600.0</v>
      </c>
      <c r="D3" s="53">
        <v>322.0</v>
      </c>
      <c r="E3" s="53">
        <v>57.96</v>
      </c>
      <c r="F3" s="45">
        <f t="shared" si="1"/>
        <v>4220.04</v>
      </c>
      <c r="G3" s="54">
        <v>4.6</v>
      </c>
      <c r="H3" s="54">
        <v>23.0</v>
      </c>
      <c r="I3" s="54">
        <v>4192.44</v>
      </c>
    </row>
    <row r="4">
      <c r="A4" s="24"/>
      <c r="B4" s="10" t="s">
        <v>68</v>
      </c>
      <c r="C4" s="55">
        <v>0.0</v>
      </c>
      <c r="D4" s="55"/>
      <c r="E4" s="10"/>
      <c r="F4" s="45"/>
      <c r="H4" s="10"/>
      <c r="I4" s="55"/>
    </row>
    <row r="5">
      <c r="A5" s="24"/>
      <c r="B5" s="6"/>
      <c r="C5" s="56"/>
      <c r="D5" s="57"/>
      <c r="E5" s="6"/>
      <c r="F5" s="50"/>
      <c r="G5" s="6"/>
      <c r="H5" s="6"/>
      <c r="I5" s="57"/>
    </row>
    <row r="6">
      <c r="A6" s="24"/>
      <c r="B6" s="6"/>
      <c r="C6" s="58">
        <f>SUM(C2:C4)</f>
        <v>6326</v>
      </c>
      <c r="D6" s="57"/>
      <c r="E6" s="6"/>
      <c r="F6" s="59">
        <f>SUM(F2:F4)</f>
        <v>5709.8</v>
      </c>
      <c r="G6" s="6"/>
      <c r="H6" s="6"/>
      <c r="I6" s="58">
        <f>SUM(I2:I4)</f>
        <v>5671.85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25"/>
    <col customWidth="1" min="3" max="3" width="18.25"/>
    <col customWidth="1" min="4" max="4" width="23.88"/>
    <col customWidth="1" min="5" max="5" width="14.13"/>
  </cols>
  <sheetData>
    <row r="1">
      <c r="A1" s="40" t="s">
        <v>48</v>
      </c>
      <c r="B1" s="41" t="s">
        <v>32</v>
      </c>
      <c r="C1" s="41" t="s">
        <v>69</v>
      </c>
      <c r="D1" s="41" t="s">
        <v>61</v>
      </c>
      <c r="E1" s="41" t="s">
        <v>65</v>
      </c>
    </row>
    <row r="2">
      <c r="A2" s="60"/>
      <c r="B2" s="10" t="s">
        <v>70</v>
      </c>
      <c r="C2" s="10">
        <v>3600.0</v>
      </c>
      <c r="D2" s="10">
        <v>180.0</v>
      </c>
      <c r="E2" s="10">
        <f>C2-D2</f>
        <v>3420</v>
      </c>
    </row>
    <row r="3">
      <c r="A3" s="60"/>
      <c r="B3" s="10"/>
      <c r="C3" s="10"/>
      <c r="D3" s="10"/>
      <c r="E3" s="10"/>
    </row>
    <row r="4">
      <c r="A4" s="24"/>
      <c r="B4" s="6"/>
      <c r="C4" s="61">
        <f t="shared" ref="C4:E4" si="1">SUM(C2:C3)</f>
        <v>3600</v>
      </c>
      <c r="D4" s="6">
        <f t="shared" si="1"/>
        <v>180</v>
      </c>
      <c r="E4" s="61">
        <f t="shared" si="1"/>
        <v>3420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75"/>
    <col customWidth="1" min="4" max="4" width="23.88"/>
    <col customWidth="1" min="5" max="5" width="14.13"/>
  </cols>
  <sheetData>
    <row r="1">
      <c r="A1" s="62" t="s">
        <v>48</v>
      </c>
      <c r="B1" s="41" t="s">
        <v>32</v>
      </c>
      <c r="C1" s="63" t="s">
        <v>71</v>
      </c>
      <c r="D1" s="41" t="s">
        <v>61</v>
      </c>
      <c r="E1" s="64" t="s">
        <v>72</v>
      </c>
      <c r="F1" s="41" t="s">
        <v>51</v>
      </c>
      <c r="G1" s="16" t="s">
        <v>53</v>
      </c>
      <c r="H1" s="16" t="s">
        <v>52</v>
      </c>
      <c r="I1" s="41" t="s">
        <v>65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>
      <c r="A2" s="65"/>
      <c r="B2" s="66" t="s">
        <v>70</v>
      </c>
      <c r="C2" s="67">
        <v>6000.0</v>
      </c>
      <c r="D2" s="67">
        <v>120.0</v>
      </c>
      <c r="E2" s="67">
        <v>21.6</v>
      </c>
      <c r="F2" s="45">
        <f>C2 -D2-E2</f>
        <v>5858.4</v>
      </c>
      <c r="G2" s="67">
        <v>30.0</v>
      </c>
      <c r="H2" s="67">
        <v>6.0</v>
      </c>
      <c r="I2" s="67">
        <v>5882.4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>
      <c r="A3" s="24"/>
      <c r="B3" s="6"/>
      <c r="C3" s="57"/>
      <c r="D3" s="57"/>
      <c r="E3" s="6"/>
      <c r="F3" s="45"/>
      <c r="G3" s="6"/>
      <c r="H3" s="6"/>
      <c r="I3" s="6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>
      <c r="A4" s="24"/>
      <c r="B4" s="6" t="s">
        <v>47</v>
      </c>
      <c r="C4" s="68">
        <f>SUM(C2)</f>
        <v>6000</v>
      </c>
      <c r="D4" s="6"/>
      <c r="E4" s="6"/>
      <c r="F4" s="50">
        <f>SUM(F2)</f>
        <v>5858.4</v>
      </c>
      <c r="G4" s="6"/>
      <c r="H4" s="6"/>
      <c r="I4" s="68">
        <f>SUM(I2)</f>
        <v>5882.4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4" max="4" width="18.5"/>
    <col customWidth="1" min="5" max="5" width="20.13"/>
    <col customWidth="1" min="6" max="6" width="14.13"/>
  </cols>
  <sheetData>
    <row r="1">
      <c r="A1" s="69" t="s">
        <v>48</v>
      </c>
      <c r="B1" s="41" t="s">
        <v>32</v>
      </c>
      <c r="C1" s="41" t="s">
        <v>73</v>
      </c>
      <c r="D1" s="70" t="s">
        <v>74</v>
      </c>
      <c r="E1" s="70" t="s">
        <v>75</v>
      </c>
      <c r="F1" s="41" t="s">
        <v>65</v>
      </c>
      <c r="G1" s="71"/>
    </row>
    <row r="2">
      <c r="A2" s="10"/>
      <c r="B2" s="10" t="s">
        <v>76</v>
      </c>
      <c r="C2" s="72">
        <v>3849.0</v>
      </c>
      <c r="D2" s="10">
        <v>769.8</v>
      </c>
      <c r="E2" s="10">
        <v>61.58</v>
      </c>
      <c r="F2" s="72">
        <f>C2-D2-E2</f>
        <v>3017.62</v>
      </c>
      <c r="G2" s="71"/>
    </row>
    <row r="3">
      <c r="A3" s="71"/>
      <c r="B3" s="73"/>
      <c r="C3" s="74"/>
      <c r="D3" s="71"/>
      <c r="E3" s="71"/>
      <c r="F3" s="5"/>
      <c r="G3" s="71"/>
    </row>
    <row r="4">
      <c r="A4" s="71"/>
      <c r="B4" s="73"/>
      <c r="C4" s="74"/>
      <c r="D4" s="71"/>
      <c r="E4" s="71"/>
      <c r="F4" s="71"/>
      <c r="G4" s="71"/>
    </row>
    <row r="5">
      <c r="A5" s="75"/>
      <c r="B5" s="75"/>
      <c r="C5" s="67"/>
      <c r="D5" s="76"/>
      <c r="E5" s="76"/>
      <c r="F5" s="76"/>
      <c r="G5" s="76"/>
      <c r="H5" s="24"/>
      <c r="I5" s="24"/>
      <c r="J5" s="24"/>
      <c r="K5" s="24"/>
    </row>
    <row r="6">
      <c r="A6" s="71"/>
      <c r="B6" s="71"/>
      <c r="C6" s="77">
        <f>SUM(C2)</f>
        <v>3849</v>
      </c>
      <c r="D6" s="71"/>
      <c r="E6" s="71"/>
      <c r="F6" s="72">
        <f>C6-D6-E6</f>
        <v>3849</v>
      </c>
      <c r="G6" s="71"/>
    </row>
    <row r="9">
      <c r="A9" s="20"/>
      <c r="B9" s="24"/>
      <c r="C9" s="25"/>
      <c r="D9" s="25"/>
      <c r="E9" s="25"/>
      <c r="F9" s="24"/>
    </row>
    <row r="10">
      <c r="A10" s="20"/>
      <c r="B10" s="24"/>
      <c r="C10" s="25"/>
      <c r="D10" s="25"/>
      <c r="E10" s="25"/>
      <c r="F10" s="24"/>
    </row>
    <row r="11">
      <c r="A11" s="20"/>
      <c r="B11" s="24"/>
      <c r="C11" s="25"/>
      <c r="D11" s="25"/>
      <c r="E11" s="25"/>
      <c r="F11" s="24"/>
    </row>
    <row r="12">
      <c r="A12" s="20"/>
      <c r="B12" s="24"/>
      <c r="C12" s="25"/>
      <c r="D12" s="25"/>
      <c r="E12" s="25"/>
      <c r="F12" s="24"/>
    </row>
    <row r="13">
      <c r="A13" s="20"/>
      <c r="B13" s="24"/>
      <c r="C13" s="25"/>
      <c r="D13" s="25"/>
      <c r="E13" s="25"/>
      <c r="F13" s="24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  <col customWidth="1" min="4" max="4" width="20.13"/>
    <col customWidth="1" min="5" max="5" width="14.13"/>
  </cols>
  <sheetData>
    <row r="1">
      <c r="A1" s="69" t="s">
        <v>48</v>
      </c>
      <c r="B1" s="41" t="s">
        <v>32</v>
      </c>
      <c r="C1" s="70" t="s">
        <v>77</v>
      </c>
      <c r="D1" s="70" t="s">
        <v>75</v>
      </c>
      <c r="E1" s="41" t="s">
        <v>65</v>
      </c>
      <c r="F1" s="71"/>
    </row>
    <row r="2">
      <c r="A2" s="10"/>
      <c r="B2" s="10" t="s">
        <v>76</v>
      </c>
      <c r="C2" s="72">
        <v>8100.0</v>
      </c>
      <c r="D2" s="10"/>
      <c r="E2" s="72"/>
      <c r="F2" s="71"/>
    </row>
    <row r="3">
      <c r="A3" s="71"/>
      <c r="B3" s="73"/>
      <c r="C3" s="74"/>
      <c r="D3" s="71"/>
      <c r="E3" s="5"/>
      <c r="F3" s="71"/>
    </row>
    <row r="4">
      <c r="A4" s="71"/>
      <c r="B4" s="73"/>
      <c r="C4" s="74"/>
      <c r="D4" s="71"/>
      <c r="E4" s="71"/>
      <c r="F4" s="71"/>
    </row>
    <row r="5">
      <c r="A5" s="75"/>
      <c r="B5" s="75"/>
      <c r="C5" s="67"/>
      <c r="D5" s="76"/>
      <c r="E5" s="76"/>
      <c r="F5" s="76"/>
      <c r="G5" s="24"/>
      <c r="H5" s="24"/>
      <c r="I5" s="24"/>
      <c r="J5" s="24"/>
    </row>
    <row r="6">
      <c r="A6" s="71"/>
      <c r="B6" s="71"/>
      <c r="C6" s="77">
        <f>SUM(C2)</f>
        <v>8100</v>
      </c>
      <c r="D6" s="71"/>
      <c r="E6" s="71"/>
      <c r="F6" s="71"/>
    </row>
    <row r="9">
      <c r="A9" s="20"/>
      <c r="B9" s="24"/>
      <c r="C9" s="25"/>
      <c r="D9" s="25"/>
      <c r="E9" s="25"/>
      <c r="F9" s="24"/>
    </row>
    <row r="10">
      <c r="A10" s="20"/>
      <c r="B10" s="24"/>
      <c r="C10" s="25"/>
      <c r="D10" s="25"/>
      <c r="E10" s="25"/>
      <c r="F10" s="24"/>
    </row>
    <row r="11">
      <c r="A11" s="20"/>
      <c r="B11" s="24"/>
      <c r="C11" s="25"/>
      <c r="D11" s="25"/>
      <c r="E11" s="25"/>
      <c r="F11" s="24"/>
    </row>
    <row r="12">
      <c r="A12" s="20"/>
      <c r="B12" s="24"/>
      <c r="C12" s="25"/>
      <c r="D12" s="25"/>
      <c r="E12" s="25"/>
      <c r="F12" s="24"/>
    </row>
    <row r="13">
      <c r="A13" s="20"/>
      <c r="B13" s="24"/>
      <c r="C13" s="25"/>
      <c r="D13" s="25"/>
      <c r="E13" s="24"/>
    </row>
  </sheetData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7.13"/>
    <col customWidth="1" min="3" max="3" width="8.88"/>
    <col customWidth="1" min="4" max="4" width="15.25"/>
  </cols>
  <sheetData>
    <row r="1">
      <c r="A1" s="41" t="s">
        <v>78</v>
      </c>
      <c r="B1" s="41" t="s">
        <v>79</v>
      </c>
      <c r="C1" s="41" t="s">
        <v>80</v>
      </c>
      <c r="D1" s="78" t="s">
        <v>81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>
      <c r="A2" s="60" t="s">
        <v>82</v>
      </c>
      <c r="B2" s="60" t="s">
        <v>83</v>
      </c>
      <c r="C2" s="79">
        <v>46376.0</v>
      </c>
      <c r="D2" s="80">
        <v>10000.0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</sheetData>
  <dataValidations>
    <dataValidation type="list" allowBlank="1" showErrorMessage="1" sqref="B2">
      <formula1>"Kickoff Pack (7),Pro Pack (30),Rally Pack (15),Grand slam (90),Collab,Coaching"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0.88"/>
    <col customWidth="1" min="3" max="3" width="9.38"/>
    <col customWidth="1" min="4" max="4" width="30.5"/>
  </cols>
  <sheetData>
    <row r="1">
      <c r="A1" s="81" t="s">
        <v>84</v>
      </c>
      <c r="B1" s="81" t="s">
        <v>85</v>
      </c>
      <c r="C1" s="81" t="s">
        <v>2</v>
      </c>
      <c r="D1" s="81" t="s">
        <v>86</v>
      </c>
    </row>
    <row r="2">
      <c r="A2" s="82">
        <v>46011.0</v>
      </c>
      <c r="B2" s="83" t="s">
        <v>87</v>
      </c>
      <c r="C2" s="83">
        <v>15000.0</v>
      </c>
      <c r="D2" s="83" t="s">
        <v>88</v>
      </c>
    </row>
    <row r="3">
      <c r="A3" s="82">
        <v>46011.0</v>
      </c>
      <c r="B3" s="83" t="s">
        <v>89</v>
      </c>
      <c r="C3" s="83">
        <v>4720.0</v>
      </c>
      <c r="D3" s="83" t="s">
        <v>88</v>
      </c>
    </row>
    <row r="4">
      <c r="A4" s="82">
        <v>46011.0</v>
      </c>
      <c r="B4" s="83" t="s">
        <v>90</v>
      </c>
      <c r="C4" s="83">
        <v>3593.0</v>
      </c>
      <c r="D4" s="83" t="s">
        <v>88</v>
      </c>
    </row>
    <row r="5">
      <c r="A5" s="84"/>
      <c r="B5" s="84"/>
      <c r="C5" s="85">
        <f>SUM(C2:C4)</f>
        <v>23313</v>
      </c>
      <c r="D5" s="8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</cols>
  <sheetData>
    <row r="1">
      <c r="A1" s="70" t="s">
        <v>83</v>
      </c>
      <c r="B1" s="70" t="s">
        <v>91</v>
      </c>
      <c r="C1" s="70" t="s">
        <v>92</v>
      </c>
      <c r="D1" s="41" t="s">
        <v>80</v>
      </c>
      <c r="E1" s="78" t="s">
        <v>81</v>
      </c>
    </row>
    <row r="2">
      <c r="D2" s="86"/>
    </row>
  </sheetData>
  <drawing r:id="rId1"/>
</worksheet>
</file>