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Courtly" sheetId="4" r:id="rId8"/>
    <sheet state="visible" name="Brand Activation" sheetId="5" r:id="rId9"/>
  </sheets>
  <definedNames/>
  <calcPr/>
</workbook>
</file>

<file path=xl/sharedStrings.xml><?xml version="1.0" encoding="utf-8"?>
<sst xmlns="http://schemas.openxmlformats.org/spreadsheetml/2006/main" count="82" uniqueCount="65">
  <si>
    <t>Link</t>
  </si>
  <si>
    <t>Date</t>
  </si>
  <si>
    <t>Date: 28 - 31 Mar</t>
  </si>
  <si>
    <t>Day</t>
  </si>
  <si>
    <t>Paid to Courtly</t>
  </si>
  <si>
    <t>Offline booking hours</t>
  </si>
  <si>
    <t xml:space="preserve">Post Comission </t>
  </si>
  <si>
    <t>Particulars</t>
  </si>
  <si>
    <t>Discount Given</t>
  </si>
  <si>
    <t>Booking Revenue</t>
  </si>
  <si>
    <t>Amount</t>
  </si>
  <si>
    <t>Community Revenue</t>
  </si>
  <si>
    <t>Net Revenue</t>
  </si>
  <si>
    <t xml:space="preserve">Paddle Rental </t>
  </si>
  <si>
    <t xml:space="preserve">TDS </t>
  </si>
  <si>
    <t>Total Revenue</t>
  </si>
  <si>
    <t>Final Amount (₹)</t>
  </si>
  <si>
    <t>28 Mar</t>
  </si>
  <si>
    <t>Offline</t>
  </si>
  <si>
    <t>Saturday</t>
  </si>
  <si>
    <t>Pickleball Event</t>
  </si>
  <si>
    <t>28-29 Mar</t>
  </si>
  <si>
    <t>20% and 25%</t>
  </si>
  <si>
    <t>Paid to Hudle</t>
  </si>
  <si>
    <t>Commisions (Including GST)</t>
  </si>
  <si>
    <t>TDS</t>
  </si>
  <si>
    <t>TCS</t>
  </si>
  <si>
    <t>23 - 31 Mar</t>
  </si>
  <si>
    <t>Rentals</t>
  </si>
  <si>
    <t>29 Mar</t>
  </si>
  <si>
    <t>Sunday</t>
  </si>
  <si>
    <t>Football Event</t>
  </si>
  <si>
    <t>30 Mar</t>
  </si>
  <si>
    <t>Monday</t>
  </si>
  <si>
    <t>31 Mar</t>
  </si>
  <si>
    <t>Tuesday</t>
  </si>
  <si>
    <t>Total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</si>
  <si>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</si>
  <si>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</si>
  <si>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</si>
  <si>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</si>
  <si>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</si>
  <si>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</si>
  <si>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</si>
  <si>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</si>
  <si>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</si>
  <si>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</si>
  <si>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</si>
  <si>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</si>
  <si>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</si>
  <si>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</si>
  <si>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</si>
  <si>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</si>
  <si>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</si>
  <si>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</si>
  <si>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</si>
  <si>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</si>
  <si>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</si>
  <si>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</si>
  <si>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Brand Name</t>
  </si>
  <si>
    <t>Type of collab</t>
  </si>
  <si>
    <t>Truebasics</t>
  </si>
  <si>
    <t>Event Partner</t>
  </si>
  <si>
    <t>My love Triangle</t>
  </si>
  <si>
    <t>Snackfax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</si>
</sst>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[&gt;9999999][$₹]##\,##\,##\,##0;[&gt;99999][$₹]##\,##\,##0;[$₹]##,##0"/>
    <numFmt numFmtId="166" formatCode="[&gt;9999999][$₹]##\,##\,##\,##0.00;[&gt;99999][$₹]##\,##\,##0.00;[$₹]#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1" fillId="2" fontId="2" numFmtId="4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3" fontId="4" numFmtId="49" xfId="0" applyAlignment="1" applyBorder="1" applyFill="1" applyFont="1" applyNumberFormat="1">
      <alignment horizontal="right" vertical="bottom"/>
    </xf>
    <xf borderId="1" fillId="3" fontId="4" numFmtId="49" xfId="0" applyAlignment="1" applyBorder="1" applyFill="1" applyFont="1" applyNumberFormat="1">
      <alignment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2" fontId="5" numFmtId="0" xfId="0" applyAlignment="1" applyBorder="1" applyFill="1" applyFont="1">
      <alignment horizontal="center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3" fontId="4" numFmtId="164" xfId="0" applyAlignment="1" applyBorder="1" applyFill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3" fontId="4" numFmtId="4" xfId="0" applyAlignment="1" applyBorder="1" applyFill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3" fontId="4" numFmtId="4" xfId="0" applyAlignment="1" applyBorder="1" applyFill="1" applyFont="1" applyNumberFormat="1">
      <alignment readingOrder="0" vertical="bottom"/>
    </xf>
    <xf borderId="1" fillId="0" fontId="4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3" fontId="4" numFmtId="164" xfId="0" applyAlignment="1" applyBorder="1" applyFill="1" applyFont="1" applyNumberFormat="1">
      <alignment readingOrder="0" vertical="bottom"/>
    </xf>
    <xf borderId="1" fillId="2" fontId="2" numFmtId="166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vertical="bottom"/>
    </xf>
    <xf borderId="1" fillId="2" fontId="2" numFmtId="49" xfId="0" applyAlignment="1" applyBorder="1" applyFill="1" applyFont="1" applyNumberFormat="1">
      <alignment vertical="bottom"/>
    </xf>
    <xf borderId="1" fillId="2" fontId="4" numFmtId="49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vertical="bottom"/>
    </xf>
    <xf borderId="4" fillId="0" fontId="4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2" fontId="2" numFmtId="164" xfId="0" applyAlignment="1" applyBorder="1" applyFill="1" applyFont="1" applyNumberFormat="1">
      <alignment horizontal="right" readingOrder="0" vertical="bottom"/>
    </xf>
    <xf borderId="1" fillId="2" fontId="4" numFmtId="9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5"/>
    </row>
    <row r="3">
      <c r="B3" s="7" t="s">
        <v>7</v>
      </c>
      <c r="C3" s="7" t="s">
        <v>10</v>
      </c>
      <c r="E3" s="9"/>
    </row>
    <row r="4" collapsed="1">
      <c r="B4" s="10" t="s">
        <v>18</v>
      </c>
      <c r="C4" s="19">
        <f>SUM(C5,C6,C7,, C8)</f>
        <v>2650</v>
      </c>
      <c r="E4" s="9"/>
    </row>
    <row r="5" hidden="1" outlineLevel="1">
      <c r="B5" s="22" t="s">
        <v>28</v>
      </c>
      <c r="C5" s="25">
        <f>'Offline &amp; RG Community'!G6</f>
        <v>600</v>
      </c>
      <c r="E5" s="9"/>
    </row>
    <row r="6" hidden="1" outlineLevel="1">
      <c r="B6" s="22" t="s">
        <v>37</v>
      </c>
      <c r="C6" s="16">
        <v>0.0</v>
      </c>
      <c r="E6" s="9"/>
    </row>
    <row r="7" hidden="1" outlineLevel="1">
      <c r="B7" s="22" t="s">
        <v>38</v>
      </c>
      <c r="C7" s="25">
        <v>0.0</v>
      </c>
      <c r="E7" s="9"/>
    </row>
    <row r="8" hidden="1" outlineLevel="1">
      <c r="B8" s="22" t="s">
        <v>39</v>
      </c>
      <c r="C8" s="25">
        <f>'Offline &amp; RG Community'!E6</f>
        <v>2050</v>
      </c>
      <c r="E8" s="9"/>
    </row>
    <row r="9">
      <c r="B9" s="10" t="s">
        <v>40</v>
      </c>
      <c r="C9" s="19">
        <f>SUM(C10:C14)</f>
        <v>5740</v>
      </c>
      <c r="E9" s="9"/>
    </row>
    <row r="10" outlineLevel="1">
      <c r="B10" s="41" t="s">
        <v>41</v>
      </c>
      <c r="C10" s="16">
        <f>Hudle!C3</f>
        <v>5740</v>
      </c>
      <c r="E10" s="42"/>
    </row>
    <row r="11" outlineLevel="1">
      <c r="B11" s="22" t="s">
        <v>42</v>
      </c>
      <c r="C11" s="16">
        <v>0.0</v>
      </c>
      <c r="E11" s="42"/>
    </row>
    <row r="12" outlineLevel="1">
      <c r="B12" s="41" t="s">
        <v>43</v>
      </c>
      <c r="C12" s="16">
        <v>0.0</v>
      </c>
    </row>
    <row r="13" outlineLevel="1">
      <c r="B13" s="22" t="s">
        <v>44</v>
      </c>
      <c r="C13" s="16">
        <v>0.0</v>
      </c>
    </row>
    <row r="14" outlineLevel="1">
      <c r="B14" s="23" t="s">
        <v>45</v>
      </c>
      <c r="C14" s="16">
        <v>0.0</v>
      </c>
      <c r="E14" s="9"/>
    </row>
    <row r="15">
      <c r="B15" s="43" t="s">
        <v>46</v>
      </c>
      <c r="C15" s="19">
        <f>SUM(C16:C19)</f>
        <v>110270</v>
      </c>
      <c r="E15" s="9"/>
    </row>
    <row r="16" outlineLevel="1">
      <c r="B16" s="41" t="s">
        <v>47</v>
      </c>
      <c r="C16" s="16">
        <f>Courtly!B2</f>
        <v>52820</v>
      </c>
      <c r="E16" s="9"/>
    </row>
    <row r="17" outlineLevel="1">
      <c r="B17" s="41" t="s">
        <v>48</v>
      </c>
      <c r="C17" s="16">
        <v>0.0</v>
      </c>
    </row>
    <row r="18" outlineLevel="1">
      <c r="B18" s="41" t="s">
        <v>49</v>
      </c>
      <c r="C18" s="25">
        <f>'Offline &amp; RG Community'!F6</f>
        <v>57450</v>
      </c>
      <c r="E18" s="9"/>
    </row>
    <row r="19" outlineLevel="1">
      <c r="B19" s="22" t="s">
        <v>50</v>
      </c>
      <c r="C19" s="16">
        <v>0.0</v>
      </c>
    </row>
    <row r="20">
      <c r="B20" s="10" t="s">
        <v>51</v>
      </c>
      <c r="C20" s="44">
        <v>0.0</v>
      </c>
    </row>
    <row r="21">
      <c r="B21" s="43" t="s">
        <v>52</v>
      </c>
      <c r="C21" s="45">
        <v>0.0</v>
      </c>
    </row>
    <row r="22">
      <c r="B22" s="10" t="s">
        <v>53</v>
      </c>
      <c r="C22" s="16">
        <v>0.0</v>
      </c>
    </row>
    <row r="23">
      <c r="B23" s="10" t="s">
        <v>54</v>
      </c>
      <c r="C23" s="16">
        <f>'Brand Activation'!C5</f>
        <v>18000</v>
      </c>
    </row>
    <row r="24">
      <c r="B24" s="46" t="s">
        <v>55</v>
      </c>
      <c r="C24" s="47">
        <v>0.0</v>
      </c>
    </row>
    <row r="25">
      <c r="B25" s="10" t="s">
        <v>56</v>
      </c>
      <c r="C25" s="19">
        <f>C15+C9+C4+C23</f>
        <v>136660</v>
      </c>
    </row>
    <row r="26">
      <c r="B26" s="48" t="s">
        <v>57</v>
      </c>
      <c r="C26" s="49">
        <f>'Offline &amp; RG Community'!H6+Hudle!E3+Courtly!D3+'Brand Activation'!C5</f>
        <v>134329.16</v>
      </c>
    </row>
    <row r="27">
      <c r="B27" s="10" t="s">
        <v>58</v>
      </c>
      <c r="C27" s="19">
        <f>C26/1.18</f>
        <v>113838.2712</v>
      </c>
    </row>
    <row r="28">
      <c r="B28" s="10"/>
      <c r="C28" s="19"/>
    </row>
    <row r="29">
      <c r="B29" s="10"/>
      <c r="C29" s="19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</cols>
  <sheetData>
    <row r="1">
      <c r="A1" s="2" t="s">
        <v>1</v>
      </c>
      <c r="B1" s="2" t="s">
        <v>3</v>
      </c>
      <c r="C1" s="6" t="s">
        <v>5</v>
      </c>
      <c r="D1" s="2" t="s">
        <v>8</v>
      </c>
      <c r="E1" s="2" t="s">
        <v>9</v>
      </c>
      <c r="F1" s="2" t="s">
        <v>11</v>
      </c>
      <c r="G1" s="2" t="s">
        <v>13</v>
      </c>
      <c r="H1" s="2" t="s">
        <v>15</v>
      </c>
    </row>
    <row r="2">
      <c r="A2" s="11" t="s">
        <v>17</v>
      </c>
      <c r="B2" s="12" t="s">
        <v>19</v>
      </c>
      <c r="C2" s="13" t="s">
        <v>20</v>
      </c>
      <c r="D2" s="14" t="s">
        <v>22</v>
      </c>
      <c r="E2" s="17">
        <v>0.0</v>
      </c>
      <c r="F2" s="17">
        <v>23900.0</v>
      </c>
      <c r="G2" s="17">
        <v>0.0</v>
      </c>
      <c r="H2" s="21">
        <f t="shared" ref="H2:H4" si="1">sum(E2:G2)</f>
        <v>23900</v>
      </c>
    </row>
    <row r="3">
      <c r="A3" s="11" t="s">
        <v>29</v>
      </c>
      <c r="B3" s="12" t="s">
        <v>30</v>
      </c>
      <c r="C3" s="13" t="s">
        <v>31</v>
      </c>
      <c r="D3" s="14" t="s">
        <v>22</v>
      </c>
      <c r="E3" s="24">
        <v>0.0</v>
      </c>
      <c r="F3" s="24">
        <v>33550.0</v>
      </c>
      <c r="G3" s="24">
        <v>0.0</v>
      </c>
      <c r="H3" s="21">
        <f t="shared" si="1"/>
        <v>33550</v>
      </c>
    </row>
    <row r="4">
      <c r="A4" s="11" t="s">
        <v>32</v>
      </c>
      <c r="B4" s="12" t="s">
        <v>33</v>
      </c>
      <c r="C4" s="26">
        <v>1.5</v>
      </c>
      <c r="D4" s="14" t="s">
        <v>22</v>
      </c>
      <c r="E4" s="24">
        <v>2050.0</v>
      </c>
      <c r="F4" s="24">
        <v>0.0</v>
      </c>
      <c r="G4" s="24">
        <v>600.0</v>
      </c>
      <c r="H4" s="21">
        <f t="shared" si="1"/>
        <v>2650</v>
      </c>
    </row>
    <row r="5">
      <c r="A5" s="11" t="s">
        <v>34</v>
      </c>
      <c r="B5" s="12" t="s">
        <v>35</v>
      </c>
      <c r="C5" s="28">
        <v>0.0</v>
      </c>
      <c r="D5" s="14" t="s">
        <v>22</v>
      </c>
      <c r="E5" s="31">
        <v>0.0</v>
      </c>
      <c r="F5" s="31">
        <v>0.0</v>
      </c>
      <c r="G5" s="31">
        <v>0.0</v>
      </c>
      <c r="H5" s="21">
        <f>SUM(E5:G5)</f>
        <v>0</v>
      </c>
    </row>
    <row r="6">
      <c r="A6" s="34" t="s">
        <v>36</v>
      </c>
      <c r="B6" s="35"/>
      <c r="C6" s="37">
        <f>SUM(C1:C5)</f>
        <v>1.5</v>
      </c>
      <c r="D6" s="35"/>
      <c r="E6" s="40">
        <f t="shared" ref="E6:H6" si="2">SUM(E1:E5)</f>
        <v>2050</v>
      </c>
      <c r="F6" s="40">
        <f t="shared" si="2"/>
        <v>57450</v>
      </c>
      <c r="G6" s="40">
        <f t="shared" si="2"/>
        <v>600</v>
      </c>
      <c r="H6" s="40">
        <f t="shared" si="2"/>
        <v>60100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15" t="s">
        <v>0</v>
      </c>
      <c r="B1" s="4" t="s">
        <v>1</v>
      </c>
      <c r="C1" s="4" t="s">
        <v>23</v>
      </c>
      <c r="D1" s="4" t="s">
        <v>24</v>
      </c>
      <c r="E1" s="4" t="s">
        <v>12</v>
      </c>
      <c r="F1" s="4" t="s">
        <v>25</v>
      </c>
      <c r="G1" s="4" t="s">
        <v>26</v>
      </c>
      <c r="H1" s="8" t="s">
        <v>10</v>
      </c>
    </row>
    <row r="2">
      <c r="A2" s="18"/>
      <c r="B2" s="20" t="s">
        <v>27</v>
      </c>
      <c r="C2" s="23">
        <v>5740.0</v>
      </c>
      <c r="D2" s="23">
        <v>746.24</v>
      </c>
      <c r="E2" s="27">
        <f>C2-D2</f>
        <v>4993.76</v>
      </c>
      <c r="F2" s="23">
        <v>4.86</v>
      </c>
      <c r="G2" s="23">
        <v>24.32</v>
      </c>
      <c r="H2" s="23">
        <v>4964.8</v>
      </c>
    </row>
    <row r="3">
      <c r="A3" s="9"/>
      <c r="B3" s="30" t="s">
        <v>36</v>
      </c>
      <c r="C3" s="32">
        <f>SUM(C2)</f>
        <v>5740</v>
      </c>
      <c r="D3" s="33"/>
      <c r="E3" s="32">
        <f>SUM(E2)</f>
        <v>4993.76</v>
      </c>
      <c r="F3" s="33"/>
      <c r="G3" s="33"/>
      <c r="H3" s="32">
        <f>SUM(H2)</f>
        <v>4964.8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6" max="6" width="14.13"/>
  </cols>
  <sheetData>
    <row r="1">
      <c r="A1" s="4" t="s">
        <v>1</v>
      </c>
      <c r="B1" s="4" t="s">
        <v>4</v>
      </c>
      <c r="C1" s="8" t="s">
        <v>6</v>
      </c>
      <c r="D1" s="4" t="s">
        <v>12</v>
      </c>
      <c r="E1" s="4" t="s">
        <v>14</v>
      </c>
      <c r="F1" s="4" t="s">
        <v>16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" t="s">
        <v>21</v>
      </c>
      <c r="B2" s="16">
        <v>52820.0</v>
      </c>
      <c r="C2" s="21">
        <f>B2*3%</f>
        <v>1584.6</v>
      </c>
      <c r="D2" s="25">
        <f>B2-C2</f>
        <v>51235.4</v>
      </c>
      <c r="E2" s="29">
        <f>B2*2%</f>
        <v>1056.4</v>
      </c>
      <c r="F2" s="25">
        <f>D2-E2</f>
        <v>50179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6" t="s">
        <v>36</v>
      </c>
      <c r="B3" s="38">
        <f>SUM(B2)</f>
        <v>52820</v>
      </c>
      <c r="C3" s="39"/>
      <c r="D3" s="38">
        <f>SUM(D2)</f>
        <v>51235.4</v>
      </c>
      <c r="E3" s="33"/>
      <c r="F3" s="38">
        <f>SUM(F2)</f>
        <v>50179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3.13"/>
  </cols>
  <sheetData>
    <row r="1">
      <c r="A1" s="50" t="s">
        <v>1</v>
      </c>
      <c r="B1" s="8" t="s">
        <v>59</v>
      </c>
      <c r="C1" s="40" t="s">
        <v>10</v>
      </c>
      <c r="D1" s="8" t="s">
        <v>60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 t="s">
        <v>21</v>
      </c>
      <c r="B2" s="23" t="s">
        <v>61</v>
      </c>
      <c r="C2" s="17">
        <v>15000.0</v>
      </c>
      <c r="D2" s="20" t="s">
        <v>62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4" t="s">
        <v>21</v>
      </c>
      <c r="B3" s="20" t="s">
        <v>63</v>
      </c>
      <c r="C3" s="21">
        <v>2000.0</v>
      </c>
      <c r="D3" s="20" t="s">
        <v>62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4" t="s">
        <v>21</v>
      </c>
      <c r="B4" s="20" t="s">
        <v>64</v>
      </c>
      <c r="C4" s="21">
        <v>1000.0</v>
      </c>
      <c r="D4" s="20" t="s">
        <v>62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51" t="s">
        <v>36</v>
      </c>
      <c r="B5" s="52"/>
      <c r="C5" s="53">
        <f>SUM(C2:C4)</f>
        <v>18000</v>
      </c>
      <c r="D5" s="33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</sheetData>
  <drawing r:id="rId1"/>
</worksheet>
</file>