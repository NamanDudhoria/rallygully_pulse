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District" sheetId="4" r:id="rId8"/>
  </sheets>
  <definedNames/>
  <calcPr/>
</workbook>
</file>

<file path=xl/sharedStrings.xml><?xml version="1.0" encoding="utf-8"?>
<sst xmlns="http://schemas.openxmlformats.org/spreadsheetml/2006/main" count="125" uniqueCount="57">
  <si>
    <t>Link</t>
  </si>
  <si>
    <t>Date</t>
  </si>
  <si>
    <t>1 - 31 May</t>
  </si>
  <si>
    <t>Particulars</t>
  </si>
  <si>
    <t>Day</t>
  </si>
  <si>
    <t>Amount</t>
  </si>
  <si>
    <t>Offline booking hours</t>
  </si>
  <si>
    <t>Pickleball</t>
  </si>
  <si>
    <t>Discount</t>
  </si>
  <si>
    <t>Pay &amp; Play</t>
  </si>
  <si>
    <t>Booking Revenue</t>
  </si>
  <si>
    <t>Community</t>
  </si>
  <si>
    <t xml:space="preserve">Paddle Rental </t>
  </si>
  <si>
    <t>F&amp;B</t>
  </si>
  <si>
    <t>Total Revenue</t>
  </si>
  <si>
    <t>Payment Gateway</t>
  </si>
  <si>
    <t>Net Revenue</t>
  </si>
  <si>
    <t>Paid to Hudle</t>
  </si>
  <si>
    <t>Commisions (Including GST)</t>
  </si>
  <si>
    <t>TDS</t>
  </si>
  <si>
    <t>Friday</t>
  </si>
  <si>
    <t>10 and 20%</t>
  </si>
  <si>
    <t xml:space="preserve">Online </t>
  </si>
  <si>
    <t>TCS</t>
  </si>
  <si>
    <t>District</t>
  </si>
  <si>
    <t>Paid to District</t>
  </si>
  <si>
    <t>Commissions (₹)</t>
  </si>
  <si>
    <t>GST on Commission</t>
  </si>
  <si>
    <t>Hudle</t>
  </si>
  <si>
    <t>Playo</t>
  </si>
  <si>
    <t>Final Amount (₹)</t>
  </si>
  <si>
    <t>Khelomore</t>
  </si>
  <si>
    <t>Total</t>
  </si>
  <si>
    <t>Zplys</t>
  </si>
  <si>
    <t>Offline</t>
  </si>
  <si>
    <t>Saturday</t>
  </si>
  <si>
    <t>Bookings</t>
  </si>
  <si>
    <t>Sunday</t>
  </si>
  <si>
    <t>Memberships</t>
  </si>
  <si>
    <t>Pickup games</t>
  </si>
  <si>
    <t>Social Events/Tournaments</t>
  </si>
  <si>
    <t>Academy</t>
  </si>
  <si>
    <t>Monday</t>
  </si>
  <si>
    <t>Events &amp; Partnership</t>
  </si>
  <si>
    <t>Corporate events</t>
  </si>
  <si>
    <t>Tuesday</t>
  </si>
  <si>
    <t>All B2B partnerships</t>
  </si>
  <si>
    <t>Commerce</t>
  </si>
  <si>
    <t>Wednesday</t>
  </si>
  <si>
    <t>Product rental</t>
  </si>
  <si>
    <t>Product sales</t>
  </si>
  <si>
    <t>Thursday</t>
  </si>
  <si>
    <t>Other Income</t>
  </si>
  <si>
    <t>Total Gross Revenue</t>
  </si>
  <si>
    <t>Total Net Revenue (Post Commissions)</t>
  </si>
  <si>
    <t>Total Revenue post GST</t>
  </si>
  <si>
    <t>Investor's Share (40%)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</si>
</sst>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"/>
    <numFmt numFmtId="165" formatCode="[$₹]#,##0.00"/>
    <numFmt numFmtId="166" formatCode="[&gt;9999999][$₹]##\,##\,##\,##0;[&gt;99999][$₹]##\,##\,##0;[$₹]##,##0"/>
    <numFmt numFmtId="167" formatCode="d mmmm"/>
    <numFmt numFmtId="168" formatCode="[$₹]#,##0"/>
    <numFmt numFmtId="169" formatCode="[&gt;9999999][$₹]##\,##\,##\,##0.00;[&gt;99999][$₹]##\,##\,##0.00;[$₹]##,##0.00"/>
    <numFmt numFmtId="170" formatCode="d 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2" fillId="2" fontId="2" numFmtId="164" xfId="0" applyAlignment="1" applyBorder="1" applyFill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2" fillId="2" fontId="2" numFmtId="165" xfId="0" applyAlignment="1" applyBorder="1" applyFill="1" applyFont="1" applyNumberFormat="1">
      <alignment horizontal="center" vertical="bottom"/>
    </xf>
    <xf borderId="2" fillId="2" fontId="4" numFmtId="0" xfId="0" applyAlignment="1" applyBorder="1" applyFill="1" applyFont="1">
      <alignment vertical="bottom"/>
    </xf>
    <xf borderId="2" fillId="2" fontId="2" numFmtId="166" xfId="0" applyAlignment="1" applyBorder="1" applyFill="1" applyFont="1" applyNumberFormat="1">
      <alignment horizontal="center" vertical="bottom"/>
    </xf>
    <xf borderId="2" fillId="2" fontId="2" numFmtId="165" xfId="0" applyAlignment="1" applyBorder="1" applyFill="1" applyFont="1" applyNumberFormat="1">
      <alignment horizontal="center" readingOrder="0" vertical="bottom"/>
    </xf>
    <xf borderId="2" fillId="0" fontId="2" numFmtId="0" xfId="0" applyAlignment="1" applyBorder="1" applyFont="1">
      <alignment vertical="bottom"/>
    </xf>
    <xf borderId="2" fillId="2" fontId="5" numFmtId="165" xfId="0" applyAlignment="1" applyBorder="1" applyFill="1" applyFont="1" applyNumberFormat="1">
      <alignment horizontal="center" readingOrder="0" vertical="bottom"/>
    </xf>
    <xf borderId="2" fillId="2" fontId="2" numFmtId="165" xfId="0" applyAlignment="1" applyBorder="1" applyFill="1" applyFont="1" applyNumberFormat="1">
      <alignment vertical="bottom"/>
    </xf>
    <xf borderId="2" fillId="3" fontId="4" numFmtId="167" xfId="0" applyAlignment="1" applyBorder="1" applyFill="1" applyFont="1" applyNumberFormat="1">
      <alignment horizontal="right" vertical="bottom"/>
    </xf>
    <xf borderId="2" fillId="3" fontId="4" numFmtId="168" xfId="0" applyAlignment="1" applyBorder="1" applyFill="1" applyFont="1" applyNumberFormat="1">
      <alignment vertical="bottom"/>
    </xf>
    <xf borderId="2" fillId="0" fontId="2" numFmtId="166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4" numFmtId="165" xfId="0" applyAlignment="1" applyBorder="1" applyFont="1" applyNumberFormat="1">
      <alignment readingOrder="0" vertical="bottom"/>
    </xf>
    <xf borderId="2" fillId="0" fontId="4" numFmtId="169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vertical="bottom"/>
    </xf>
    <xf borderId="2" fillId="0" fontId="4" numFmtId="169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vertical="bottom"/>
    </xf>
    <xf borderId="2" fillId="0" fontId="4" numFmtId="166" xfId="0" applyAlignment="1" applyBorder="1" applyFont="1" applyNumberFormat="1">
      <alignment vertical="bottom"/>
    </xf>
    <xf borderId="0" fillId="3" fontId="4" numFmtId="165" xfId="0" applyAlignment="1" applyFill="1" applyFont="1" applyNumberFormat="1">
      <alignment vertical="bottom"/>
    </xf>
    <xf borderId="0" fillId="2" fontId="6" numFmtId="165" xfId="0" applyAlignment="1" applyFill="1" applyFont="1" applyNumberFormat="1">
      <alignment vertical="bottom"/>
    </xf>
    <xf borderId="2" fillId="3" fontId="4" numFmtId="166" xfId="0" applyAlignment="1" applyBorder="1" applyFill="1" applyFont="1" applyNumberFormat="1">
      <alignment readingOrder="0" vertical="bottom"/>
    </xf>
    <xf borderId="0" fillId="2" fontId="2" numFmtId="165" xfId="0" applyAlignment="1" applyFill="1" applyFont="1" applyNumberFormat="1">
      <alignment horizontal="center" vertical="bottom"/>
    </xf>
    <xf borderId="2" fillId="3" fontId="4" numFmtId="169" xfId="0" applyAlignment="1" applyBorder="1" applyFill="1" applyFont="1" applyNumberFormat="1">
      <alignment horizontal="right" readingOrder="0" vertical="bottom"/>
    </xf>
    <xf borderId="2" fillId="3" fontId="4" numFmtId="165" xfId="0" applyAlignment="1" applyBorder="1" applyFill="1" applyFont="1" applyNumberFormat="1">
      <alignment readingOrder="0" vertical="bottom"/>
    </xf>
    <xf borderId="2" fillId="0" fontId="4" numFmtId="166" xfId="0" applyAlignment="1" applyBorder="1" applyFont="1" applyNumberFormat="1">
      <alignment readingOrder="0" vertical="bottom"/>
    </xf>
    <xf borderId="2" fillId="0" fontId="4" numFmtId="0" xfId="0" applyAlignment="1" applyBorder="1" applyFont="1">
      <alignment vertical="bottom"/>
    </xf>
    <xf borderId="0" fillId="0" fontId="4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2" fontId="2" numFmtId="169" xfId="0" applyAlignment="1" applyBorder="1" applyFill="1" applyFont="1" applyNumberFormat="1">
      <alignment horizontal="right" vertical="bottom"/>
    </xf>
    <xf borderId="0" fillId="0" fontId="4" numFmtId="170" xfId="0" applyAlignment="1" applyFont="1" applyNumberFormat="1">
      <alignment vertical="bottom"/>
    </xf>
    <xf borderId="2" fillId="2" fontId="4" numFmtId="165" xfId="0" applyAlignment="1" applyBorder="1" applyFill="1" applyFont="1" applyNumberFormat="1">
      <alignment vertical="bottom"/>
    </xf>
    <xf borderId="2" fillId="0" fontId="4" numFmtId="165" xfId="0" applyAlignment="1" applyBorder="1" applyFont="1" applyNumberFormat="1">
      <alignment vertical="bottom"/>
    </xf>
    <xf borderId="2" fillId="3" fontId="4" numFmtId="165" xfId="0" applyAlignment="1" applyBorder="1" applyFill="1" applyFont="1" applyNumberFormat="1">
      <alignment horizontal="right" readingOrder="0" vertical="bottom"/>
    </xf>
    <xf borderId="2" fillId="0" fontId="7" numFmtId="165" xfId="0" applyAlignment="1" applyBorder="1" applyFont="1" applyNumberFormat="1">
      <alignment readingOrder="0"/>
    </xf>
    <xf borderId="2" fillId="0" fontId="4" numFmtId="166" xfId="0" applyAlignment="1" applyBorder="1" applyFont="1" applyNumberFormat="1">
      <alignment horizontal="right" vertical="bottom"/>
    </xf>
    <xf borderId="2" fillId="0" fontId="4" numFmtId="166" xfId="0" applyAlignment="1" applyBorder="1" applyFont="1" applyNumberFormat="1">
      <alignment horizontal="right" readingOrder="0" vertical="bottom"/>
    </xf>
    <xf borderId="2" fillId="2" fontId="2" numFmtId="0" xfId="0" applyAlignment="1" applyBorder="1" applyFill="1" applyFont="1">
      <alignment vertical="bottom"/>
    </xf>
    <xf borderId="2" fillId="0" fontId="4" numFmtId="169" xfId="0" applyAlignment="1" applyBorder="1" applyFont="1" applyNumberFormat="1">
      <alignment readingOrder="0" vertical="bottom"/>
    </xf>
    <xf borderId="2" fillId="2" fontId="2" numFmtId="168" xfId="0" applyAlignment="1" applyBorder="1" applyFill="1" applyFont="1" applyNumberFormat="1">
      <alignment horizontal="right" vertical="bottom"/>
    </xf>
    <xf borderId="2" fillId="0" fontId="4" numFmtId="0" xfId="0" applyAlignment="1" applyBorder="1" applyFont="1">
      <alignment shrinkToFit="0" vertical="bottom" wrapText="1"/>
    </xf>
    <xf borderId="2" fillId="0" fontId="2" numFmtId="168" xfId="0" applyAlignment="1" applyBorder="1" applyFont="1" applyNumberFormat="1">
      <alignment vertical="bottom"/>
    </xf>
    <xf borderId="2" fillId="0" fontId="2" numFmtId="168" xfId="0" applyAlignment="1" applyBorder="1" applyFont="1" applyNumberFormat="1">
      <alignment horizontal="right" vertical="bottom"/>
    </xf>
    <xf borderId="2" fillId="2" fontId="2" numFmtId="165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2" fillId="2" fontId="4" numFmtId="169" xfId="0" applyAlignment="1" applyBorder="1" applyFill="1" applyFont="1" applyNumberFormat="1">
      <alignment vertical="bottom"/>
    </xf>
    <xf borderId="2" fillId="0" fontId="4" numFmtId="168" xfId="0" applyAlignment="1" applyBorder="1" applyFont="1" applyNumberFormat="1">
      <alignment horizontal="right" vertical="bottom"/>
    </xf>
    <xf borderId="2" fillId="2" fontId="2" numFmtId="0" xfId="0" applyAlignment="1" applyBorder="1" applyFill="1" applyFont="1">
      <alignment horizontal="right" vertical="bottom"/>
    </xf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2</v>
      </c>
      <c r="C2" s="3"/>
    </row>
    <row r="3">
      <c r="B3" s="5" t="s">
        <v>3</v>
      </c>
      <c r="C3" s="5" t="s">
        <v>5</v>
      </c>
      <c r="E3" s="6"/>
    </row>
    <row r="4">
      <c r="B4" s="8"/>
      <c r="C4" s="9" t="s">
        <v>7</v>
      </c>
      <c r="E4" s="6"/>
    </row>
    <row r="5">
      <c r="B5" s="11" t="s">
        <v>9</v>
      </c>
      <c r="C5" s="16">
        <f>sum(C6,C12)</f>
        <v>142228</v>
      </c>
      <c r="E5" s="6"/>
    </row>
    <row r="6">
      <c r="B6" s="11" t="s">
        <v>22</v>
      </c>
      <c r="C6" s="16">
        <f>sum(C7:C11)</f>
        <v>97228</v>
      </c>
      <c r="E6" s="6"/>
    </row>
    <row r="7" outlineLevel="1">
      <c r="B7" s="20" t="s">
        <v>24</v>
      </c>
      <c r="C7" s="23">
        <f>District!C4</f>
        <v>93238</v>
      </c>
      <c r="E7" s="6"/>
    </row>
    <row r="8" outlineLevel="1">
      <c r="B8" s="20" t="s">
        <v>28</v>
      </c>
      <c r="C8" s="23">
        <f>Hudle!C4</f>
        <v>3990</v>
      </c>
      <c r="E8" s="6"/>
    </row>
    <row r="9" outlineLevel="1">
      <c r="B9" s="20" t="s">
        <v>29</v>
      </c>
      <c r="C9" s="30">
        <v>0.0</v>
      </c>
      <c r="E9" s="6"/>
    </row>
    <row r="10" outlineLevel="1">
      <c r="B10" s="31" t="s">
        <v>31</v>
      </c>
      <c r="C10" s="30">
        <v>0.0</v>
      </c>
      <c r="E10" s="33"/>
    </row>
    <row r="11" outlineLevel="1">
      <c r="B11" s="20" t="s">
        <v>33</v>
      </c>
      <c r="C11" s="30">
        <v>0.0</v>
      </c>
      <c r="E11" s="33"/>
    </row>
    <row r="12">
      <c r="B12" s="34" t="s">
        <v>34</v>
      </c>
      <c r="C12" s="16">
        <f>sum(C13:C14)</f>
        <v>45000</v>
      </c>
    </row>
    <row r="13" outlineLevel="1">
      <c r="B13" s="20" t="s">
        <v>36</v>
      </c>
      <c r="C13" s="23">
        <f>'Offline &amp; RG Community'!E33</f>
        <v>45000</v>
      </c>
    </row>
    <row r="14" outlineLevel="1">
      <c r="B14" s="38" t="s">
        <v>38</v>
      </c>
      <c r="C14" s="30">
        <v>0.0</v>
      </c>
      <c r="E14" s="6"/>
    </row>
    <row r="15">
      <c r="B15" s="34" t="s">
        <v>11</v>
      </c>
      <c r="C15" s="16">
        <f>sum(C16:C17)</f>
        <v>3600</v>
      </c>
      <c r="E15" s="6"/>
    </row>
    <row r="16" outlineLevel="1">
      <c r="B16" s="31" t="s">
        <v>39</v>
      </c>
      <c r="C16" s="23">
        <f>'Offline &amp; RG Community'!F33</f>
        <v>3600</v>
      </c>
      <c r="E16" s="6"/>
    </row>
    <row r="17" outlineLevel="1">
      <c r="B17" s="31" t="s">
        <v>40</v>
      </c>
      <c r="C17" s="30">
        <v>0.0</v>
      </c>
    </row>
    <row r="18">
      <c r="B18" s="34" t="s">
        <v>41</v>
      </c>
      <c r="C18" s="16">
        <v>0.0</v>
      </c>
      <c r="E18" s="6"/>
    </row>
    <row r="19">
      <c r="B19" s="11" t="s">
        <v>43</v>
      </c>
      <c r="C19" s="16">
        <f>sum(C20,C21)</f>
        <v>0</v>
      </c>
    </row>
    <row r="20" outlineLevel="1">
      <c r="B20" s="20" t="s">
        <v>44</v>
      </c>
      <c r="C20" s="41">
        <v>0.0</v>
      </c>
    </row>
    <row r="21" outlineLevel="1">
      <c r="B21" s="31" t="s">
        <v>46</v>
      </c>
      <c r="C21" s="42">
        <v>0.0</v>
      </c>
    </row>
    <row r="22">
      <c r="B22" s="11" t="s">
        <v>47</v>
      </c>
      <c r="C22" s="16">
        <f>sum(C23:C25)</f>
        <v>11205</v>
      </c>
    </row>
    <row r="23" outlineLevel="1">
      <c r="B23" s="20" t="s">
        <v>49</v>
      </c>
      <c r="C23" s="41">
        <f>'Offline &amp; RG Community'!G33</f>
        <v>11100</v>
      </c>
    </row>
    <row r="24" outlineLevel="1">
      <c r="B24" s="20" t="s">
        <v>50</v>
      </c>
      <c r="C24" s="30">
        <v>0.0</v>
      </c>
    </row>
    <row r="25" outlineLevel="1">
      <c r="B25" s="20" t="s">
        <v>13</v>
      </c>
      <c r="C25" s="42">
        <f>'Offline &amp; RG Community'!H33</f>
        <v>105</v>
      </c>
    </row>
    <row r="26">
      <c r="B26" s="11" t="s">
        <v>52</v>
      </c>
      <c r="C26" s="16">
        <v>0.0</v>
      </c>
    </row>
    <row r="27">
      <c r="B27" s="43" t="s">
        <v>53</v>
      </c>
      <c r="C27" s="45">
        <f>C5+C15+C22+C18+C19+C26</f>
        <v>157033</v>
      </c>
    </row>
    <row r="28">
      <c r="B28" s="46" t="s">
        <v>54</v>
      </c>
      <c r="C28" s="47">
        <f>'Offline &amp; RG Community'!K33+Hudle!E4+District!F4</f>
        <v>145858.2325</v>
      </c>
    </row>
    <row r="29">
      <c r="B29" s="11" t="s">
        <v>55</v>
      </c>
      <c r="C29" s="48">
        <f>C28/1.18</f>
        <v>123608.6716</v>
      </c>
    </row>
    <row r="30">
      <c r="B30" s="50" t="s">
        <v>56</v>
      </c>
      <c r="C30" s="52">
        <f>C29*40%</f>
        <v>49443.46864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1.38"/>
    <col customWidth="1" min="5" max="5" width="15.13"/>
    <col customWidth="1" min="6" max="6" width="17.63"/>
    <col customWidth="1" min="10" max="10" width="15.25"/>
  </cols>
  <sheetData>
    <row r="1">
      <c r="A1" s="4" t="s">
        <v>1</v>
      </c>
      <c r="B1" s="4" t="s">
        <v>4</v>
      </c>
      <c r="C1" s="7" t="s">
        <v>6</v>
      </c>
      <c r="D1" s="10" t="s">
        <v>8</v>
      </c>
      <c r="E1" s="7" t="s">
        <v>10</v>
      </c>
      <c r="F1" s="10" t="s">
        <v>11</v>
      </c>
      <c r="G1" s="7" t="s">
        <v>12</v>
      </c>
      <c r="H1" s="10" t="s">
        <v>13</v>
      </c>
      <c r="I1" s="7" t="s">
        <v>14</v>
      </c>
      <c r="J1" s="13" t="s">
        <v>15</v>
      </c>
      <c r="K1" s="13" t="s">
        <v>16</v>
      </c>
    </row>
    <row r="2">
      <c r="A2" s="14">
        <v>46143.0</v>
      </c>
      <c r="B2" s="15" t="s">
        <v>20</v>
      </c>
      <c r="C2" s="17">
        <v>2.0</v>
      </c>
      <c r="D2" s="17" t="s">
        <v>21</v>
      </c>
      <c r="E2" s="17">
        <v>1800.0</v>
      </c>
      <c r="F2" s="17">
        <v>0.0</v>
      </c>
      <c r="G2" s="17">
        <v>150.0</v>
      </c>
      <c r="H2" s="17">
        <v>0.0</v>
      </c>
      <c r="I2" s="22">
        <f t="shared" ref="I2:I16" si="1">sum(E2:H2)</f>
        <v>1950</v>
      </c>
      <c r="J2" s="22">
        <f t="shared" ref="J2:J32" si="2">I2*2.5%*1.18</f>
        <v>57.525</v>
      </c>
      <c r="K2" s="22">
        <f t="shared" ref="K2:K32" si="3">I2-J2</f>
        <v>1892.475</v>
      </c>
    </row>
    <row r="3">
      <c r="A3" s="14">
        <v>46144.0</v>
      </c>
      <c r="B3" s="15" t="s">
        <v>35</v>
      </c>
      <c r="C3" s="17">
        <v>4.0</v>
      </c>
      <c r="D3" s="17" t="s">
        <v>21</v>
      </c>
      <c r="E3" s="17">
        <v>3240.0</v>
      </c>
      <c r="F3" s="17">
        <v>0.0</v>
      </c>
      <c r="G3" s="17">
        <v>250.0</v>
      </c>
      <c r="H3" s="17">
        <v>0.0</v>
      </c>
      <c r="I3" s="22">
        <f t="shared" si="1"/>
        <v>3490</v>
      </c>
      <c r="J3" s="22">
        <f t="shared" si="2"/>
        <v>102.955</v>
      </c>
      <c r="K3" s="22">
        <f t="shared" si="3"/>
        <v>3387.045</v>
      </c>
    </row>
    <row r="4">
      <c r="A4" s="14">
        <v>46145.0</v>
      </c>
      <c r="B4" s="15" t="s">
        <v>37</v>
      </c>
      <c r="C4" s="39">
        <v>3.0</v>
      </c>
      <c r="D4" s="17" t="s">
        <v>21</v>
      </c>
      <c r="E4" s="17">
        <v>2880.0</v>
      </c>
      <c r="F4" s="40">
        <v>0.0</v>
      </c>
      <c r="G4" s="17">
        <v>150.0</v>
      </c>
      <c r="H4" s="17">
        <v>0.0</v>
      </c>
      <c r="I4" s="22">
        <f t="shared" si="1"/>
        <v>3030</v>
      </c>
      <c r="J4" s="22">
        <f t="shared" si="2"/>
        <v>89.385</v>
      </c>
      <c r="K4" s="22">
        <f t="shared" si="3"/>
        <v>2940.615</v>
      </c>
    </row>
    <row r="5">
      <c r="A5" s="14">
        <v>46146.0</v>
      </c>
      <c r="B5" s="15" t="s">
        <v>42</v>
      </c>
      <c r="C5" s="17">
        <v>1.0</v>
      </c>
      <c r="D5" s="17" t="s">
        <v>21</v>
      </c>
      <c r="E5" s="17">
        <v>720.0</v>
      </c>
      <c r="F5" s="17">
        <v>0.0</v>
      </c>
      <c r="G5" s="17">
        <v>200.0</v>
      </c>
      <c r="H5" s="17">
        <v>0.0</v>
      </c>
      <c r="I5" s="22">
        <f t="shared" si="1"/>
        <v>920</v>
      </c>
      <c r="J5" s="22">
        <f t="shared" si="2"/>
        <v>27.14</v>
      </c>
      <c r="K5" s="22">
        <f t="shared" si="3"/>
        <v>892.86</v>
      </c>
    </row>
    <row r="6">
      <c r="A6" s="14">
        <v>46147.0</v>
      </c>
      <c r="B6" s="15" t="s">
        <v>45</v>
      </c>
      <c r="C6" s="17">
        <v>2.0</v>
      </c>
      <c r="D6" s="17" t="s">
        <v>21</v>
      </c>
      <c r="E6" s="17">
        <v>1800.0</v>
      </c>
      <c r="F6" s="17">
        <v>800.0</v>
      </c>
      <c r="G6" s="17">
        <v>300.0</v>
      </c>
      <c r="H6" s="17">
        <v>0.0</v>
      </c>
      <c r="I6" s="22">
        <f t="shared" si="1"/>
        <v>2900</v>
      </c>
      <c r="J6" s="22">
        <f t="shared" si="2"/>
        <v>85.55</v>
      </c>
      <c r="K6" s="22">
        <f t="shared" si="3"/>
        <v>2814.45</v>
      </c>
    </row>
    <row r="7">
      <c r="A7" s="14">
        <v>46148.0</v>
      </c>
      <c r="B7" s="15" t="s">
        <v>48</v>
      </c>
      <c r="C7" s="17">
        <v>1.0</v>
      </c>
      <c r="D7" s="17" t="s">
        <v>21</v>
      </c>
      <c r="E7" s="17">
        <v>1440.0</v>
      </c>
      <c r="F7" s="17">
        <v>800.0</v>
      </c>
      <c r="G7" s="17">
        <v>100.0</v>
      </c>
      <c r="H7" s="17">
        <v>0.0</v>
      </c>
      <c r="I7" s="22">
        <f t="shared" si="1"/>
        <v>2340</v>
      </c>
      <c r="J7" s="22">
        <f t="shared" si="2"/>
        <v>69.03</v>
      </c>
      <c r="K7" s="22">
        <f t="shared" si="3"/>
        <v>2270.97</v>
      </c>
    </row>
    <row r="8">
      <c r="A8" s="14">
        <v>46149.0</v>
      </c>
      <c r="B8" s="15" t="s">
        <v>51</v>
      </c>
      <c r="C8" s="17">
        <v>0.5</v>
      </c>
      <c r="D8" s="17" t="s">
        <v>21</v>
      </c>
      <c r="E8" s="17">
        <v>360.0</v>
      </c>
      <c r="F8" s="17">
        <v>0.0</v>
      </c>
      <c r="G8" s="17">
        <v>350.0</v>
      </c>
      <c r="H8" s="17">
        <v>0.0</v>
      </c>
      <c r="I8" s="22">
        <f t="shared" si="1"/>
        <v>710</v>
      </c>
      <c r="J8" s="22">
        <f t="shared" si="2"/>
        <v>20.945</v>
      </c>
      <c r="K8" s="22">
        <f t="shared" si="3"/>
        <v>689.055</v>
      </c>
    </row>
    <row r="9">
      <c r="A9" s="14">
        <v>46150.0</v>
      </c>
      <c r="B9" s="15" t="s">
        <v>20</v>
      </c>
      <c r="C9" s="17">
        <v>2.0</v>
      </c>
      <c r="D9" s="17" t="s">
        <v>21</v>
      </c>
      <c r="E9" s="17">
        <v>1800.0</v>
      </c>
      <c r="F9" s="17">
        <v>800.0</v>
      </c>
      <c r="G9" s="17">
        <v>500.0</v>
      </c>
      <c r="H9" s="17">
        <v>0.0</v>
      </c>
      <c r="I9" s="22">
        <f t="shared" si="1"/>
        <v>3100</v>
      </c>
      <c r="J9" s="22">
        <f t="shared" si="2"/>
        <v>91.45</v>
      </c>
      <c r="K9" s="22">
        <f t="shared" si="3"/>
        <v>3008.55</v>
      </c>
    </row>
    <row r="10">
      <c r="A10" s="14">
        <v>46151.0</v>
      </c>
      <c r="B10" s="15" t="s">
        <v>35</v>
      </c>
      <c r="C10" s="17">
        <v>1.0</v>
      </c>
      <c r="D10" s="17" t="s">
        <v>21</v>
      </c>
      <c r="E10" s="17">
        <v>720.0</v>
      </c>
      <c r="F10" s="17">
        <v>600.0</v>
      </c>
      <c r="G10" s="17">
        <v>900.0</v>
      </c>
      <c r="H10" s="17">
        <v>0.0</v>
      </c>
      <c r="I10" s="22">
        <f t="shared" si="1"/>
        <v>2220</v>
      </c>
      <c r="J10" s="22">
        <f t="shared" si="2"/>
        <v>65.49</v>
      </c>
      <c r="K10" s="22">
        <f t="shared" si="3"/>
        <v>2154.51</v>
      </c>
    </row>
    <row r="11">
      <c r="A11" s="14">
        <v>46152.0</v>
      </c>
      <c r="B11" s="15" t="s">
        <v>37</v>
      </c>
      <c r="C11" s="17">
        <v>3.0</v>
      </c>
      <c r="D11" s="17" t="s">
        <v>21</v>
      </c>
      <c r="E11" s="17">
        <v>2160.0</v>
      </c>
      <c r="F11" s="17">
        <v>0.0</v>
      </c>
      <c r="G11" s="17">
        <v>550.0</v>
      </c>
      <c r="H11" s="17">
        <v>0.0</v>
      </c>
      <c r="I11" s="22">
        <f t="shared" si="1"/>
        <v>2710</v>
      </c>
      <c r="J11" s="22">
        <f t="shared" si="2"/>
        <v>79.945</v>
      </c>
      <c r="K11" s="22">
        <f t="shared" si="3"/>
        <v>2630.055</v>
      </c>
    </row>
    <row r="12">
      <c r="A12" s="14">
        <v>46153.0</v>
      </c>
      <c r="B12" s="15" t="s">
        <v>42</v>
      </c>
      <c r="C12" s="17">
        <v>1.0</v>
      </c>
      <c r="D12" s="17" t="s">
        <v>21</v>
      </c>
      <c r="E12" s="17">
        <v>720.0</v>
      </c>
      <c r="F12" s="17">
        <v>0.0</v>
      </c>
      <c r="G12" s="17">
        <v>350.0</v>
      </c>
      <c r="H12" s="17">
        <v>0.0</v>
      </c>
      <c r="I12" s="22">
        <f t="shared" si="1"/>
        <v>1070</v>
      </c>
      <c r="J12" s="22">
        <f t="shared" si="2"/>
        <v>31.565</v>
      </c>
      <c r="K12" s="22">
        <f t="shared" si="3"/>
        <v>1038.435</v>
      </c>
    </row>
    <row r="13">
      <c r="A13" s="14">
        <v>46154.0</v>
      </c>
      <c r="B13" s="15" t="s">
        <v>45</v>
      </c>
      <c r="C13" s="17">
        <v>1.0</v>
      </c>
      <c r="D13" s="17" t="s">
        <v>21</v>
      </c>
      <c r="E13" s="17">
        <v>720.0</v>
      </c>
      <c r="F13" s="17">
        <v>0.0</v>
      </c>
      <c r="G13" s="17">
        <v>500.0</v>
      </c>
      <c r="H13" s="17">
        <v>0.0</v>
      </c>
      <c r="I13" s="22">
        <f t="shared" si="1"/>
        <v>1220</v>
      </c>
      <c r="J13" s="22">
        <f t="shared" si="2"/>
        <v>35.99</v>
      </c>
      <c r="K13" s="22">
        <f t="shared" si="3"/>
        <v>1184.01</v>
      </c>
    </row>
    <row r="14">
      <c r="A14" s="14">
        <v>46155.0</v>
      </c>
      <c r="B14" s="15" t="s">
        <v>48</v>
      </c>
      <c r="C14" s="17">
        <v>0.0</v>
      </c>
      <c r="D14" s="17" t="s">
        <v>21</v>
      </c>
      <c r="E14" s="17">
        <v>0.0</v>
      </c>
      <c r="F14" s="17">
        <v>0.0</v>
      </c>
      <c r="G14" s="17">
        <v>0.0</v>
      </c>
      <c r="H14" s="17">
        <v>0.0</v>
      </c>
      <c r="I14" s="22">
        <f t="shared" si="1"/>
        <v>0</v>
      </c>
      <c r="J14" s="22">
        <f t="shared" si="2"/>
        <v>0</v>
      </c>
      <c r="K14" s="22">
        <f t="shared" si="3"/>
        <v>0</v>
      </c>
    </row>
    <row r="15">
      <c r="A15" s="14">
        <v>46156.0</v>
      </c>
      <c r="B15" s="15" t="s">
        <v>51</v>
      </c>
      <c r="C15" s="17">
        <v>0.0</v>
      </c>
      <c r="D15" s="17" t="s">
        <v>21</v>
      </c>
      <c r="E15" s="17">
        <v>0.0</v>
      </c>
      <c r="F15" s="17">
        <v>0.0</v>
      </c>
      <c r="G15" s="17">
        <v>50.0</v>
      </c>
      <c r="H15" s="17">
        <v>0.0</v>
      </c>
      <c r="I15" s="22">
        <f t="shared" si="1"/>
        <v>50</v>
      </c>
      <c r="J15" s="22">
        <f t="shared" si="2"/>
        <v>1.475</v>
      </c>
      <c r="K15" s="22">
        <f t="shared" si="3"/>
        <v>48.525</v>
      </c>
    </row>
    <row r="16">
      <c r="A16" s="14">
        <v>46157.0</v>
      </c>
      <c r="B16" s="15" t="s">
        <v>20</v>
      </c>
      <c r="C16" s="18">
        <v>3.0</v>
      </c>
      <c r="D16" s="17" t="s">
        <v>21</v>
      </c>
      <c r="E16" s="18">
        <v>1440.0</v>
      </c>
      <c r="F16" s="18">
        <v>600.0</v>
      </c>
      <c r="G16" s="18">
        <v>350.0</v>
      </c>
      <c r="H16" s="17">
        <v>0.0</v>
      </c>
      <c r="I16" s="22">
        <f t="shared" si="1"/>
        <v>2390</v>
      </c>
      <c r="J16" s="22">
        <f t="shared" si="2"/>
        <v>70.505</v>
      </c>
      <c r="K16" s="22">
        <f t="shared" si="3"/>
        <v>2319.495</v>
      </c>
    </row>
    <row r="17">
      <c r="A17" s="14">
        <v>46158.0</v>
      </c>
      <c r="B17" s="15" t="s">
        <v>35</v>
      </c>
      <c r="C17" s="18">
        <v>3.0</v>
      </c>
      <c r="D17" s="17" t="s">
        <v>21</v>
      </c>
      <c r="E17" s="18">
        <v>2880.0</v>
      </c>
      <c r="F17" s="18">
        <v>0.0</v>
      </c>
      <c r="G17" s="18">
        <v>600.0</v>
      </c>
      <c r="H17" s="17">
        <v>0.0</v>
      </c>
      <c r="I17" s="22">
        <f t="shared" ref="I17:I21" si="4">SUM(E17:H17)</f>
        <v>3480</v>
      </c>
      <c r="J17" s="22">
        <f t="shared" si="2"/>
        <v>102.66</v>
      </c>
      <c r="K17" s="22">
        <f t="shared" si="3"/>
        <v>3377.34</v>
      </c>
    </row>
    <row r="18">
      <c r="A18" s="14">
        <v>46159.0</v>
      </c>
      <c r="B18" s="15" t="s">
        <v>37</v>
      </c>
      <c r="C18" s="18">
        <v>0.0</v>
      </c>
      <c r="D18" s="17" t="s">
        <v>21</v>
      </c>
      <c r="E18" s="18">
        <v>0.0</v>
      </c>
      <c r="F18" s="18">
        <v>0.0</v>
      </c>
      <c r="G18" s="18">
        <v>400.0</v>
      </c>
      <c r="H18" s="17">
        <v>0.0</v>
      </c>
      <c r="I18" s="22">
        <f t="shared" si="4"/>
        <v>400</v>
      </c>
      <c r="J18" s="22">
        <f t="shared" si="2"/>
        <v>11.8</v>
      </c>
      <c r="K18" s="22">
        <f t="shared" si="3"/>
        <v>388.2</v>
      </c>
    </row>
    <row r="19">
      <c r="A19" s="14">
        <v>46160.0</v>
      </c>
      <c r="B19" s="15" t="s">
        <v>42</v>
      </c>
      <c r="C19" s="18">
        <v>1.0</v>
      </c>
      <c r="D19" s="17" t="s">
        <v>21</v>
      </c>
      <c r="E19" s="18">
        <v>720.0</v>
      </c>
      <c r="F19" s="18">
        <v>0.0</v>
      </c>
      <c r="G19" s="18">
        <v>550.0</v>
      </c>
      <c r="H19" s="17">
        <v>0.0</v>
      </c>
      <c r="I19" s="22">
        <f t="shared" si="4"/>
        <v>1270</v>
      </c>
      <c r="J19" s="22">
        <f t="shared" si="2"/>
        <v>37.465</v>
      </c>
      <c r="K19" s="22">
        <f t="shared" si="3"/>
        <v>1232.535</v>
      </c>
    </row>
    <row r="20">
      <c r="A20" s="14">
        <v>46161.0</v>
      </c>
      <c r="B20" s="15" t="s">
        <v>45</v>
      </c>
      <c r="C20" s="18">
        <v>1.0</v>
      </c>
      <c r="D20" s="17" t="s">
        <v>21</v>
      </c>
      <c r="E20" s="18">
        <v>720.0</v>
      </c>
      <c r="F20" s="18">
        <v>0.0</v>
      </c>
      <c r="G20" s="18">
        <v>500.0</v>
      </c>
      <c r="H20" s="17">
        <v>0.0</v>
      </c>
      <c r="I20" s="22">
        <f t="shared" si="4"/>
        <v>1220</v>
      </c>
      <c r="J20" s="22">
        <f t="shared" si="2"/>
        <v>35.99</v>
      </c>
      <c r="K20" s="22">
        <f t="shared" si="3"/>
        <v>1184.01</v>
      </c>
    </row>
    <row r="21">
      <c r="A21" s="14">
        <v>46162.0</v>
      </c>
      <c r="B21" s="15" t="s">
        <v>48</v>
      </c>
      <c r="C21" s="18">
        <v>1.0</v>
      </c>
      <c r="D21" s="17" t="s">
        <v>21</v>
      </c>
      <c r="E21" s="18">
        <v>720.0</v>
      </c>
      <c r="F21" s="18">
        <v>0.0</v>
      </c>
      <c r="G21" s="18">
        <v>150.0</v>
      </c>
      <c r="H21" s="17">
        <v>0.0</v>
      </c>
      <c r="I21" s="22">
        <f t="shared" si="4"/>
        <v>870</v>
      </c>
      <c r="J21" s="22">
        <f t="shared" si="2"/>
        <v>25.665</v>
      </c>
      <c r="K21" s="22">
        <f t="shared" si="3"/>
        <v>844.335</v>
      </c>
    </row>
    <row r="22">
      <c r="A22" s="14">
        <v>46163.0</v>
      </c>
      <c r="B22" s="15" t="s">
        <v>51</v>
      </c>
      <c r="C22" s="18">
        <v>2.0</v>
      </c>
      <c r="D22" s="17" t="s">
        <v>21</v>
      </c>
      <c r="E22" s="18">
        <v>1440.0</v>
      </c>
      <c r="F22" s="18">
        <v>0.0</v>
      </c>
      <c r="G22" s="18">
        <v>400.0</v>
      </c>
      <c r="H22" s="17">
        <v>0.0</v>
      </c>
      <c r="I22" s="22">
        <f>SUM(F22:G22)</f>
        <v>400</v>
      </c>
      <c r="J22" s="22">
        <f t="shared" si="2"/>
        <v>11.8</v>
      </c>
      <c r="K22" s="22">
        <f t="shared" si="3"/>
        <v>388.2</v>
      </c>
    </row>
    <row r="23">
      <c r="A23" s="14">
        <v>46164.0</v>
      </c>
      <c r="B23" s="15" t="s">
        <v>20</v>
      </c>
      <c r="C23" s="18">
        <v>4.0</v>
      </c>
      <c r="D23" s="17" t="s">
        <v>21</v>
      </c>
      <c r="E23" s="18">
        <v>3600.0</v>
      </c>
      <c r="F23" s="18">
        <v>0.0</v>
      </c>
      <c r="G23" s="18">
        <v>550.0</v>
      </c>
      <c r="H23" s="17">
        <v>0.0</v>
      </c>
      <c r="I23" s="22">
        <f>sum(E23:H23)</f>
        <v>4150</v>
      </c>
      <c r="J23" s="22">
        <f t="shared" si="2"/>
        <v>122.425</v>
      </c>
      <c r="K23" s="22">
        <f t="shared" si="3"/>
        <v>4027.575</v>
      </c>
    </row>
    <row r="24">
      <c r="A24" s="14">
        <v>46165.0</v>
      </c>
      <c r="B24" s="15" t="s">
        <v>35</v>
      </c>
      <c r="C24" s="18">
        <v>1.0</v>
      </c>
      <c r="D24" s="17" t="s">
        <v>21</v>
      </c>
      <c r="E24" s="18">
        <v>720.0</v>
      </c>
      <c r="F24" s="18">
        <v>0.0</v>
      </c>
      <c r="G24" s="18">
        <v>100.0</v>
      </c>
      <c r="H24" s="17">
        <v>105.0</v>
      </c>
      <c r="I24" s="22">
        <f t="shared" ref="I24:I32" si="5">SUM(E24:H24)</f>
        <v>925</v>
      </c>
      <c r="J24" s="22">
        <f t="shared" si="2"/>
        <v>27.2875</v>
      </c>
      <c r="K24" s="22">
        <f t="shared" si="3"/>
        <v>897.7125</v>
      </c>
    </row>
    <row r="25">
      <c r="A25" s="14">
        <v>46166.0</v>
      </c>
      <c r="B25" s="15" t="s">
        <v>37</v>
      </c>
      <c r="C25" s="18">
        <v>1.0</v>
      </c>
      <c r="D25" s="17" t="s">
        <v>21</v>
      </c>
      <c r="E25" s="18">
        <v>720.0</v>
      </c>
      <c r="F25" s="18">
        <v>0.0</v>
      </c>
      <c r="G25" s="18">
        <v>450.0</v>
      </c>
      <c r="H25" s="17">
        <v>0.0</v>
      </c>
      <c r="I25" s="22">
        <f t="shared" si="5"/>
        <v>1170</v>
      </c>
      <c r="J25" s="22">
        <f t="shared" si="2"/>
        <v>34.515</v>
      </c>
      <c r="K25" s="22">
        <f t="shared" si="3"/>
        <v>1135.485</v>
      </c>
    </row>
    <row r="26">
      <c r="A26" s="14">
        <v>46167.0</v>
      </c>
      <c r="B26" s="15" t="s">
        <v>42</v>
      </c>
      <c r="C26" s="18">
        <v>1.0</v>
      </c>
      <c r="D26" s="17" t="s">
        <v>21</v>
      </c>
      <c r="E26" s="18">
        <v>720.0</v>
      </c>
      <c r="F26" s="18">
        <v>0.0</v>
      </c>
      <c r="G26" s="18">
        <v>300.0</v>
      </c>
      <c r="H26" s="17">
        <v>0.0</v>
      </c>
      <c r="I26" s="22">
        <f t="shared" si="5"/>
        <v>1020</v>
      </c>
      <c r="J26" s="22">
        <f t="shared" si="2"/>
        <v>30.09</v>
      </c>
      <c r="K26" s="22">
        <f t="shared" si="3"/>
        <v>989.91</v>
      </c>
    </row>
    <row r="27">
      <c r="A27" s="14">
        <v>46168.0</v>
      </c>
      <c r="B27" s="15" t="s">
        <v>45</v>
      </c>
      <c r="C27" s="18">
        <v>2.0</v>
      </c>
      <c r="D27" s="17" t="s">
        <v>21</v>
      </c>
      <c r="E27" s="18">
        <v>1800.0</v>
      </c>
      <c r="F27" s="18">
        <v>0.0</v>
      </c>
      <c r="G27" s="18">
        <v>250.0</v>
      </c>
      <c r="H27" s="17">
        <v>0.0</v>
      </c>
      <c r="I27" s="22">
        <f t="shared" si="5"/>
        <v>2050</v>
      </c>
      <c r="J27" s="22">
        <f t="shared" si="2"/>
        <v>60.475</v>
      </c>
      <c r="K27" s="22">
        <f t="shared" si="3"/>
        <v>1989.525</v>
      </c>
    </row>
    <row r="28">
      <c r="A28" s="14">
        <v>46169.0</v>
      </c>
      <c r="B28" s="15" t="s">
        <v>48</v>
      </c>
      <c r="C28" s="18">
        <v>1.0</v>
      </c>
      <c r="D28" s="17" t="s">
        <v>21</v>
      </c>
      <c r="E28" s="18">
        <v>720.0</v>
      </c>
      <c r="F28" s="18">
        <v>0.0</v>
      </c>
      <c r="G28" s="18">
        <v>100.0</v>
      </c>
      <c r="H28" s="17">
        <v>0.0</v>
      </c>
      <c r="I28" s="22">
        <f t="shared" si="5"/>
        <v>820</v>
      </c>
      <c r="J28" s="22">
        <f t="shared" si="2"/>
        <v>24.19</v>
      </c>
      <c r="K28" s="22">
        <f t="shared" si="3"/>
        <v>795.81</v>
      </c>
    </row>
    <row r="29">
      <c r="A29" s="14">
        <v>46170.0</v>
      </c>
      <c r="B29" s="15" t="s">
        <v>51</v>
      </c>
      <c r="C29" s="18">
        <v>0.0</v>
      </c>
      <c r="D29" s="17" t="s">
        <v>21</v>
      </c>
      <c r="E29" s="18">
        <v>0.0</v>
      </c>
      <c r="F29" s="18">
        <v>0.0</v>
      </c>
      <c r="G29" s="18">
        <v>600.0</v>
      </c>
      <c r="H29" s="17">
        <v>0.0</v>
      </c>
      <c r="I29" s="22">
        <f t="shared" si="5"/>
        <v>600</v>
      </c>
      <c r="J29" s="22">
        <f t="shared" si="2"/>
        <v>17.7</v>
      </c>
      <c r="K29" s="22">
        <f t="shared" si="3"/>
        <v>582.3</v>
      </c>
    </row>
    <row r="30">
      <c r="A30" s="14">
        <v>46171.0</v>
      </c>
      <c r="B30" s="15" t="s">
        <v>20</v>
      </c>
      <c r="C30" s="18">
        <v>4.0</v>
      </c>
      <c r="D30" s="17" t="s">
        <v>21</v>
      </c>
      <c r="E30" s="18">
        <v>5040.0</v>
      </c>
      <c r="F30" s="18">
        <v>0.0</v>
      </c>
      <c r="G30" s="18">
        <v>450.0</v>
      </c>
      <c r="H30" s="17">
        <v>0.0</v>
      </c>
      <c r="I30" s="22">
        <f t="shared" si="5"/>
        <v>5490</v>
      </c>
      <c r="J30" s="22">
        <f t="shared" si="2"/>
        <v>161.955</v>
      </c>
      <c r="K30" s="22">
        <f t="shared" si="3"/>
        <v>5328.045</v>
      </c>
    </row>
    <row r="31">
      <c r="A31" s="14">
        <v>46172.0</v>
      </c>
      <c r="B31" s="15" t="s">
        <v>35</v>
      </c>
      <c r="C31" s="17">
        <v>3.0</v>
      </c>
      <c r="D31" s="17" t="s">
        <v>21</v>
      </c>
      <c r="E31" s="17">
        <v>2160.0</v>
      </c>
      <c r="F31" s="17">
        <v>0.0</v>
      </c>
      <c r="G31" s="17">
        <v>450.0</v>
      </c>
      <c r="H31" s="17">
        <v>0.0</v>
      </c>
      <c r="I31" s="22">
        <f t="shared" si="5"/>
        <v>2610</v>
      </c>
      <c r="J31" s="22">
        <f t="shared" si="2"/>
        <v>76.995</v>
      </c>
      <c r="K31" s="22">
        <f t="shared" si="3"/>
        <v>2533.005</v>
      </c>
    </row>
    <row r="32">
      <c r="A32" s="14">
        <v>46173.0</v>
      </c>
      <c r="B32" s="15" t="s">
        <v>37</v>
      </c>
      <c r="C32" s="39">
        <v>4.0</v>
      </c>
      <c r="D32" s="17" t="s">
        <v>21</v>
      </c>
      <c r="E32" s="39">
        <v>3240.0</v>
      </c>
      <c r="F32" s="39">
        <v>0.0</v>
      </c>
      <c r="G32" s="39">
        <v>550.0</v>
      </c>
      <c r="H32" s="39">
        <v>0.0</v>
      </c>
      <c r="I32" s="22">
        <f t="shared" si="5"/>
        <v>3790</v>
      </c>
      <c r="J32" s="22">
        <f t="shared" si="2"/>
        <v>111.805</v>
      </c>
      <c r="K32" s="22">
        <f t="shared" si="3"/>
        <v>3678.195</v>
      </c>
    </row>
    <row r="33">
      <c r="A33" s="53" t="s">
        <v>32</v>
      </c>
      <c r="B33" s="8"/>
      <c r="C33" s="49"/>
      <c r="D33" s="37"/>
      <c r="E33" s="49">
        <f t="shared" ref="E33:K33" si="6">SUM(E1:E32)</f>
        <v>45000</v>
      </c>
      <c r="F33" s="49">
        <f t="shared" si="6"/>
        <v>3600</v>
      </c>
      <c r="G33" s="49">
        <f t="shared" si="6"/>
        <v>11100</v>
      </c>
      <c r="H33" s="49">
        <f t="shared" si="6"/>
        <v>105</v>
      </c>
      <c r="I33" s="49">
        <f t="shared" si="6"/>
        <v>58365</v>
      </c>
      <c r="J33" s="49">
        <f t="shared" si="6"/>
        <v>1721.7675</v>
      </c>
      <c r="K33" s="49">
        <f t="shared" si="6"/>
        <v>56643.2325</v>
      </c>
    </row>
    <row r="34">
      <c r="C34" s="54"/>
      <c r="D34" s="54"/>
      <c r="E34" s="54"/>
      <c r="F34" s="54"/>
      <c r="G34" s="54"/>
      <c r="H34" s="54"/>
      <c r="I34" s="54"/>
      <c r="J34" s="54"/>
      <c r="K34" s="54"/>
    </row>
    <row r="35">
      <c r="C35" s="54"/>
      <c r="D35" s="54"/>
      <c r="E35" s="54"/>
      <c r="F35" s="54"/>
      <c r="G35" s="54"/>
      <c r="H35" s="54"/>
      <c r="I35" s="54"/>
      <c r="J35" s="54"/>
      <c r="K35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2" t="s">
        <v>0</v>
      </c>
      <c r="B1" s="7" t="s">
        <v>1</v>
      </c>
      <c r="C1" s="7" t="s">
        <v>17</v>
      </c>
      <c r="D1" s="7" t="s">
        <v>18</v>
      </c>
      <c r="E1" s="7" t="s">
        <v>16</v>
      </c>
      <c r="F1" s="7" t="s">
        <v>19</v>
      </c>
      <c r="G1" s="7" t="s">
        <v>23</v>
      </c>
      <c r="H1" s="7" t="s">
        <v>5</v>
      </c>
    </row>
    <row r="2">
      <c r="B2" s="18" t="s">
        <v>2</v>
      </c>
      <c r="C2" s="19">
        <v>3990.0</v>
      </c>
      <c r="D2" s="19">
        <v>487.0</v>
      </c>
      <c r="E2" s="21">
        <f>C2-D2</f>
        <v>3503</v>
      </c>
      <c r="F2" s="19">
        <v>3.0</v>
      </c>
      <c r="G2" s="19">
        <v>16.0</v>
      </c>
      <c r="H2" s="17">
        <v>3243.0</v>
      </c>
    </row>
    <row r="3">
      <c r="A3" s="24"/>
      <c r="B3" s="26"/>
      <c r="C3" s="28"/>
      <c r="D3" s="29"/>
      <c r="E3" s="21"/>
      <c r="F3" s="29"/>
      <c r="G3" s="29"/>
      <c r="H3" s="28"/>
    </row>
    <row r="4">
      <c r="A4" s="32"/>
      <c r="B4" s="13" t="s">
        <v>32</v>
      </c>
      <c r="C4" s="35">
        <f>SUM(C2:C3)</f>
        <v>3990</v>
      </c>
      <c r="D4" s="37"/>
      <c r="E4" s="35">
        <f>SUM(E2:E3)</f>
        <v>3503</v>
      </c>
      <c r="F4" s="37"/>
      <c r="G4" s="35"/>
      <c r="H4" s="35">
        <f>SUM(H2:H3)</f>
        <v>3243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2" t="s">
        <v>0</v>
      </c>
      <c r="B1" s="7" t="s">
        <v>1</v>
      </c>
      <c r="C1" s="7" t="s">
        <v>25</v>
      </c>
      <c r="D1" s="7" t="s">
        <v>26</v>
      </c>
      <c r="E1" s="25" t="s">
        <v>27</v>
      </c>
      <c r="F1" s="7" t="s">
        <v>16</v>
      </c>
      <c r="G1" s="27" t="s">
        <v>23</v>
      </c>
      <c r="H1" s="27" t="s">
        <v>19</v>
      </c>
      <c r="I1" s="7" t="s">
        <v>30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6"/>
      <c r="B2" s="18" t="s">
        <v>2</v>
      </c>
      <c r="C2" s="17">
        <v>93238.0</v>
      </c>
      <c r="D2" s="17">
        <v>6378.0</v>
      </c>
      <c r="E2" s="19">
        <v>1148.0</v>
      </c>
      <c r="F2" s="21">
        <f>C2-D2-E2</f>
        <v>85712</v>
      </c>
      <c r="G2" s="17">
        <v>531.0</v>
      </c>
      <c r="H2" s="17">
        <v>106.0</v>
      </c>
      <c r="I2" s="17">
        <v>85074.0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2"/>
      <c r="B3" s="38"/>
      <c r="C3" s="18"/>
      <c r="D3" s="18"/>
      <c r="E3" s="44"/>
      <c r="F3" s="21"/>
      <c r="G3" s="18"/>
      <c r="H3" s="18"/>
      <c r="I3" s="3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2"/>
      <c r="B4" s="13" t="s">
        <v>32</v>
      </c>
      <c r="C4" s="49">
        <f>SUM(C2:C3)</f>
        <v>93238</v>
      </c>
      <c r="D4" s="37"/>
      <c r="E4" s="51"/>
      <c r="F4" s="35">
        <f>SUM(F2:F3)</f>
        <v>85712</v>
      </c>
      <c r="G4" s="37"/>
      <c r="H4" s="37"/>
      <c r="I4" s="49">
        <f>SUM(I2:I3)</f>
        <v>85074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hyperlinks>
    <hyperlink r:id="rId1" ref="A1"/>
  </hyperlinks>
  <drawing r:id="rId2"/>
</worksheet>
</file>