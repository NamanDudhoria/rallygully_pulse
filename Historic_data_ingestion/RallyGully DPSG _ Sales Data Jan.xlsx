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Hudle" sheetId="3" r:id="rId7"/>
    <sheet state="visible" name="Playo" sheetId="4" r:id="rId8"/>
    <sheet state="visible" name="District" sheetId="5" r:id="rId9"/>
  </sheets>
  <definedNames/>
  <calcPr/>
</workbook>
</file>

<file path=xl/sharedStrings.xml><?xml version="1.0" encoding="utf-8"?>
<sst xmlns="http://schemas.openxmlformats.org/spreadsheetml/2006/main" count="102" uniqueCount="64">
  <si>
    <t>Date: 1 - 31 Jan</t>
  </si>
  <si>
    <t>Date</t>
  </si>
  <si>
    <t>Particulars</t>
  </si>
  <si>
    <t>Link</t>
  </si>
  <si>
    <t>Amount</t>
  </si>
  <si>
    <t>Day</t>
  </si>
  <si>
    <t>Offline</t>
  </si>
  <si>
    <t>Offline booking hours</t>
  </si>
  <si>
    <t>Discount Given</t>
  </si>
  <si>
    <t>Booking Revenue</t>
  </si>
  <si>
    <t>Community Revenue</t>
  </si>
  <si>
    <t xml:space="preserve">Paddle Rental </t>
  </si>
  <si>
    <t>Total Revenue</t>
  </si>
  <si>
    <t>Thursday</t>
  </si>
  <si>
    <t>Paid to Hudle</t>
  </si>
  <si>
    <t>Commisions (Including GST)</t>
  </si>
  <si>
    <t>Net Revenue</t>
  </si>
  <si>
    <t>Rentals</t>
  </si>
  <si>
    <t>TDS</t>
  </si>
  <si>
    <t>TCS</t>
  </si>
  <si>
    <t>1 - 5 Jan</t>
  </si>
  <si>
    <t>Friday</t>
  </si>
  <si>
    <t>F&amp;B</t>
  </si>
  <si>
    <t>Product Sales</t>
  </si>
  <si>
    <t>Bookings</t>
  </si>
  <si>
    <t>Online: Third Party Platform</t>
  </si>
  <si>
    <t>Hudle</t>
  </si>
  <si>
    <t>Saturday</t>
  </si>
  <si>
    <t>Paid to Playo (₹)</t>
  </si>
  <si>
    <t>Commissions (₹)</t>
  </si>
  <si>
    <t>GST (₹)</t>
  </si>
  <si>
    <t>6 - 12 Jan</t>
  </si>
  <si>
    <t>Sunday</t>
  </si>
  <si>
    <t>TDS (₹)</t>
  </si>
  <si>
    <t>Playo</t>
  </si>
  <si>
    <t>TCS (₹)</t>
  </si>
  <si>
    <t>Final Amount (₹)</t>
  </si>
  <si>
    <t>Monday</t>
  </si>
  <si>
    <t>Tuesday</t>
  </si>
  <si>
    <t>District</t>
  </si>
  <si>
    <t>13 - 19 Jan</t>
  </si>
  <si>
    <t>1 - 31 Jan</t>
  </si>
  <si>
    <t>Wednesday</t>
  </si>
  <si>
    <t>Khelomore</t>
  </si>
  <si>
    <t>Community</t>
  </si>
  <si>
    <t>20 - 26 Jan</t>
  </si>
  <si>
    <t>27 - 31 Jan</t>
  </si>
  <si>
    <t>Courtly (Organized by RallyGully)</t>
  </si>
  <si>
    <t>Sportomic (Organized by RallyGully)</t>
  </si>
  <si>
    <t xml:space="preserve">Rallygully Community games </t>
  </si>
  <si>
    <t>Misfits Community</t>
  </si>
  <si>
    <t>Memberships</t>
  </si>
  <si>
    <t>Corporate Events</t>
  </si>
  <si>
    <t>Brand Activation</t>
  </si>
  <si>
    <t>Other Income</t>
  </si>
  <si>
    <t>Total Gross Revenue</t>
  </si>
  <si>
    <t>Total Net Revenue (Post Commissions)</t>
  </si>
  <si>
    <t>Total Revenue post GST</t>
  </si>
  <si>
    <t>Investor's Share (40%)</t>
  </si>
  <si>
    <t>Total</t>
  </si>
  <si>
    <t>Paid to District</t>
  </si>
  <si>
    <t>GST on Commission</t>
  </si>
  <si>
    <t>1 - 12 Jan</t>
  </si>
  <si>
    <t>20 - 31 Jan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</si>
</sst>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 mmm"/>
    <numFmt numFmtId="165" formatCode="[&gt;9999999][$₹]##\,##\,##\,##0;[&gt;99999][$₹]##\,##\,##0;[$₹]##,##0"/>
    <numFmt numFmtId="166" formatCode="[$₹]#,##0.00"/>
    <numFmt numFmtId="167" formatCode="[&gt;9999999][$₹]##\,##\,##\,##0.00;[&gt;99999][$₹]##\,##\,##0.00;[$₹]##,##0.00"/>
  </numFmts>
  <fonts count="12">
    <font>
      <sz val="10.0"/>
      <color rgb="FF000000"/>
      <name val="Arial"/>
      <scheme val="minor"/>
    </font>
    <font>
      <b/>
      <color theme="1"/>
      <name val="Arial"/>
    </font>
    <font/>
    <font>
      <color theme="1"/>
      <name val="Arial"/>
    </font>
    <font>
      <b/>
      <u/>
      <color rgb="FF0000FF"/>
      <name val="Arial"/>
    </font>
    <font>
      <color rgb="FF000000"/>
      <name val="Arial"/>
    </font>
    <font>
      <sz val="10.0"/>
      <color theme="1"/>
      <name val="Arial"/>
      <scheme val="minor"/>
    </font>
    <font>
      <b/>
      <u/>
      <color rgb="FF0000FF"/>
      <name val="Arial"/>
    </font>
    <font>
      <sz val="10.0"/>
      <color theme="1"/>
      <name val="Arial"/>
    </font>
    <font>
      <b/>
      <color theme="1"/>
      <name val="Arial"/>
      <scheme val="minor"/>
    </font>
    <font>
      <b/>
      <u/>
      <color rgb="FF1155CC"/>
      <name val="Arial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3" fillId="0" fontId="1" numFmtId="0" xfId="0" applyAlignment="1" applyBorder="1" applyFont="1">
      <alignment horizontal="center" vertical="bottom"/>
    </xf>
    <xf borderId="3" fillId="2" fontId="1" numFmtId="164" xfId="0" applyAlignment="1" applyBorder="1" applyFill="1" applyFont="1" applyNumberFormat="1">
      <alignment horizontal="center" vertical="bottom"/>
    </xf>
    <xf borderId="3" fillId="2" fontId="1" numFmtId="0" xfId="0" applyAlignment="1" applyBorder="1" applyFill="1" applyFont="1">
      <alignment horizontal="center" vertical="bottom"/>
    </xf>
    <xf borderId="3" fillId="0" fontId="1" numFmtId="0" xfId="0" applyAlignment="1" applyBorder="1" applyFont="1">
      <alignment vertical="bottom"/>
    </xf>
    <xf borderId="3" fillId="2" fontId="1" numFmtId="9" xfId="0" applyAlignment="1" applyBorder="1" applyFill="1" applyFont="1" applyNumberFormat="1">
      <alignment horizontal="center" vertical="bottom"/>
    </xf>
    <xf borderId="3" fillId="2" fontId="1" numFmtId="3" xfId="0" applyAlignment="1" applyBorder="1" applyFill="1" applyFont="1" applyNumberFormat="1">
      <alignment horizontal="center" vertical="bottom"/>
    </xf>
    <xf borderId="3" fillId="2" fontId="1" numFmtId="0" xfId="0" applyAlignment="1" applyBorder="1" applyFill="1" applyFont="1">
      <alignment horizontal="center" vertical="bottom"/>
    </xf>
    <xf borderId="3" fillId="0" fontId="3" numFmtId="164" xfId="0" applyAlignment="1" applyBorder="1" applyFont="1" applyNumberFormat="1">
      <alignment horizontal="right" vertical="bottom"/>
    </xf>
    <xf borderId="3" fillId="0" fontId="3" numFmtId="0" xfId="0" applyAlignment="1" applyBorder="1" applyFont="1">
      <alignment vertical="bottom"/>
    </xf>
    <xf borderId="3" fillId="2" fontId="4" numFmtId="0" xfId="0" applyAlignment="1" applyBorder="1" applyFill="1" applyFont="1">
      <alignment horizontal="center" readingOrder="0" vertical="bottom"/>
    </xf>
    <xf borderId="3" fillId="0" fontId="3" numFmtId="0" xfId="0" applyAlignment="1" applyBorder="1" applyFont="1">
      <alignment horizontal="right" vertical="bottom"/>
    </xf>
    <xf borderId="3" fillId="0" fontId="3" numFmtId="9" xfId="0" applyAlignment="1" applyBorder="1" applyFont="1" applyNumberFormat="1">
      <alignment horizontal="right" vertical="bottom"/>
    </xf>
    <xf borderId="3" fillId="0" fontId="3" numFmtId="3" xfId="0" applyAlignment="1" applyBorder="1" applyFont="1" applyNumberFormat="1">
      <alignment horizontal="right" vertical="bottom"/>
    </xf>
    <xf borderId="3" fillId="0" fontId="1" numFmtId="165" xfId="0" applyAlignment="1" applyBorder="1" applyFont="1" applyNumberFormat="1">
      <alignment horizontal="right" vertical="bottom"/>
    </xf>
    <xf borderId="3" fillId="0" fontId="3" numFmtId="0" xfId="0" applyAlignment="1" applyBorder="1" applyFont="1">
      <alignment vertical="bottom"/>
    </xf>
    <xf borderId="3" fillId="2" fontId="1" numFmtId="166" xfId="0" applyAlignment="1" applyBorder="1" applyFill="1" applyFont="1" applyNumberFormat="1">
      <alignment horizontal="center" vertical="bottom"/>
    </xf>
    <xf borderId="0" fillId="0" fontId="5" numFmtId="0" xfId="0" applyAlignment="1" applyFont="1">
      <alignment shrinkToFit="0" vertical="bottom" wrapText="0"/>
    </xf>
    <xf borderId="3" fillId="0" fontId="6" numFmtId="0" xfId="0" applyAlignment="1" applyBorder="1" applyFont="1">
      <alignment vertical="bottom"/>
    </xf>
    <xf borderId="3" fillId="0" fontId="6" numFmtId="0" xfId="0" applyAlignment="1" applyBorder="1" applyFont="1">
      <alignment readingOrder="0" vertical="bottom"/>
    </xf>
    <xf borderId="3" fillId="0" fontId="3" numFmtId="165" xfId="0" applyAlignment="1" applyBorder="1" applyFont="1" applyNumberFormat="1">
      <alignment horizontal="right" vertical="bottom"/>
    </xf>
    <xf borderId="3" fillId="0" fontId="6" numFmtId="167" xfId="0" applyAlignment="1" applyBorder="1" applyFont="1" applyNumberFormat="1">
      <alignment horizontal="right" readingOrder="0" vertical="bottom"/>
    </xf>
    <xf borderId="3" fillId="0" fontId="3" numFmtId="165" xfId="0" applyAlignment="1" applyBorder="1" applyFont="1" applyNumberFormat="1">
      <alignment horizontal="right" readingOrder="0" vertical="bottom"/>
    </xf>
    <xf borderId="3" fillId="0" fontId="3" numFmtId="0" xfId="0" applyAlignment="1" applyBorder="1" applyFont="1">
      <alignment horizontal="right" vertical="bottom"/>
    </xf>
    <xf borderId="0" fillId="2" fontId="7" numFmtId="0" xfId="0" applyAlignment="1" applyFill="1" applyFont="1">
      <alignment horizontal="center" readingOrder="0" vertical="bottom"/>
    </xf>
    <xf borderId="3" fillId="0" fontId="6" numFmtId="167" xfId="0" applyAlignment="1" applyBorder="1" applyFont="1" applyNumberFormat="1">
      <alignment horizontal="right" vertical="bottom"/>
    </xf>
    <xf borderId="3" fillId="0" fontId="6" numFmtId="166" xfId="0" applyAlignment="1" applyBorder="1" applyFont="1" applyNumberFormat="1">
      <alignment horizontal="right" readingOrder="0" vertical="bottom"/>
    </xf>
    <xf borderId="3" fillId="0" fontId="6" numFmtId="166" xfId="0" applyAlignment="1" applyBorder="1" applyFont="1" applyNumberFormat="1">
      <alignment vertical="bottom"/>
    </xf>
    <xf borderId="3" fillId="0" fontId="6" numFmtId="166" xfId="0" applyAlignment="1" applyBorder="1" applyFont="1" applyNumberFormat="1">
      <alignment readingOrder="0" vertical="bottom"/>
    </xf>
    <xf borderId="3" fillId="0" fontId="3" numFmtId="166" xfId="0" applyAlignment="1" applyBorder="1" applyFont="1" applyNumberFormat="1">
      <alignment vertical="bottom"/>
    </xf>
    <xf borderId="0" fillId="0" fontId="3" numFmtId="0" xfId="0" applyAlignment="1" applyFont="1">
      <alignment vertical="bottom"/>
    </xf>
    <xf borderId="3" fillId="0" fontId="3" numFmtId="166" xfId="0" applyAlignment="1" applyBorder="1" applyFont="1" applyNumberFormat="1">
      <alignment readingOrder="0" vertical="bottom"/>
    </xf>
    <xf borderId="3" fillId="0" fontId="3" numFmtId="0" xfId="0" applyAlignment="1" applyBorder="1" applyFont="1">
      <alignment readingOrder="0" vertical="bottom"/>
    </xf>
    <xf borderId="3" fillId="0" fontId="1" numFmtId="0" xfId="0" applyAlignment="1" applyBorder="1" applyFont="1">
      <alignment readingOrder="0" vertical="bottom"/>
    </xf>
    <xf borderId="3" fillId="0" fontId="8" numFmtId="166" xfId="0" applyAlignment="1" applyBorder="1" applyFont="1" applyNumberFormat="1">
      <alignment readingOrder="0" shrinkToFit="0" vertical="bottom" wrapText="0"/>
    </xf>
    <xf borderId="3" fillId="3" fontId="6" numFmtId="166" xfId="0" applyAlignment="1" applyBorder="1" applyFill="1" applyFont="1" applyNumberFormat="1">
      <alignment horizontal="right" vertical="bottom"/>
    </xf>
    <xf borderId="0" fillId="0" fontId="3" numFmtId="0" xfId="0" applyAlignment="1" applyFont="1">
      <alignment horizontal="right" readingOrder="0" vertical="bottom"/>
    </xf>
    <xf borderId="3" fillId="0" fontId="3" numFmtId="166" xfId="0" applyAlignment="1" applyBorder="1" applyFont="1" applyNumberFormat="1">
      <alignment horizontal="right" readingOrder="0" vertical="bottom"/>
    </xf>
    <xf borderId="3" fillId="0" fontId="6" numFmtId="166" xfId="0" applyAlignment="1" applyBorder="1" applyFont="1" applyNumberFormat="1">
      <alignment horizontal="right" vertical="bottom"/>
    </xf>
    <xf borderId="3" fillId="0" fontId="3" numFmtId="167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3" fillId="0" fontId="1" numFmtId="165" xfId="0" applyAlignment="1" applyBorder="1" applyFont="1" applyNumberFormat="1">
      <alignment horizontal="right" readingOrder="0" vertical="bottom"/>
    </xf>
    <xf borderId="3" fillId="0" fontId="1" numFmtId="167" xfId="0" applyAlignment="1" applyBorder="1" applyFont="1" applyNumberFormat="1">
      <alignment horizontal="right" vertical="bottom"/>
    </xf>
    <xf borderId="4" fillId="0" fontId="3" numFmtId="0" xfId="0" applyAlignment="1" applyBorder="1" applyFont="1">
      <alignment vertical="bottom"/>
    </xf>
    <xf borderId="3" fillId="0" fontId="1" numFmtId="4" xfId="0" applyAlignment="1" applyBorder="1" applyFont="1" applyNumberFormat="1">
      <alignment horizontal="right" vertical="bottom"/>
    </xf>
    <xf borderId="3" fillId="0" fontId="3" numFmtId="0" xfId="0" applyAlignment="1" applyBorder="1" applyFont="1">
      <alignment horizontal="right" readingOrder="0" vertical="bottom"/>
    </xf>
    <xf borderId="4" fillId="0" fontId="3" numFmtId="165" xfId="0" applyAlignment="1" applyBorder="1" applyFont="1" applyNumberFormat="1">
      <alignment horizontal="right" readingOrder="0" vertical="bottom"/>
    </xf>
    <xf borderId="3" fillId="0" fontId="3" numFmtId="4" xfId="0" applyAlignment="1" applyBorder="1" applyFont="1" applyNumberFormat="1">
      <alignment vertical="bottom"/>
    </xf>
    <xf borderId="3" fillId="0" fontId="1" numFmtId="167" xfId="0" applyAlignment="1" applyBorder="1" applyFont="1" applyNumberFormat="1">
      <alignment vertical="bottom"/>
    </xf>
    <xf borderId="3" fillId="0" fontId="3" numFmtId="0" xfId="0" applyAlignment="1" applyBorder="1" applyFont="1">
      <alignment readingOrder="0" shrinkToFit="0" vertical="bottom" wrapText="1"/>
    </xf>
    <xf borderId="3" fillId="0" fontId="1" numFmtId="166" xfId="0" applyAlignment="1" applyBorder="1" applyFont="1" applyNumberFormat="1">
      <alignment horizontal="right" vertical="bottom"/>
    </xf>
    <xf borderId="3" fillId="3" fontId="3" numFmtId="164" xfId="0" applyAlignment="1" applyBorder="1" applyFill="1" applyFont="1" applyNumberFormat="1">
      <alignment horizontal="right" vertical="bottom"/>
    </xf>
    <xf borderId="3" fillId="3" fontId="3" numFmtId="0" xfId="0" applyAlignment="1" applyBorder="1" applyFill="1" applyFont="1">
      <alignment vertical="bottom"/>
    </xf>
    <xf borderId="3" fillId="3" fontId="3" numFmtId="0" xfId="0" applyAlignment="1" applyBorder="1" applyFill="1" applyFont="1">
      <alignment horizontal="right" vertical="bottom"/>
    </xf>
    <xf borderId="1" fillId="0" fontId="3" numFmtId="0" xfId="0" applyAlignment="1" applyBorder="1" applyFont="1">
      <alignment vertical="bottom"/>
    </xf>
    <xf borderId="3" fillId="2" fontId="1" numFmtId="0" xfId="0" applyAlignment="1" applyBorder="1" applyFill="1" applyFont="1">
      <alignment horizontal="right" readingOrder="0" vertical="bottom"/>
    </xf>
    <xf borderId="3" fillId="2" fontId="1" numFmtId="0" xfId="0" applyAlignment="1" applyBorder="1" applyFill="1" applyFont="1">
      <alignment vertical="bottom"/>
    </xf>
    <xf borderId="3" fillId="2" fontId="1" numFmtId="0" xfId="0" applyAlignment="1" applyBorder="1" applyFill="1" applyFont="1">
      <alignment horizontal="right" vertical="bottom"/>
    </xf>
    <xf borderId="3" fillId="2" fontId="1" numFmtId="9" xfId="0" applyAlignment="1" applyBorder="1" applyFill="1" applyFont="1" applyNumberFormat="1">
      <alignment horizontal="right" vertical="bottom"/>
    </xf>
    <xf borderId="3" fillId="2" fontId="1" numFmtId="3" xfId="0" applyAlignment="1" applyBorder="1" applyFill="1" applyFont="1" applyNumberFormat="1">
      <alignment horizontal="right" vertical="bottom"/>
    </xf>
    <xf borderId="0" fillId="0" fontId="9" numFmtId="0" xfId="0" applyFont="1"/>
    <xf borderId="0" fillId="2" fontId="10" numFmtId="166" xfId="0" applyAlignment="1" applyFill="1" applyFont="1" applyNumberFormat="1">
      <alignment horizontal="center" vertical="bottom"/>
    </xf>
    <xf borderId="0" fillId="2" fontId="11" numFmtId="166" xfId="0" applyAlignment="1" applyFill="1" applyFont="1" applyNumberFormat="1">
      <alignment vertical="bottom"/>
    </xf>
    <xf borderId="0" fillId="2" fontId="1" numFmtId="166" xfId="0" applyAlignment="1" applyFill="1" applyFont="1" applyNumberFormat="1">
      <alignment horizontal="center" vertical="bottom"/>
    </xf>
    <xf borderId="0" fillId="0" fontId="3" numFmtId="164" xfId="0" applyAlignment="1" applyFont="1" applyNumberFormat="1">
      <alignment vertical="bottom"/>
    </xf>
    <xf borderId="3" fillId="0" fontId="3" numFmtId="167" xfId="0" applyAlignment="1" applyBorder="1" applyFont="1" applyNumberFormat="1">
      <alignment vertical="bottom"/>
    </xf>
    <xf borderId="3" fillId="0" fontId="1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qNn7oF6yyvxxD1fInuWeghKguMRaWhJbY4kCHfAt9eE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bfvaRkPg7hhThd1patetasweQyGsxXNjOhhz2BsXI3w/edit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2pvBujn3IjAb-R7nOaYEMb8OmgYxmTGC8vXRMXJqBo/edit?usp=sharing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29.38"/>
    <col customWidth="1" min="3" max="3" width="14.75"/>
  </cols>
  <sheetData>
    <row r="2">
      <c r="B2" s="1" t="s">
        <v>0</v>
      </c>
      <c r="C2" s="2"/>
    </row>
    <row r="3">
      <c r="B3" s="3" t="s">
        <v>2</v>
      </c>
      <c r="C3" s="3" t="s">
        <v>4</v>
      </c>
    </row>
    <row r="4">
      <c r="B4" s="6" t="s">
        <v>6</v>
      </c>
      <c r="C4" s="16">
        <f>SUM(C5,C6,C7,C8)</f>
        <v>8850</v>
      </c>
    </row>
    <row r="5" outlineLevel="1">
      <c r="B5" s="17" t="s">
        <v>17</v>
      </c>
      <c r="C5" s="22">
        <f>'Offline &amp; RG Community'!G33</f>
        <v>7950</v>
      </c>
    </row>
    <row r="6" outlineLevel="1">
      <c r="B6" s="17" t="s">
        <v>22</v>
      </c>
      <c r="C6" s="24">
        <v>0.0</v>
      </c>
    </row>
    <row r="7" outlineLevel="1">
      <c r="B7" s="17" t="s">
        <v>23</v>
      </c>
      <c r="C7" s="24">
        <v>0.0</v>
      </c>
    </row>
    <row r="8" outlineLevel="1">
      <c r="B8" s="17" t="s">
        <v>24</v>
      </c>
      <c r="C8" s="24">
        <f>'Offline &amp; RG Community'!E33</f>
        <v>900</v>
      </c>
    </row>
    <row r="9">
      <c r="B9" s="6" t="s">
        <v>25</v>
      </c>
      <c r="C9" s="16">
        <f>SUM(C10:C13)</f>
        <v>40370</v>
      </c>
    </row>
    <row r="10" outlineLevel="1">
      <c r="B10" s="17" t="s">
        <v>26</v>
      </c>
      <c r="C10" s="22">
        <f>Hudle!C7</f>
        <v>17570</v>
      </c>
    </row>
    <row r="11" outlineLevel="1">
      <c r="B11" s="17" t="s">
        <v>34</v>
      </c>
      <c r="C11" s="22">
        <f>Playo!C3</f>
        <v>1450</v>
      </c>
    </row>
    <row r="12" outlineLevel="1">
      <c r="B12" s="17" t="s">
        <v>39</v>
      </c>
      <c r="C12" s="24">
        <f>District!C5</f>
        <v>21350</v>
      </c>
    </row>
    <row r="13" outlineLevel="1">
      <c r="B13" s="17" t="s">
        <v>43</v>
      </c>
      <c r="C13" s="24">
        <v>0.0</v>
      </c>
    </row>
    <row r="14">
      <c r="B14" s="35" t="s">
        <v>44</v>
      </c>
      <c r="C14" s="16">
        <f>SUM(C16,C15, C17,C18)</f>
        <v>600</v>
      </c>
    </row>
    <row r="15" outlineLevel="1">
      <c r="B15" s="34" t="s">
        <v>47</v>
      </c>
      <c r="C15" s="24">
        <v>0.0</v>
      </c>
    </row>
    <row r="16" outlineLevel="1">
      <c r="B16" s="34" t="s">
        <v>48</v>
      </c>
      <c r="C16" s="24">
        <v>0.0</v>
      </c>
    </row>
    <row r="17" outlineLevel="1">
      <c r="B17" s="34" t="s">
        <v>49</v>
      </c>
      <c r="C17" s="24">
        <f>'Offline &amp; RG Community'!F33</f>
        <v>600</v>
      </c>
    </row>
    <row r="18" outlineLevel="1">
      <c r="B18" s="17" t="s">
        <v>50</v>
      </c>
      <c r="C18" s="24">
        <v>0.0</v>
      </c>
    </row>
    <row r="19">
      <c r="B19" s="6" t="s">
        <v>51</v>
      </c>
      <c r="C19" s="43">
        <v>0.0</v>
      </c>
    </row>
    <row r="20">
      <c r="B20" s="17" t="s">
        <v>52</v>
      </c>
      <c r="C20" s="24">
        <v>0.0</v>
      </c>
    </row>
    <row r="21">
      <c r="B21" s="17" t="s">
        <v>53</v>
      </c>
      <c r="C21" s="24">
        <v>0.0</v>
      </c>
    </row>
    <row r="22">
      <c r="B22" s="45" t="s">
        <v>54</v>
      </c>
      <c r="C22" s="48">
        <f>0</f>
        <v>0</v>
      </c>
    </row>
    <row r="23">
      <c r="B23" s="6" t="s">
        <v>55</v>
      </c>
      <c r="C23" s="16">
        <f>sum(C4,C9,C14,C19,C20,C21,C22)</f>
        <v>49820</v>
      </c>
    </row>
    <row r="24">
      <c r="B24" s="51" t="s">
        <v>56</v>
      </c>
      <c r="C24" s="52">
        <f>'Offline &amp; RG Community'!H33 + Hudle!E7 + Playo!F3 + District!F5</f>
        <v>46834.92</v>
      </c>
    </row>
    <row r="25">
      <c r="B25" s="6" t="s">
        <v>57</v>
      </c>
      <c r="C25" s="16">
        <f>C24/1.18</f>
        <v>39690.61017</v>
      </c>
    </row>
    <row r="26">
      <c r="B26" s="56" t="s">
        <v>58</v>
      </c>
      <c r="C26" s="22">
        <f>C25*40%</f>
        <v>15876.24407</v>
      </c>
    </row>
  </sheetData>
  <mergeCells count="1"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2.75"/>
    <col customWidth="1" min="2" max="2" width="9.75"/>
    <col customWidth="1" min="3" max="3" width="21.63"/>
    <col customWidth="1" min="4" max="4" width="13.25"/>
    <col customWidth="1" min="5" max="5" width="15.13"/>
    <col customWidth="1" min="6" max="6" width="17.63"/>
  </cols>
  <sheetData>
    <row r="1">
      <c r="A1" s="4" t="s">
        <v>1</v>
      </c>
      <c r="B1" s="5" t="s">
        <v>5</v>
      </c>
      <c r="C1" s="5" t="s">
        <v>7</v>
      </c>
      <c r="D1" s="7" t="s">
        <v>8</v>
      </c>
      <c r="E1" s="8" t="s">
        <v>9</v>
      </c>
      <c r="F1" s="5" t="s">
        <v>10</v>
      </c>
      <c r="G1" s="8" t="s">
        <v>11</v>
      </c>
      <c r="H1" s="9" t="s">
        <v>12</v>
      </c>
    </row>
    <row r="2">
      <c r="A2" s="10">
        <v>46023.0</v>
      </c>
      <c r="B2" s="11" t="s">
        <v>13</v>
      </c>
      <c r="C2" s="13">
        <v>0.0</v>
      </c>
      <c r="D2" s="14">
        <v>0.2</v>
      </c>
      <c r="E2" s="15">
        <v>0.0</v>
      </c>
      <c r="F2" s="13">
        <v>0.0</v>
      </c>
      <c r="G2" s="13">
        <v>600.0</v>
      </c>
      <c r="H2" s="15">
        <f t="shared" ref="H2:H32" si="1">sum(E2:G2)</f>
        <v>600</v>
      </c>
    </row>
    <row r="3">
      <c r="A3" s="10">
        <v>46024.0</v>
      </c>
      <c r="B3" s="11" t="s">
        <v>21</v>
      </c>
      <c r="C3" s="13">
        <v>0.0</v>
      </c>
      <c r="D3" s="14">
        <v>0.2</v>
      </c>
      <c r="E3" s="15">
        <v>0.0</v>
      </c>
      <c r="F3" s="25">
        <v>0.0</v>
      </c>
      <c r="G3" s="15">
        <v>0.0</v>
      </c>
      <c r="H3" s="15">
        <f t="shared" si="1"/>
        <v>0</v>
      </c>
    </row>
    <row r="4">
      <c r="A4" s="10">
        <v>46025.0</v>
      </c>
      <c r="B4" s="11" t="s">
        <v>27</v>
      </c>
      <c r="C4" s="25">
        <v>0.0</v>
      </c>
      <c r="D4" s="14">
        <v>0.2</v>
      </c>
      <c r="E4" s="15">
        <v>0.0</v>
      </c>
      <c r="F4" s="25">
        <v>0.0</v>
      </c>
      <c r="G4" s="15">
        <v>100.0</v>
      </c>
      <c r="H4" s="15">
        <f t="shared" si="1"/>
        <v>100</v>
      </c>
    </row>
    <row r="5">
      <c r="A5" s="10">
        <v>46026.0</v>
      </c>
      <c r="B5" s="11" t="s">
        <v>32</v>
      </c>
      <c r="C5" s="25">
        <v>0.0</v>
      </c>
      <c r="D5" s="14">
        <v>0.2</v>
      </c>
      <c r="E5" s="15">
        <v>0.0</v>
      </c>
      <c r="F5" s="25">
        <v>0.0</v>
      </c>
      <c r="G5" s="15">
        <v>500.0</v>
      </c>
      <c r="H5" s="15">
        <f t="shared" si="1"/>
        <v>500</v>
      </c>
    </row>
    <row r="6">
      <c r="A6" s="10">
        <v>46027.0</v>
      </c>
      <c r="B6" s="11" t="s">
        <v>37</v>
      </c>
      <c r="C6" s="25">
        <v>0.0</v>
      </c>
      <c r="D6" s="14">
        <v>0.2</v>
      </c>
      <c r="E6" s="15">
        <v>0.0</v>
      </c>
      <c r="F6" s="25">
        <v>0.0</v>
      </c>
      <c r="G6" s="15">
        <v>500.0</v>
      </c>
      <c r="H6" s="15">
        <f t="shared" si="1"/>
        <v>500</v>
      </c>
    </row>
    <row r="7">
      <c r="A7" s="10">
        <v>46028.0</v>
      </c>
      <c r="B7" s="11" t="s">
        <v>38</v>
      </c>
      <c r="C7" s="25">
        <v>0.0</v>
      </c>
      <c r="D7" s="14">
        <v>0.2</v>
      </c>
      <c r="E7" s="25">
        <v>0.0</v>
      </c>
      <c r="F7" s="25">
        <v>0.0</v>
      </c>
      <c r="G7" s="25">
        <v>600.0</v>
      </c>
      <c r="H7" s="15">
        <f t="shared" si="1"/>
        <v>600</v>
      </c>
    </row>
    <row r="8">
      <c r="A8" s="10">
        <v>46029.0</v>
      </c>
      <c r="B8" s="11" t="s">
        <v>42</v>
      </c>
      <c r="C8" s="25">
        <v>0.0</v>
      </c>
      <c r="D8" s="14">
        <v>0.2</v>
      </c>
      <c r="E8" s="15">
        <v>0.0</v>
      </c>
      <c r="F8" s="25">
        <v>0.0</v>
      </c>
      <c r="G8" s="15">
        <v>300.0</v>
      </c>
      <c r="H8" s="15">
        <f t="shared" si="1"/>
        <v>300</v>
      </c>
    </row>
    <row r="9">
      <c r="A9" s="10">
        <v>46030.0</v>
      </c>
      <c r="B9" s="11" t="s">
        <v>13</v>
      </c>
      <c r="C9" s="13">
        <v>0.0</v>
      </c>
      <c r="D9" s="14">
        <v>0.2</v>
      </c>
      <c r="E9" s="15">
        <v>0.0</v>
      </c>
      <c r="F9" s="13">
        <v>0.0</v>
      </c>
      <c r="G9" s="15">
        <v>0.0</v>
      </c>
      <c r="H9" s="15">
        <f t="shared" si="1"/>
        <v>0</v>
      </c>
    </row>
    <row r="10">
      <c r="A10" s="10">
        <v>46031.0</v>
      </c>
      <c r="B10" s="11" t="s">
        <v>21</v>
      </c>
      <c r="C10" s="13">
        <v>0.0</v>
      </c>
      <c r="D10" s="14">
        <v>0.2</v>
      </c>
      <c r="E10" s="15">
        <v>0.0</v>
      </c>
      <c r="F10" s="13">
        <v>0.0</v>
      </c>
      <c r="G10" s="15">
        <v>200.0</v>
      </c>
      <c r="H10" s="15">
        <f t="shared" si="1"/>
        <v>200</v>
      </c>
    </row>
    <row r="11">
      <c r="A11" s="10">
        <v>46032.0</v>
      </c>
      <c r="B11" s="11" t="s">
        <v>27</v>
      </c>
      <c r="C11" s="13">
        <v>0.0</v>
      </c>
      <c r="D11" s="14">
        <v>0.2</v>
      </c>
      <c r="E11" s="15">
        <v>0.0</v>
      </c>
      <c r="F11" s="13">
        <v>0.0</v>
      </c>
      <c r="G11" s="13">
        <v>850.0</v>
      </c>
      <c r="H11" s="15">
        <f t="shared" si="1"/>
        <v>850</v>
      </c>
    </row>
    <row r="12">
      <c r="A12" s="10">
        <v>46033.0</v>
      </c>
      <c r="B12" s="11" t="s">
        <v>32</v>
      </c>
      <c r="C12" s="25">
        <v>0.0</v>
      </c>
      <c r="D12" s="14">
        <v>0.2</v>
      </c>
      <c r="E12" s="25">
        <v>0.0</v>
      </c>
      <c r="F12" s="25">
        <v>0.0</v>
      </c>
      <c r="G12" s="15">
        <v>200.0</v>
      </c>
      <c r="H12" s="15">
        <f t="shared" si="1"/>
        <v>200</v>
      </c>
    </row>
    <row r="13">
      <c r="A13" s="10">
        <v>46034.0</v>
      </c>
      <c r="B13" s="11" t="s">
        <v>37</v>
      </c>
      <c r="C13" s="25">
        <v>0.0</v>
      </c>
      <c r="D13" s="14">
        <v>0.2</v>
      </c>
      <c r="E13" s="15">
        <v>0.0</v>
      </c>
      <c r="F13" s="25">
        <v>0.0</v>
      </c>
      <c r="G13" s="15">
        <v>0.0</v>
      </c>
      <c r="H13" s="15">
        <f t="shared" si="1"/>
        <v>0</v>
      </c>
    </row>
    <row r="14">
      <c r="A14" s="10">
        <v>46035.0</v>
      </c>
      <c r="B14" s="11" t="s">
        <v>38</v>
      </c>
      <c r="C14" s="25">
        <v>0.0</v>
      </c>
      <c r="D14" s="14">
        <v>0.2</v>
      </c>
      <c r="E14" s="25">
        <v>0.0</v>
      </c>
      <c r="F14" s="25">
        <v>0.0</v>
      </c>
      <c r="G14" s="25">
        <v>0.0</v>
      </c>
      <c r="H14" s="15">
        <f t="shared" si="1"/>
        <v>0</v>
      </c>
    </row>
    <row r="15">
      <c r="A15" s="10">
        <v>46036.0</v>
      </c>
      <c r="B15" s="11" t="s">
        <v>42</v>
      </c>
      <c r="C15" s="13">
        <v>0.0</v>
      </c>
      <c r="D15" s="14">
        <v>0.2</v>
      </c>
      <c r="E15" s="13">
        <v>0.0</v>
      </c>
      <c r="F15" s="13">
        <v>0.0</v>
      </c>
      <c r="G15" s="13">
        <v>0.0</v>
      </c>
      <c r="H15" s="15">
        <f t="shared" si="1"/>
        <v>0</v>
      </c>
    </row>
    <row r="16">
      <c r="A16" s="10">
        <v>46037.0</v>
      </c>
      <c r="B16" s="11" t="s">
        <v>13</v>
      </c>
      <c r="C16" s="25">
        <v>0.0</v>
      </c>
      <c r="D16" s="14">
        <v>0.2</v>
      </c>
      <c r="E16" s="25">
        <v>0.0</v>
      </c>
      <c r="F16" s="25">
        <v>0.0</v>
      </c>
      <c r="G16" s="25">
        <v>0.0</v>
      </c>
      <c r="H16" s="15">
        <f t="shared" si="1"/>
        <v>0</v>
      </c>
    </row>
    <row r="17">
      <c r="A17" s="10">
        <v>46038.0</v>
      </c>
      <c r="B17" s="11" t="s">
        <v>21</v>
      </c>
      <c r="C17" s="25">
        <v>0.0</v>
      </c>
      <c r="D17" s="14">
        <v>0.2</v>
      </c>
      <c r="E17" s="25">
        <v>0.0</v>
      </c>
      <c r="F17" s="25">
        <v>0.0</v>
      </c>
      <c r="G17" s="25">
        <v>0.0</v>
      </c>
      <c r="H17" s="15">
        <f t="shared" si="1"/>
        <v>0</v>
      </c>
    </row>
    <row r="18">
      <c r="A18" s="10">
        <v>46039.0</v>
      </c>
      <c r="B18" s="11" t="s">
        <v>27</v>
      </c>
      <c r="C18" s="25">
        <v>0.0</v>
      </c>
      <c r="D18" s="14">
        <v>0.2</v>
      </c>
      <c r="E18" s="25">
        <v>0.0</v>
      </c>
      <c r="F18" s="25">
        <v>0.0</v>
      </c>
      <c r="G18" s="25">
        <v>0.0</v>
      </c>
      <c r="H18" s="15">
        <f t="shared" si="1"/>
        <v>0</v>
      </c>
    </row>
    <row r="19">
      <c r="A19" s="10">
        <v>46040.0</v>
      </c>
      <c r="B19" s="11" t="s">
        <v>32</v>
      </c>
      <c r="C19" s="47">
        <v>2.0</v>
      </c>
      <c r="D19" s="14">
        <v>0.2</v>
      </c>
      <c r="E19" s="13">
        <v>0.0</v>
      </c>
      <c r="F19" s="13">
        <v>600.0</v>
      </c>
      <c r="G19" s="13">
        <v>1350.0</v>
      </c>
      <c r="H19" s="15">
        <f t="shared" si="1"/>
        <v>1950</v>
      </c>
    </row>
    <row r="20">
      <c r="A20" s="10">
        <v>46041.0</v>
      </c>
      <c r="B20" s="11" t="s">
        <v>37</v>
      </c>
      <c r="C20" s="25">
        <v>0.0</v>
      </c>
      <c r="D20" s="14">
        <v>0.2</v>
      </c>
      <c r="E20" s="15">
        <v>0.0</v>
      </c>
      <c r="F20" s="25">
        <v>0.0</v>
      </c>
      <c r="G20" s="25">
        <v>0.0</v>
      </c>
      <c r="H20" s="15">
        <f t="shared" si="1"/>
        <v>0</v>
      </c>
    </row>
    <row r="21">
      <c r="A21" s="10">
        <v>46042.0</v>
      </c>
      <c r="B21" s="11" t="s">
        <v>38</v>
      </c>
      <c r="C21" s="25">
        <v>0.0</v>
      </c>
      <c r="D21" s="14">
        <v>0.2</v>
      </c>
      <c r="E21" s="15">
        <v>0.0</v>
      </c>
      <c r="F21" s="25">
        <v>0.0</v>
      </c>
      <c r="G21" s="25">
        <v>200.0</v>
      </c>
      <c r="H21" s="15">
        <f t="shared" si="1"/>
        <v>200</v>
      </c>
    </row>
    <row r="22">
      <c r="A22" s="10">
        <v>46043.0</v>
      </c>
      <c r="B22" s="11" t="s">
        <v>42</v>
      </c>
      <c r="C22" s="25">
        <v>0.0</v>
      </c>
      <c r="D22" s="14">
        <v>0.2</v>
      </c>
      <c r="E22" s="15">
        <v>0.0</v>
      </c>
      <c r="F22" s="25">
        <v>0.0</v>
      </c>
      <c r="G22" s="25">
        <v>300.0</v>
      </c>
      <c r="H22" s="15">
        <f t="shared" si="1"/>
        <v>300</v>
      </c>
    </row>
    <row r="23">
      <c r="A23" s="10">
        <v>46044.0</v>
      </c>
      <c r="B23" s="11" t="s">
        <v>13</v>
      </c>
      <c r="C23" s="25">
        <v>0.0</v>
      </c>
      <c r="D23" s="14">
        <v>0.2</v>
      </c>
      <c r="E23" s="25">
        <v>0.0</v>
      </c>
      <c r="F23" s="25">
        <v>0.0</v>
      </c>
      <c r="G23" s="25">
        <v>200.0</v>
      </c>
      <c r="H23" s="15">
        <f t="shared" si="1"/>
        <v>200</v>
      </c>
    </row>
    <row r="24">
      <c r="A24" s="10">
        <v>46045.0</v>
      </c>
      <c r="B24" s="11" t="s">
        <v>21</v>
      </c>
      <c r="C24" s="25">
        <v>0.0</v>
      </c>
      <c r="D24" s="14">
        <v>0.2</v>
      </c>
      <c r="E24" s="25">
        <v>0.0</v>
      </c>
      <c r="F24" s="25">
        <v>0.0</v>
      </c>
      <c r="G24" s="25">
        <v>0.0</v>
      </c>
      <c r="H24" s="15">
        <f t="shared" si="1"/>
        <v>0</v>
      </c>
    </row>
    <row r="25">
      <c r="A25" s="10">
        <v>46046.0</v>
      </c>
      <c r="B25" s="11" t="s">
        <v>27</v>
      </c>
      <c r="C25" s="25">
        <v>0.0</v>
      </c>
      <c r="D25" s="14">
        <v>0.2</v>
      </c>
      <c r="E25" s="25">
        <v>0.0</v>
      </c>
      <c r="F25" s="25">
        <v>0.0</v>
      </c>
      <c r="G25" s="25">
        <v>100.0</v>
      </c>
      <c r="H25" s="15">
        <f t="shared" si="1"/>
        <v>100</v>
      </c>
    </row>
    <row r="26">
      <c r="A26" s="10">
        <v>46047.0</v>
      </c>
      <c r="B26" s="11" t="s">
        <v>32</v>
      </c>
      <c r="C26" s="25">
        <v>0.0</v>
      </c>
      <c r="D26" s="14">
        <v>0.2</v>
      </c>
      <c r="E26" s="25">
        <v>0.0</v>
      </c>
      <c r="F26" s="25">
        <v>0.0</v>
      </c>
      <c r="G26" s="25">
        <v>300.0</v>
      </c>
      <c r="H26" s="15">
        <f t="shared" si="1"/>
        <v>300</v>
      </c>
    </row>
    <row r="27">
      <c r="A27" s="53">
        <v>46048.0</v>
      </c>
      <c r="B27" s="54" t="s">
        <v>37</v>
      </c>
      <c r="C27" s="55">
        <v>0.0</v>
      </c>
      <c r="D27" s="14">
        <v>0.2</v>
      </c>
      <c r="E27" s="55">
        <v>0.0</v>
      </c>
      <c r="F27" s="55">
        <v>0.0</v>
      </c>
      <c r="G27" s="55">
        <v>700.0</v>
      </c>
      <c r="H27" s="15">
        <f t="shared" si="1"/>
        <v>700</v>
      </c>
    </row>
    <row r="28">
      <c r="A28" s="10">
        <v>46049.0</v>
      </c>
      <c r="B28" s="11" t="s">
        <v>38</v>
      </c>
      <c r="C28" s="25">
        <v>0.0</v>
      </c>
      <c r="D28" s="14">
        <v>0.2</v>
      </c>
      <c r="E28" s="25">
        <v>0.0</v>
      </c>
      <c r="F28" s="34">
        <v>0.0</v>
      </c>
      <c r="G28" s="25">
        <v>0.0</v>
      </c>
      <c r="H28" s="15">
        <f t="shared" si="1"/>
        <v>0</v>
      </c>
    </row>
    <row r="29">
      <c r="A29" s="10">
        <v>46050.0</v>
      </c>
      <c r="B29" s="11" t="s">
        <v>42</v>
      </c>
      <c r="C29" s="25">
        <v>1.0</v>
      </c>
      <c r="D29" s="14">
        <v>0.2</v>
      </c>
      <c r="E29" s="34">
        <v>450.0</v>
      </c>
      <c r="F29" s="47">
        <v>0.0</v>
      </c>
      <c r="G29" s="25">
        <v>50.0</v>
      </c>
      <c r="H29" s="15">
        <f t="shared" si="1"/>
        <v>500</v>
      </c>
    </row>
    <row r="30">
      <c r="A30" s="10">
        <v>46051.0</v>
      </c>
      <c r="B30" s="11" t="s">
        <v>13</v>
      </c>
      <c r="C30" s="25">
        <v>0.0</v>
      </c>
      <c r="D30" s="14">
        <v>0.2</v>
      </c>
      <c r="E30" s="25">
        <v>0.0</v>
      </c>
      <c r="F30" s="25">
        <v>0.0</v>
      </c>
      <c r="G30" s="25">
        <v>300.0</v>
      </c>
      <c r="H30" s="15">
        <f t="shared" si="1"/>
        <v>300</v>
      </c>
    </row>
    <row r="31">
      <c r="A31" s="10">
        <v>46052.0</v>
      </c>
      <c r="B31" s="11" t="s">
        <v>21</v>
      </c>
      <c r="C31" s="25">
        <v>0.0</v>
      </c>
      <c r="D31" s="14">
        <v>0.2</v>
      </c>
      <c r="E31" s="25">
        <v>0.0</v>
      </c>
      <c r="F31" s="25">
        <v>0.0</v>
      </c>
      <c r="G31" s="25">
        <v>300.0</v>
      </c>
      <c r="H31" s="15">
        <f t="shared" si="1"/>
        <v>300</v>
      </c>
    </row>
    <row r="32">
      <c r="A32" s="10">
        <v>46053.0</v>
      </c>
      <c r="B32" s="11" t="s">
        <v>27</v>
      </c>
      <c r="C32" s="25">
        <v>1.0</v>
      </c>
      <c r="D32" s="14">
        <v>0.2</v>
      </c>
      <c r="E32" s="25">
        <v>450.0</v>
      </c>
      <c r="F32" s="25">
        <v>0.0</v>
      </c>
      <c r="G32" s="25">
        <v>300.0</v>
      </c>
      <c r="H32" s="15">
        <f t="shared" si="1"/>
        <v>750</v>
      </c>
    </row>
    <row r="33">
      <c r="A33" s="57" t="s">
        <v>59</v>
      </c>
      <c r="B33" s="58"/>
      <c r="C33" s="59">
        <f>SUM(C2:C32)</f>
        <v>4</v>
      </c>
      <c r="D33" s="60"/>
      <c r="E33" s="61">
        <f t="shared" ref="E33:H33" si="2">SUM(E2:E32)</f>
        <v>900</v>
      </c>
      <c r="F33" s="59">
        <f t="shared" si="2"/>
        <v>600</v>
      </c>
      <c r="G33" s="59">
        <f t="shared" si="2"/>
        <v>7950</v>
      </c>
      <c r="H33" s="61">
        <f t="shared" si="2"/>
        <v>9450</v>
      </c>
      <c r="I33" s="62"/>
      <c r="J33" s="62"/>
      <c r="K33" s="62"/>
      <c r="L33" s="62"/>
      <c r="M33" s="62"/>
      <c r="N33" s="62"/>
      <c r="O33" s="62"/>
      <c r="P33" s="6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3.0"/>
    <col customWidth="1" min="4" max="4" width="23.88"/>
    <col customWidth="1" min="5" max="5" width="11.13"/>
  </cols>
  <sheetData>
    <row r="1">
      <c r="A1" s="12" t="s">
        <v>3</v>
      </c>
      <c r="B1" s="5" t="s">
        <v>1</v>
      </c>
      <c r="C1" s="5" t="s">
        <v>14</v>
      </c>
      <c r="D1" s="5" t="s">
        <v>15</v>
      </c>
      <c r="E1" s="5" t="s">
        <v>16</v>
      </c>
      <c r="F1" s="5" t="s">
        <v>18</v>
      </c>
      <c r="G1" s="5" t="s">
        <v>19</v>
      </c>
      <c r="H1" s="18" t="s">
        <v>4</v>
      </c>
      <c r="I1" s="19"/>
    </row>
    <row r="2">
      <c r="A2" s="20"/>
      <c r="B2" s="21" t="s">
        <v>20</v>
      </c>
      <c r="C2" s="23">
        <v>5520.0</v>
      </c>
      <c r="D2" s="23">
        <v>685.1</v>
      </c>
      <c r="E2" s="27">
        <f t="shared" ref="E2:E6" si="1">C2 - D2</f>
        <v>4834.9</v>
      </c>
      <c r="F2" s="23">
        <v>4.4</v>
      </c>
      <c r="G2" s="23">
        <v>22.33</v>
      </c>
      <c r="H2" s="28">
        <v>4558.11</v>
      </c>
    </row>
    <row r="3">
      <c r="A3" s="29"/>
      <c r="B3" s="30" t="s">
        <v>31</v>
      </c>
      <c r="C3" s="23">
        <v>6500.0</v>
      </c>
      <c r="D3" s="23">
        <v>845.0</v>
      </c>
      <c r="E3" s="27">
        <f t="shared" si="1"/>
        <v>5655</v>
      </c>
      <c r="F3" s="23">
        <v>5.5</v>
      </c>
      <c r="G3" s="23">
        <v>27.54</v>
      </c>
      <c r="H3" s="28">
        <v>5621.97</v>
      </c>
    </row>
    <row r="4">
      <c r="A4" s="31"/>
      <c r="B4" s="33" t="s">
        <v>40</v>
      </c>
      <c r="C4" s="33">
        <v>450.0</v>
      </c>
      <c r="D4" s="33">
        <v>58.6</v>
      </c>
      <c r="E4" s="27">
        <f t="shared" si="1"/>
        <v>391.4</v>
      </c>
      <c r="F4" s="33">
        <v>0.38</v>
      </c>
      <c r="G4" s="33">
        <v>1.9</v>
      </c>
      <c r="H4" s="37">
        <v>389.21</v>
      </c>
    </row>
    <row r="5">
      <c r="A5" s="33"/>
      <c r="B5" s="33" t="s">
        <v>45</v>
      </c>
      <c r="C5" s="39">
        <v>2925.0</v>
      </c>
      <c r="D5" s="33">
        <v>380.25</v>
      </c>
      <c r="E5" s="27">
        <f t="shared" si="1"/>
        <v>2544.75</v>
      </c>
      <c r="F5" s="33">
        <v>2.47</v>
      </c>
      <c r="G5" s="33">
        <v>12.39</v>
      </c>
      <c r="H5" s="39">
        <v>2529.88</v>
      </c>
    </row>
    <row r="6">
      <c r="A6" s="31"/>
      <c r="B6" s="33" t="s">
        <v>46</v>
      </c>
      <c r="C6" s="39">
        <v>2175.0</v>
      </c>
      <c r="D6" s="33">
        <v>289.25</v>
      </c>
      <c r="E6" s="40">
        <f t="shared" si="1"/>
        <v>1885.75</v>
      </c>
      <c r="F6" s="33">
        <v>1.88</v>
      </c>
      <c r="G6" s="33">
        <v>9.42</v>
      </c>
      <c r="H6" s="39">
        <v>1924.43</v>
      </c>
    </row>
    <row r="7">
      <c r="A7" s="17"/>
      <c r="B7" s="17"/>
      <c r="C7" s="44">
        <f>SUM(C2:C6)</f>
        <v>17570</v>
      </c>
      <c r="D7" s="6"/>
      <c r="E7" s="44">
        <f>SUM(E2:E6)</f>
        <v>15311.8</v>
      </c>
      <c r="F7" s="17"/>
      <c r="G7" s="17"/>
      <c r="H7" s="44">
        <f>SUM(H2:H6)</f>
        <v>15023.6</v>
      </c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3.0"/>
    <col customWidth="1" min="3" max="3" width="14.0"/>
    <col customWidth="1" min="4" max="4" width="14.38"/>
    <col customWidth="1" min="5" max="5" width="6.88"/>
    <col customWidth="1" min="6" max="6" width="11.13"/>
    <col customWidth="1" min="7" max="8" width="6.88"/>
    <col customWidth="1" min="9" max="9" width="14.13"/>
  </cols>
  <sheetData>
    <row r="1">
      <c r="A1" s="26" t="s">
        <v>3</v>
      </c>
      <c r="B1" s="5" t="s">
        <v>1</v>
      </c>
      <c r="C1" s="5" t="s">
        <v>28</v>
      </c>
      <c r="D1" s="5" t="s">
        <v>29</v>
      </c>
      <c r="E1" s="5" t="s">
        <v>30</v>
      </c>
      <c r="F1" s="5" t="s">
        <v>16</v>
      </c>
      <c r="G1" s="5" t="s">
        <v>33</v>
      </c>
      <c r="H1" s="5" t="s">
        <v>35</v>
      </c>
      <c r="I1" s="5" t="s">
        <v>36</v>
      </c>
    </row>
    <row r="2">
      <c r="A2" s="32"/>
      <c r="B2" s="34" t="s">
        <v>41</v>
      </c>
      <c r="C2" s="36">
        <v>1450.0</v>
      </c>
      <c r="D2" s="38">
        <v>189.0</v>
      </c>
      <c r="E2" s="38">
        <v>34.02</v>
      </c>
      <c r="F2" s="41">
        <f>C2 -D2-E2</f>
        <v>1226.98</v>
      </c>
      <c r="G2" s="38">
        <v>1.45</v>
      </c>
      <c r="H2" s="38">
        <v>7.25</v>
      </c>
      <c r="I2" s="38">
        <v>1218.28</v>
      </c>
    </row>
    <row r="3">
      <c r="A3" s="42"/>
      <c r="B3" s="17"/>
      <c r="C3" s="46">
        <f>SUM(C2)</f>
        <v>1450</v>
      </c>
      <c r="D3" s="49"/>
      <c r="E3" s="17"/>
      <c r="F3" s="50">
        <f>SUM(F2)</f>
        <v>1226.98</v>
      </c>
      <c r="G3" s="17"/>
      <c r="H3" s="17"/>
      <c r="I3" s="46">
        <f>SUM(I2)</f>
        <v>1218.28</v>
      </c>
    </row>
  </sheetData>
  <hyperlinks>
    <hyperlink r:id="rId1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12.75"/>
    <col customWidth="1" min="4" max="4" width="14.38"/>
    <col customWidth="1" min="5" max="6" width="16.0"/>
    <col customWidth="1" min="9" max="9" width="14.13"/>
  </cols>
  <sheetData>
    <row r="1">
      <c r="A1" s="63" t="s">
        <v>3</v>
      </c>
      <c r="B1" s="18" t="s">
        <v>1</v>
      </c>
      <c r="C1" s="18" t="s">
        <v>60</v>
      </c>
      <c r="D1" s="18" t="s">
        <v>29</v>
      </c>
      <c r="E1" s="64" t="s">
        <v>61</v>
      </c>
      <c r="F1" s="18" t="s">
        <v>16</v>
      </c>
      <c r="G1" s="65" t="s">
        <v>19</v>
      </c>
      <c r="H1" s="65" t="s">
        <v>18</v>
      </c>
      <c r="I1" s="18" t="s">
        <v>36</v>
      </c>
    </row>
    <row r="2">
      <c r="A2" s="66"/>
      <c r="B2" s="31" t="s">
        <v>62</v>
      </c>
      <c r="C2" s="39">
        <v>3350.0</v>
      </c>
      <c r="D2" s="33">
        <f t="shared" ref="D2:D4" si="1">C2*2%</f>
        <v>67</v>
      </c>
      <c r="E2" s="67">
        <f t="shared" ref="E2:E4" si="2">D2*18%</f>
        <v>12.06</v>
      </c>
      <c r="F2" s="67">
        <f t="shared" ref="F2:F4" si="3">C2-D2-E2</f>
        <v>3270.94</v>
      </c>
      <c r="G2" s="31">
        <f t="shared" ref="G2:G4" si="4">C2*0.5%</f>
        <v>16.75</v>
      </c>
      <c r="H2" s="31">
        <f t="shared" ref="H2:H4" si="5">D2*0.1%</f>
        <v>0.067</v>
      </c>
      <c r="I2" s="31">
        <f t="shared" ref="I2:I4" si="6">F2-G2-H2</f>
        <v>3254.123</v>
      </c>
    </row>
    <row r="3">
      <c r="A3" s="42"/>
      <c r="B3" s="34" t="s">
        <v>40</v>
      </c>
      <c r="C3" s="33">
        <v>4050.0</v>
      </c>
      <c r="D3" s="33">
        <f t="shared" si="1"/>
        <v>81</v>
      </c>
      <c r="E3" s="67">
        <f t="shared" si="2"/>
        <v>14.58</v>
      </c>
      <c r="F3" s="67">
        <f t="shared" si="3"/>
        <v>3954.42</v>
      </c>
      <c r="G3" s="31">
        <f t="shared" si="4"/>
        <v>20.25</v>
      </c>
      <c r="H3" s="31">
        <f t="shared" si="5"/>
        <v>0.081</v>
      </c>
      <c r="I3" s="31">
        <f t="shared" si="6"/>
        <v>3934.089</v>
      </c>
    </row>
    <row r="4">
      <c r="A4" s="42"/>
      <c r="B4" s="34" t="s">
        <v>63</v>
      </c>
      <c r="C4" s="39">
        <v>13950.0</v>
      </c>
      <c r="D4" s="33">
        <f t="shared" si="1"/>
        <v>279</v>
      </c>
      <c r="E4" s="67">
        <f t="shared" si="2"/>
        <v>50.22</v>
      </c>
      <c r="F4" s="67">
        <f t="shared" si="3"/>
        <v>13620.78</v>
      </c>
      <c r="G4" s="31">
        <f t="shared" si="4"/>
        <v>69.75</v>
      </c>
      <c r="H4" s="31">
        <f t="shared" si="5"/>
        <v>0.279</v>
      </c>
      <c r="I4" s="31">
        <f t="shared" si="6"/>
        <v>13550.751</v>
      </c>
    </row>
    <row r="5">
      <c r="A5" s="42"/>
      <c r="B5" s="6" t="s">
        <v>59</v>
      </c>
      <c r="C5" s="52">
        <f>SUM(C2:C4)</f>
        <v>21350</v>
      </c>
      <c r="D5" s="68"/>
      <c r="E5" s="68"/>
      <c r="F5" s="44">
        <f>SUM(F2:F4)</f>
        <v>20846.14</v>
      </c>
      <c r="G5" s="68"/>
      <c r="H5" s="68"/>
      <c r="I5" s="52">
        <f>SUM(I2:I4)</f>
        <v>20738.963</v>
      </c>
    </row>
  </sheetData>
  <hyperlinks>
    <hyperlink r:id="rId1" ref="A1"/>
  </hyperlinks>
  <drawing r:id="rId2"/>
</worksheet>
</file>