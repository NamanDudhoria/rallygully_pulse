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</sheets>
  <definedNames/>
  <calcPr/>
</workbook>
</file>

<file path=xl/sharedStrings.xml><?xml version="1.0" encoding="utf-8"?>
<sst xmlns="http://schemas.openxmlformats.org/spreadsheetml/2006/main" count="89" uniqueCount="61">
  <si>
    <t>Link</t>
  </si>
  <si>
    <t>Date</t>
  </si>
  <si>
    <t>1 - 31 Aug</t>
  </si>
  <si>
    <t>Day</t>
  </si>
  <si>
    <t>Offline booking hours</t>
  </si>
  <si>
    <t>Booking Revenue</t>
  </si>
  <si>
    <t>Community Revenue</t>
  </si>
  <si>
    <t xml:space="preserve">Paddle Rental </t>
  </si>
  <si>
    <t>Total Revenue</t>
  </si>
  <si>
    <t>Payment Gateway</t>
  </si>
  <si>
    <t>Net Revenue</t>
  </si>
  <si>
    <t>Particulars</t>
  </si>
  <si>
    <t>Amount</t>
  </si>
  <si>
    <t>Saturday</t>
  </si>
  <si>
    <t>Pickleball</t>
  </si>
  <si>
    <t>Pay &amp; Play</t>
  </si>
  <si>
    <t>Paid to District</t>
  </si>
  <si>
    <t>Commissions (₹)</t>
  </si>
  <si>
    <t>GST on Commission</t>
  </si>
  <si>
    <t>TCS</t>
  </si>
  <si>
    <t>TDS</t>
  </si>
  <si>
    <t>Final Amount (₹)</t>
  </si>
  <si>
    <t xml:space="preserve">Online </t>
  </si>
  <si>
    <t>District</t>
  </si>
  <si>
    <t>Sunday</t>
  </si>
  <si>
    <t>Monday</t>
  </si>
  <si>
    <t>Hudle</t>
  </si>
  <si>
    <t>Tuesday</t>
  </si>
  <si>
    <t>Playo</t>
  </si>
  <si>
    <t>Total</t>
  </si>
  <si>
    <t>Wednesday</t>
  </si>
  <si>
    <t>Khelomore</t>
  </si>
  <si>
    <t>Thursday</t>
  </si>
  <si>
    <t>Zplys</t>
  </si>
  <si>
    <t>Offline</t>
  </si>
  <si>
    <t>Friday</t>
  </si>
  <si>
    <t>Bookings</t>
  </si>
  <si>
    <t>Memberships</t>
  </si>
  <si>
    <t>Community</t>
  </si>
  <si>
    <t>Pickup games</t>
  </si>
  <si>
    <t>Social Events/Tournaments</t>
  </si>
  <si>
    <t>Community Partnership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</si>
  <si>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</si>
  <si>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</si>
  <si>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</si>
  <si>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</si>
  <si>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</si>
  <si>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</si>
  <si>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</si>
  <si>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</si>
  <si>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</si>
  <si>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</si>
  <si>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GST (B)</t>
  </si>
  <si>
    <t>Commissions, Payment gateway &amp; Event Expense(C)</t>
  </si>
  <si>
    <t>Net Revenue (A-B-C)</t>
  </si>
  <si>
    <t>Expenses</t>
  </si>
  <si>
    <t>VM Salary</t>
  </si>
  <si>
    <t>Support Staff</t>
  </si>
  <si>
    <t>Marketing, Branding &amp; Community</t>
  </si>
  <si>
    <t>Balls</t>
  </si>
  <si>
    <t>Net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</si>
</sst>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"/>
    <numFmt numFmtId="165" formatCode="[&gt;9999999][$₹]##\,##\,##\,##0;[&gt;99999][$₹]##\,##\,##0;[$₹]##,##0"/>
    <numFmt numFmtId="166" formatCode="d mmmm"/>
    <numFmt numFmtId="167" formatCode="[$₹]#,##0.00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u/>
      <color rgb="FF1155CC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164" xfId="0" applyAlignment="1" applyBorder="1" applyFill="1" applyFont="1" applyNumberFormat="1">
      <alignment horizontal="center" vertical="bottom"/>
    </xf>
    <xf borderId="1" fillId="2" fontId="2" numFmtId="3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1" fillId="2" fontId="2" numFmtId="3" xfId="0" applyAlignment="1" applyBorder="1" applyFill="1" applyFont="1" applyNumberFormat="1">
      <alignment vertical="bottom"/>
    </xf>
    <xf borderId="1" fillId="0" fontId="2" numFmtId="165" xfId="0" applyAlignment="1" applyBorder="1" applyFont="1" applyNumberFormat="1">
      <alignment horizontal="center" vertical="bottom"/>
    </xf>
    <xf borderId="1" fillId="3" fontId="1" numFmtId="166" xfId="0" applyAlignment="1" applyBorder="1" applyFill="1" applyFont="1" applyNumberForma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3" fontId="1" numFmtId="3" xfId="0" applyAlignment="1" applyBorder="1" applyFill="1" applyFont="1" applyNumberFormat="1">
      <alignment vertical="bottom"/>
    </xf>
    <xf borderId="1" fillId="2" fontId="4" numFmtId="167" xfId="0" applyAlignment="1" applyBorder="1" applyFill="1" applyFont="1" applyNumberFormat="1">
      <alignment horizontal="center" vertical="bottom"/>
    </xf>
    <xf borderId="1" fillId="3" fontId="1" numFmtId="3" xfId="0" applyAlignment="1" applyBorder="1" applyFill="1" applyFont="1" applyNumberFormat="1">
      <alignment horizontal="right" vertical="bottom"/>
    </xf>
    <xf borderId="1" fillId="2" fontId="1" numFmtId="165" xfId="0" applyAlignment="1" applyBorder="1" applyFill="1" applyFont="1" applyNumberFormat="1">
      <alignment vertical="bottom"/>
    </xf>
    <xf borderId="1" fillId="0" fontId="1" numFmtId="3" xfId="0" applyAlignment="1" applyBorder="1" applyFont="1" applyNumberFormat="1">
      <alignment horizontal="right"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0" fontId="2" numFmtId="165" xfId="0" applyAlignment="1" applyBorder="1" applyFont="1" applyNumberFormat="1">
      <alignment vertical="bottom"/>
    </xf>
    <xf borderId="0" fillId="2" fontId="5" numFmtId="164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1" fillId="0" fontId="1" numFmtId="167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 vertical="bottom"/>
    </xf>
    <xf borderId="1" fillId="0" fontId="1" numFmtId="165" xfId="0" applyAlignment="1" applyBorder="1" applyFont="1" applyNumberFormat="1">
      <alignment vertical="bottom"/>
    </xf>
    <xf borderId="1" fillId="0" fontId="1" numFmtId="165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0" fillId="0" fontId="1" numFmtId="167" xfId="0" applyAlignment="1" applyFont="1" applyNumberFormat="1">
      <alignment vertical="bottom"/>
    </xf>
    <xf borderId="1" fillId="2" fontId="1" numFmtId="164" xfId="0" applyAlignment="1" applyBorder="1" applyFill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3" xfId="0" applyAlignment="1" applyFont="1" applyNumberFormat="1">
      <alignment horizontal="right" vertical="bottom"/>
    </xf>
    <xf borderId="1" fillId="0" fontId="2" numFmtId="164" xfId="0" applyAlignment="1" applyBorder="1" applyFont="1" applyNumberFormat="1">
      <alignment vertical="bottom"/>
    </xf>
    <xf borderId="1" fillId="2" fontId="2" numFmtId="167" xfId="0" applyAlignment="1" applyBorder="1" applyFill="1" applyFont="1" applyNumberFormat="1">
      <alignment vertical="bottom"/>
    </xf>
    <xf borderId="1" fillId="0" fontId="1" numFmtId="16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horizontal="right" vertical="bottom"/>
    </xf>
    <xf borderId="1" fillId="3" fontId="2" numFmtId="3" xfId="0" applyAlignment="1" applyBorder="1" applyFill="1" applyFont="1" applyNumberFormat="1">
      <alignment horizontal="right" vertical="bottom"/>
    </xf>
    <xf borderId="1" fillId="2" fontId="1" numFmtId="3" xfId="0" applyAlignment="1" applyBorder="1" applyFill="1" applyFont="1" applyNumberFormat="1">
      <alignment vertical="bottom"/>
    </xf>
    <xf borderId="1" fillId="2" fontId="2" numFmtId="3" xfId="0" applyAlignment="1" applyBorder="1" applyFill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8XGMIu4VUdMlUKHCiFTY47ny0l-EAjh6B-5upIrIfk/edit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5" t="s">
        <v>2</v>
      </c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8" t="s">
        <v>11</v>
      </c>
      <c r="C3" s="10" t="s">
        <v>12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14"/>
      <c r="C4" s="16" t="s">
        <v>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17" t="s">
        <v>15</v>
      </c>
      <c r="C5" s="23">
        <f>sum(C6,C12)</f>
        <v>34608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17" t="s">
        <v>22</v>
      </c>
      <c r="C6" s="23">
        <f>sum(C7:C11)</f>
        <v>31608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outlineLevel="1">
      <c r="A7" s="2"/>
      <c r="B7" s="24" t="s">
        <v>23</v>
      </c>
      <c r="C7" s="25">
        <f>District!C4</f>
        <v>31608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outlineLevel="1">
      <c r="A8" s="2"/>
      <c r="B8" s="24" t="s">
        <v>26</v>
      </c>
      <c r="C8" s="25">
        <v>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outlineLevel="1">
      <c r="A9" s="2"/>
      <c r="B9" s="24" t="s">
        <v>28</v>
      </c>
      <c r="C9" s="25">
        <v>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outlineLevel="1">
      <c r="A10" s="2"/>
      <c r="B10" s="24" t="s">
        <v>31</v>
      </c>
      <c r="C10" s="25">
        <v>0.0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outlineLevel="1">
      <c r="A11" s="2"/>
      <c r="B11" s="24" t="s">
        <v>33</v>
      </c>
      <c r="C11" s="25">
        <v>0.0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17" t="s">
        <v>34</v>
      </c>
      <c r="C12" s="23">
        <f>sum(C13:C14)</f>
        <v>3000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outlineLevel="1">
      <c r="A13" s="29"/>
      <c r="B13" s="24" t="s">
        <v>36</v>
      </c>
      <c r="C13" s="25">
        <f>'Offline &amp; RG Community'!D33</f>
        <v>3000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outlineLevel="1">
      <c r="A14" s="2"/>
      <c r="B14" s="21" t="s">
        <v>37</v>
      </c>
      <c r="C14" s="25">
        <v>0.0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17" t="s">
        <v>38</v>
      </c>
      <c r="C15" s="23">
        <f>sum(C16:C18)</f>
        <v>2450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outlineLevel="1">
      <c r="A16" s="2"/>
      <c r="B16" s="24" t="s">
        <v>39</v>
      </c>
      <c r="C16" s="25">
        <f>'Offline &amp; RG Community'!E33</f>
        <v>2450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outlineLevel="1">
      <c r="A17" s="2"/>
      <c r="B17" s="24" t="s">
        <v>40</v>
      </c>
      <c r="C17" s="25">
        <v>0.0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4" t="s">
        <v>41</v>
      </c>
      <c r="C18" s="25">
        <v>0.0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17" t="s">
        <v>42</v>
      </c>
      <c r="C19" s="23">
        <v>0.0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17" t="s">
        <v>43</v>
      </c>
      <c r="C20" s="23">
        <f>sum(C21,C22)</f>
        <v>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outlineLevel="1">
      <c r="A21" s="2"/>
      <c r="B21" s="24" t="s">
        <v>44</v>
      </c>
      <c r="C21" s="25">
        <v>0.0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outlineLevel="1">
      <c r="A22" s="2"/>
      <c r="B22" s="24" t="s">
        <v>45</v>
      </c>
      <c r="C22" s="25">
        <v>0.0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17" t="s">
        <v>46</v>
      </c>
      <c r="C23" s="23">
        <f>sum(C24:C26)</f>
        <v>1350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outlineLevel="1">
      <c r="A24" s="2"/>
      <c r="B24" s="24" t="s">
        <v>47</v>
      </c>
      <c r="C24" s="25">
        <f>'Offline &amp; RG Community'!F33</f>
        <v>1350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outlineLevel="1">
      <c r="A25" s="2"/>
      <c r="B25" s="24" t="s">
        <v>48</v>
      </c>
      <c r="C25" s="25">
        <v>0.0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outlineLevel="1">
      <c r="A26" s="2"/>
      <c r="B26" s="24" t="s">
        <v>49</v>
      </c>
      <c r="C26" s="25">
        <v>0.0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9"/>
      <c r="B27" s="33" t="s">
        <v>50</v>
      </c>
      <c r="C27" s="23">
        <v>0.0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0"/>
      <c r="B28" s="34" t="s">
        <v>51</v>
      </c>
      <c r="C28" s="28">
        <f>C5+C15+C19+C20+C23+C27</f>
        <v>38408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0"/>
      <c r="B29" s="35" t="s">
        <v>52</v>
      </c>
      <c r="C29" s="36">
        <f>C28-(C28/1.18)</f>
        <v>5858.847458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0"/>
      <c r="B30" s="35" t="s">
        <v>53</v>
      </c>
      <c r="C30" s="22">
        <f>'Offline &amp; RG Community'!H33+District!D4+District!E4</f>
        <v>2729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33" t="s">
        <v>54</v>
      </c>
      <c r="C31" s="36">
        <f>C28-C29-C30</f>
        <v>29820.15254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17" t="s">
        <v>55</v>
      </c>
      <c r="C32" s="2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4" t="s">
        <v>56</v>
      </c>
      <c r="C33" s="25">
        <f>1580+11032+10000+2400</f>
        <v>25012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6" t="s">
        <v>57</v>
      </c>
      <c r="C34" s="25">
        <v>5500.0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6" t="s">
        <v>58</v>
      </c>
      <c r="C35" s="22">
        <v>6000.0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40" t="s">
        <v>59</v>
      </c>
      <c r="C36" s="22">
        <v>5500.0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40"/>
      <c r="C37" s="4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41" t="s">
        <v>60</v>
      </c>
      <c r="C38" s="23">
        <f>C30-(sum(C33:C36))</f>
        <v>-39283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6.13"/>
    <col customWidth="1" min="2" max="2" width="9.75"/>
    <col customWidth="1" min="3" max="3" width="18.25"/>
    <col customWidth="1" min="4" max="4" width="15.13"/>
    <col customWidth="1" min="5" max="6" width="17.63"/>
    <col customWidth="1" min="7" max="8" width="15.25"/>
  </cols>
  <sheetData>
    <row r="1">
      <c r="A1" s="3" t="s">
        <v>1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7" t="s">
        <v>9</v>
      </c>
      <c r="I1" s="7" t="s">
        <v>10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9">
        <v>46235.0</v>
      </c>
      <c r="B2" s="11" t="s">
        <v>13</v>
      </c>
      <c r="C2" s="13">
        <v>0.0</v>
      </c>
      <c r="D2" s="15">
        <v>0.0</v>
      </c>
      <c r="E2" s="15">
        <v>0.0</v>
      </c>
      <c r="F2" s="15">
        <v>0.0</v>
      </c>
      <c r="G2" s="15">
        <f t="shared" ref="G2:G31" si="1">sum(D2:F2)</f>
        <v>0</v>
      </c>
      <c r="H2" s="15">
        <f t="shared" ref="H2:H31" si="2">G2*1.75%</f>
        <v>0</v>
      </c>
      <c r="I2" s="15">
        <f t="shared" ref="I2:I31" si="3">G2-H2</f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9">
        <v>46236.0</v>
      </c>
      <c r="B3" s="11" t="s">
        <v>24</v>
      </c>
      <c r="C3" s="13">
        <v>0.0</v>
      </c>
      <c r="D3" s="15">
        <v>0.0</v>
      </c>
      <c r="E3" s="15">
        <v>0.0</v>
      </c>
      <c r="F3" s="15">
        <v>125.0</v>
      </c>
      <c r="G3" s="15">
        <f t="shared" si="1"/>
        <v>125</v>
      </c>
      <c r="H3" s="15">
        <f t="shared" si="2"/>
        <v>2.1875</v>
      </c>
      <c r="I3" s="15">
        <f t="shared" si="3"/>
        <v>122.8125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9">
        <v>46237.0</v>
      </c>
      <c r="B4" s="11" t="s">
        <v>25</v>
      </c>
      <c r="C4" s="13">
        <v>0.0</v>
      </c>
      <c r="D4" s="15">
        <v>0.0</v>
      </c>
      <c r="E4" s="15">
        <v>0.0</v>
      </c>
      <c r="F4" s="15">
        <v>0.0</v>
      </c>
      <c r="G4" s="15">
        <f t="shared" si="1"/>
        <v>0</v>
      </c>
      <c r="H4" s="15">
        <f t="shared" si="2"/>
        <v>0</v>
      </c>
      <c r="I4" s="15">
        <f t="shared" si="3"/>
        <v>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9">
        <v>46238.0</v>
      </c>
      <c r="B5" s="11" t="s">
        <v>27</v>
      </c>
      <c r="C5" s="13">
        <v>0.0</v>
      </c>
      <c r="D5" s="15">
        <v>0.0</v>
      </c>
      <c r="E5" s="15">
        <v>0.0</v>
      </c>
      <c r="F5" s="15">
        <v>0.0</v>
      </c>
      <c r="G5" s="15">
        <f t="shared" si="1"/>
        <v>0</v>
      </c>
      <c r="H5" s="15">
        <f t="shared" si="2"/>
        <v>0</v>
      </c>
      <c r="I5" s="15">
        <f t="shared" si="3"/>
        <v>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9">
        <v>46239.0</v>
      </c>
      <c r="B6" s="11" t="s">
        <v>30</v>
      </c>
      <c r="C6" s="13">
        <v>0.0</v>
      </c>
      <c r="D6" s="15">
        <v>0.0</v>
      </c>
      <c r="E6" s="15">
        <v>0.0</v>
      </c>
      <c r="F6" s="15">
        <v>0.0</v>
      </c>
      <c r="G6" s="15">
        <f t="shared" si="1"/>
        <v>0</v>
      </c>
      <c r="H6" s="15">
        <f t="shared" si="2"/>
        <v>0</v>
      </c>
      <c r="I6" s="15">
        <f t="shared" si="3"/>
        <v>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9">
        <v>46240.0</v>
      </c>
      <c r="B7" s="11" t="s">
        <v>32</v>
      </c>
      <c r="C7" s="13">
        <v>0.0</v>
      </c>
      <c r="D7" s="15">
        <v>0.0</v>
      </c>
      <c r="E7" s="15">
        <v>0.0</v>
      </c>
      <c r="F7" s="15">
        <v>300.0</v>
      </c>
      <c r="G7" s="15">
        <f t="shared" si="1"/>
        <v>300</v>
      </c>
      <c r="H7" s="15">
        <f t="shared" si="2"/>
        <v>5.25</v>
      </c>
      <c r="I7" s="15">
        <f t="shared" si="3"/>
        <v>294.75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9">
        <v>46241.0</v>
      </c>
      <c r="B8" s="11" t="s">
        <v>35</v>
      </c>
      <c r="C8" s="13">
        <v>0.0</v>
      </c>
      <c r="D8" s="15">
        <v>0.0</v>
      </c>
      <c r="E8" s="15">
        <v>0.0</v>
      </c>
      <c r="F8" s="15">
        <v>0.0</v>
      </c>
      <c r="G8" s="15">
        <f t="shared" si="1"/>
        <v>0</v>
      </c>
      <c r="H8" s="15">
        <f t="shared" si="2"/>
        <v>0</v>
      </c>
      <c r="I8" s="15">
        <f t="shared" si="3"/>
        <v>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9">
        <v>46242.0</v>
      </c>
      <c r="B9" s="11" t="s">
        <v>13</v>
      </c>
      <c r="C9" s="13">
        <v>0.0</v>
      </c>
      <c r="D9" s="15">
        <v>0.0</v>
      </c>
      <c r="E9" s="15">
        <v>0.0</v>
      </c>
      <c r="F9" s="15">
        <v>0.0</v>
      </c>
      <c r="G9" s="15">
        <f t="shared" si="1"/>
        <v>0</v>
      </c>
      <c r="H9" s="15">
        <f t="shared" si="2"/>
        <v>0</v>
      </c>
      <c r="I9" s="15">
        <f t="shared" si="3"/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9">
        <v>46243.0</v>
      </c>
      <c r="B10" s="11" t="s">
        <v>24</v>
      </c>
      <c r="C10" s="13">
        <v>0.0</v>
      </c>
      <c r="D10" s="15">
        <v>0.0</v>
      </c>
      <c r="E10" s="15">
        <v>0.0</v>
      </c>
      <c r="F10" s="15">
        <v>0.0</v>
      </c>
      <c r="G10" s="15">
        <f t="shared" si="1"/>
        <v>0</v>
      </c>
      <c r="H10" s="15">
        <f t="shared" si="2"/>
        <v>0</v>
      </c>
      <c r="I10" s="15">
        <f t="shared" si="3"/>
        <v>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9">
        <v>46244.0</v>
      </c>
      <c r="B11" s="11" t="s">
        <v>25</v>
      </c>
      <c r="C11" s="13">
        <v>0.0</v>
      </c>
      <c r="D11" s="15">
        <v>0.0</v>
      </c>
      <c r="E11" s="15">
        <v>0.0</v>
      </c>
      <c r="F11" s="15">
        <v>0.0</v>
      </c>
      <c r="G11" s="15">
        <f t="shared" si="1"/>
        <v>0</v>
      </c>
      <c r="H11" s="15">
        <f t="shared" si="2"/>
        <v>0</v>
      </c>
      <c r="I11" s="15">
        <f t="shared" si="3"/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9">
        <v>46245.0</v>
      </c>
      <c r="B12" s="11" t="s">
        <v>27</v>
      </c>
      <c r="C12" s="15">
        <v>0.0</v>
      </c>
      <c r="D12" s="15">
        <v>0.0</v>
      </c>
      <c r="E12" s="15">
        <v>0.0</v>
      </c>
      <c r="F12" s="15">
        <v>0.0</v>
      </c>
      <c r="G12" s="15">
        <f t="shared" si="1"/>
        <v>0</v>
      </c>
      <c r="H12" s="15">
        <f t="shared" si="2"/>
        <v>0</v>
      </c>
      <c r="I12" s="15">
        <f t="shared" si="3"/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9">
        <v>46246.0</v>
      </c>
      <c r="B13" s="11" t="s">
        <v>30</v>
      </c>
      <c r="C13" s="15">
        <v>0.0</v>
      </c>
      <c r="D13" s="15">
        <v>0.0</v>
      </c>
      <c r="E13" s="15">
        <v>0.0</v>
      </c>
      <c r="F13" s="15">
        <v>100.0</v>
      </c>
      <c r="G13" s="15">
        <f t="shared" si="1"/>
        <v>100</v>
      </c>
      <c r="H13" s="15">
        <f t="shared" si="2"/>
        <v>1.75</v>
      </c>
      <c r="I13" s="15">
        <f t="shared" si="3"/>
        <v>98.25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9">
        <v>46247.0</v>
      </c>
      <c r="B14" s="11" t="s">
        <v>32</v>
      </c>
      <c r="C14" s="15">
        <v>0.0</v>
      </c>
      <c r="D14" s="15">
        <v>0.0</v>
      </c>
      <c r="E14" s="15">
        <v>750.0</v>
      </c>
      <c r="F14" s="15">
        <v>0.0</v>
      </c>
      <c r="G14" s="15">
        <f t="shared" si="1"/>
        <v>750</v>
      </c>
      <c r="H14" s="15">
        <f t="shared" si="2"/>
        <v>13.125</v>
      </c>
      <c r="I14" s="15">
        <f t="shared" si="3"/>
        <v>736.875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9">
        <v>46248.0</v>
      </c>
      <c r="B15" s="11" t="s">
        <v>35</v>
      </c>
      <c r="C15" s="15">
        <v>0.0</v>
      </c>
      <c r="D15" s="15">
        <v>0.0</v>
      </c>
      <c r="E15" s="15">
        <v>0.0</v>
      </c>
      <c r="F15" s="15">
        <v>100.0</v>
      </c>
      <c r="G15" s="15">
        <f t="shared" si="1"/>
        <v>100</v>
      </c>
      <c r="H15" s="15">
        <f t="shared" si="2"/>
        <v>1.75</v>
      </c>
      <c r="I15" s="15">
        <f t="shared" si="3"/>
        <v>98.25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9">
        <v>46249.0</v>
      </c>
      <c r="B16" s="11" t="s">
        <v>13</v>
      </c>
      <c r="C16" s="15">
        <v>0.0</v>
      </c>
      <c r="D16" s="15">
        <v>0.0</v>
      </c>
      <c r="E16" s="15">
        <v>0.0</v>
      </c>
      <c r="F16" s="15">
        <v>0.0</v>
      </c>
      <c r="G16" s="15">
        <f t="shared" si="1"/>
        <v>0</v>
      </c>
      <c r="H16" s="15">
        <f t="shared" si="2"/>
        <v>0</v>
      </c>
      <c r="I16" s="15">
        <f t="shared" si="3"/>
        <v>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9">
        <v>46250.0</v>
      </c>
      <c r="B17" s="11" t="s">
        <v>24</v>
      </c>
      <c r="C17" s="15">
        <v>1.0</v>
      </c>
      <c r="D17" s="32">
        <v>1000.0</v>
      </c>
      <c r="E17" s="15">
        <v>0.0</v>
      </c>
      <c r="F17" s="15">
        <v>0.0</v>
      </c>
      <c r="G17" s="15">
        <f t="shared" si="1"/>
        <v>1000</v>
      </c>
      <c r="H17" s="15">
        <f t="shared" si="2"/>
        <v>17.5</v>
      </c>
      <c r="I17" s="15">
        <f t="shared" si="3"/>
        <v>982.5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9">
        <v>46251.0</v>
      </c>
      <c r="B18" s="11" t="s">
        <v>25</v>
      </c>
      <c r="C18" s="15">
        <v>0.5</v>
      </c>
      <c r="D18" s="15">
        <v>500.0</v>
      </c>
      <c r="E18" s="15">
        <v>0.0</v>
      </c>
      <c r="F18" s="15">
        <v>0.0</v>
      </c>
      <c r="G18" s="15">
        <f t="shared" si="1"/>
        <v>500</v>
      </c>
      <c r="H18" s="15">
        <f t="shared" si="2"/>
        <v>8.75</v>
      </c>
      <c r="I18" s="15">
        <f t="shared" si="3"/>
        <v>491.25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9">
        <v>46252.0</v>
      </c>
      <c r="B19" s="11" t="s">
        <v>27</v>
      </c>
      <c r="C19" s="15">
        <v>0.0</v>
      </c>
      <c r="D19" s="15">
        <v>0.0</v>
      </c>
      <c r="E19" s="15">
        <v>0.0</v>
      </c>
      <c r="F19" s="15">
        <v>150.0</v>
      </c>
      <c r="G19" s="15">
        <f t="shared" si="1"/>
        <v>150</v>
      </c>
      <c r="H19" s="15">
        <f t="shared" si="2"/>
        <v>2.625</v>
      </c>
      <c r="I19" s="15">
        <f t="shared" si="3"/>
        <v>147.375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9">
        <v>46253.0</v>
      </c>
      <c r="B20" s="11" t="s">
        <v>30</v>
      </c>
      <c r="C20" s="15">
        <v>0.0</v>
      </c>
      <c r="D20" s="15">
        <v>0.0</v>
      </c>
      <c r="E20" s="15">
        <v>0.0</v>
      </c>
      <c r="F20" s="15">
        <v>0.0</v>
      </c>
      <c r="G20" s="15">
        <f t="shared" si="1"/>
        <v>0</v>
      </c>
      <c r="H20" s="15">
        <f t="shared" si="2"/>
        <v>0</v>
      </c>
      <c r="I20" s="15">
        <f t="shared" si="3"/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9">
        <v>46254.0</v>
      </c>
      <c r="B21" s="11" t="s">
        <v>32</v>
      </c>
      <c r="C21" s="15">
        <v>2.5</v>
      </c>
      <c r="D21" s="15">
        <v>500.0</v>
      </c>
      <c r="E21" s="15">
        <v>1700.0</v>
      </c>
      <c r="F21" s="15">
        <v>0.0</v>
      </c>
      <c r="G21" s="15">
        <f t="shared" si="1"/>
        <v>2200</v>
      </c>
      <c r="H21" s="15">
        <f t="shared" si="2"/>
        <v>38.5</v>
      </c>
      <c r="I21" s="15">
        <f t="shared" si="3"/>
        <v>2161.5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9">
        <v>46255.0</v>
      </c>
      <c r="B22" s="11" t="s">
        <v>35</v>
      </c>
      <c r="C22" s="15">
        <v>0.0</v>
      </c>
      <c r="D22" s="15">
        <v>0.0</v>
      </c>
      <c r="E22" s="15">
        <v>0.0</v>
      </c>
      <c r="F22" s="15">
        <v>0.0</v>
      </c>
      <c r="G22" s="15">
        <f t="shared" si="1"/>
        <v>0</v>
      </c>
      <c r="H22" s="15">
        <f t="shared" si="2"/>
        <v>0</v>
      </c>
      <c r="I22" s="15">
        <f t="shared" si="3"/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9">
        <v>46256.0</v>
      </c>
      <c r="B23" s="11" t="s">
        <v>13</v>
      </c>
      <c r="C23" s="15">
        <v>0.0</v>
      </c>
      <c r="D23" s="15">
        <v>0.0</v>
      </c>
      <c r="E23" s="15">
        <v>0.0</v>
      </c>
      <c r="F23" s="15">
        <v>0.0</v>
      </c>
      <c r="G23" s="15">
        <f t="shared" si="1"/>
        <v>0</v>
      </c>
      <c r="H23" s="15">
        <f t="shared" si="2"/>
        <v>0</v>
      </c>
      <c r="I23" s="15">
        <f t="shared" si="3"/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9">
        <v>46257.0</v>
      </c>
      <c r="B24" s="11" t="s">
        <v>24</v>
      </c>
      <c r="C24" s="15">
        <v>0.5</v>
      </c>
      <c r="D24" s="15">
        <v>500.0</v>
      </c>
      <c r="E24" s="15">
        <v>0.0</v>
      </c>
      <c r="F24" s="15">
        <v>125.0</v>
      </c>
      <c r="G24" s="15">
        <f t="shared" si="1"/>
        <v>625</v>
      </c>
      <c r="H24" s="15">
        <f t="shared" si="2"/>
        <v>10.9375</v>
      </c>
      <c r="I24" s="15">
        <f t="shared" si="3"/>
        <v>614.0625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9">
        <v>46258.0</v>
      </c>
      <c r="B25" s="11" t="s">
        <v>25</v>
      </c>
      <c r="C25" s="15">
        <v>0.0</v>
      </c>
      <c r="D25" s="15">
        <v>0.0</v>
      </c>
      <c r="E25" s="15">
        <v>0.0</v>
      </c>
      <c r="F25" s="15">
        <v>0.0</v>
      </c>
      <c r="G25" s="15">
        <f t="shared" si="1"/>
        <v>0</v>
      </c>
      <c r="H25" s="15">
        <f t="shared" si="2"/>
        <v>0</v>
      </c>
      <c r="I25" s="15">
        <f t="shared" si="3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9">
        <v>46259.0</v>
      </c>
      <c r="B26" s="11" t="s">
        <v>27</v>
      </c>
      <c r="C26" s="15">
        <v>0.0</v>
      </c>
      <c r="D26" s="15">
        <v>0.0</v>
      </c>
      <c r="E26" s="15">
        <v>0.0</v>
      </c>
      <c r="F26" s="15">
        <v>0.0</v>
      </c>
      <c r="G26" s="15">
        <f t="shared" si="1"/>
        <v>0</v>
      </c>
      <c r="H26" s="15">
        <f t="shared" si="2"/>
        <v>0</v>
      </c>
      <c r="I26" s="15">
        <f t="shared" si="3"/>
        <v>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9">
        <v>46260.0</v>
      </c>
      <c r="B27" s="11" t="s">
        <v>30</v>
      </c>
      <c r="C27" s="15">
        <v>0.5</v>
      </c>
      <c r="D27" s="15">
        <v>500.0</v>
      </c>
      <c r="E27" s="15">
        <v>0.0</v>
      </c>
      <c r="F27" s="15">
        <v>0.0</v>
      </c>
      <c r="G27" s="15">
        <f t="shared" si="1"/>
        <v>500</v>
      </c>
      <c r="H27" s="15">
        <f t="shared" si="2"/>
        <v>8.75</v>
      </c>
      <c r="I27" s="15">
        <f t="shared" si="3"/>
        <v>491.25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9">
        <v>46261.0</v>
      </c>
      <c r="B28" s="11" t="s">
        <v>32</v>
      </c>
      <c r="C28" s="15">
        <v>0.0</v>
      </c>
      <c r="D28" s="15">
        <v>0.0</v>
      </c>
      <c r="E28" s="15">
        <v>0.0</v>
      </c>
      <c r="F28" s="15">
        <v>0.0</v>
      </c>
      <c r="G28" s="15">
        <f t="shared" si="1"/>
        <v>0</v>
      </c>
      <c r="H28" s="15">
        <f t="shared" si="2"/>
        <v>0</v>
      </c>
      <c r="I28" s="15">
        <f t="shared" si="3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9">
        <v>46262.0</v>
      </c>
      <c r="B29" s="11" t="s">
        <v>35</v>
      </c>
      <c r="C29" s="15">
        <v>0.0</v>
      </c>
      <c r="D29" s="15">
        <v>0.0</v>
      </c>
      <c r="E29" s="15">
        <v>0.0</v>
      </c>
      <c r="F29" s="15">
        <v>0.0</v>
      </c>
      <c r="G29" s="15">
        <f t="shared" si="1"/>
        <v>0</v>
      </c>
      <c r="H29" s="15">
        <f t="shared" si="2"/>
        <v>0</v>
      </c>
      <c r="I29" s="15">
        <f t="shared" si="3"/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9">
        <v>46263.0</v>
      </c>
      <c r="B30" s="11" t="s">
        <v>13</v>
      </c>
      <c r="C30" s="15">
        <v>0.0</v>
      </c>
      <c r="D30" s="15">
        <v>0.0</v>
      </c>
      <c r="E30" s="15">
        <v>0.0</v>
      </c>
      <c r="F30" s="15">
        <v>450.0</v>
      </c>
      <c r="G30" s="15">
        <f t="shared" si="1"/>
        <v>450</v>
      </c>
      <c r="H30" s="15">
        <f t="shared" si="2"/>
        <v>7.875</v>
      </c>
      <c r="I30" s="15">
        <f t="shared" si="3"/>
        <v>442.125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9">
        <v>46264.0</v>
      </c>
      <c r="B31" s="11" t="s">
        <v>24</v>
      </c>
      <c r="C31" s="13">
        <v>0.0</v>
      </c>
      <c r="D31" s="13">
        <v>0.0</v>
      </c>
      <c r="E31" s="13">
        <v>0.0</v>
      </c>
      <c r="F31" s="13">
        <v>0.0</v>
      </c>
      <c r="G31" s="15">
        <f t="shared" si="1"/>
        <v>0</v>
      </c>
      <c r="H31" s="15">
        <f t="shared" si="2"/>
        <v>0</v>
      </c>
      <c r="I31" s="15">
        <f t="shared" si="3"/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9">
        <v>46265.0</v>
      </c>
      <c r="B32" s="11" t="s">
        <v>25</v>
      </c>
      <c r="C32" s="13">
        <v>0.0</v>
      </c>
      <c r="D32" s="13">
        <v>0.0</v>
      </c>
      <c r="E32" s="13">
        <v>0.0</v>
      </c>
      <c r="F32" s="13">
        <v>0.0</v>
      </c>
      <c r="G32" s="13">
        <v>0.0</v>
      </c>
      <c r="H32" s="37">
        <v>0.0</v>
      </c>
      <c r="I32" s="37">
        <v>0.0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7" t="s">
        <v>29</v>
      </c>
      <c r="B33" s="38"/>
      <c r="C33" s="38"/>
      <c r="D33" s="39">
        <f t="shared" ref="D33:I33" si="4">SUM(D2:D32)</f>
        <v>3000</v>
      </c>
      <c r="E33" s="39">
        <f t="shared" si="4"/>
        <v>2450</v>
      </c>
      <c r="F33" s="39">
        <f t="shared" si="4"/>
        <v>1350</v>
      </c>
      <c r="G33" s="39">
        <f t="shared" si="4"/>
        <v>6800</v>
      </c>
      <c r="H33" s="39">
        <f t="shared" si="4"/>
        <v>119</v>
      </c>
      <c r="I33" s="39">
        <f t="shared" si="4"/>
        <v>6681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1"/>
      <c r="B34" s="2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6.0"/>
    <col customWidth="1" min="6" max="6" width="11.13"/>
    <col customWidth="1" min="7" max="7" width="7.0"/>
    <col customWidth="1" min="9" max="9" width="14.13"/>
  </cols>
  <sheetData>
    <row r="1">
      <c r="A1" s="12" t="s">
        <v>0</v>
      </c>
      <c r="B1" s="3" t="s">
        <v>1</v>
      </c>
      <c r="C1" s="3" t="s">
        <v>16</v>
      </c>
      <c r="D1" s="3" t="s">
        <v>17</v>
      </c>
      <c r="E1" s="18" t="s">
        <v>18</v>
      </c>
      <c r="F1" s="3" t="s">
        <v>10</v>
      </c>
      <c r="G1" s="19" t="s">
        <v>19</v>
      </c>
      <c r="H1" s="19" t="s">
        <v>20</v>
      </c>
      <c r="I1" s="3" t="s">
        <v>21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0"/>
      <c r="B2" s="21" t="s">
        <v>2</v>
      </c>
      <c r="C2" s="22">
        <v>31608.0</v>
      </c>
      <c r="D2" s="22">
        <v>2212.0</v>
      </c>
      <c r="E2" s="22">
        <v>398.0</v>
      </c>
      <c r="F2" s="22">
        <f>C2-D2-E2</f>
        <v>28998</v>
      </c>
      <c r="G2" s="22">
        <v>158.0</v>
      </c>
      <c r="H2" s="22">
        <v>31.0</v>
      </c>
      <c r="I2" s="22">
        <f>F2-G2-H2</f>
        <v>28809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0"/>
      <c r="B3" s="26"/>
      <c r="C3" s="26"/>
      <c r="D3" s="26"/>
      <c r="E3" s="26"/>
      <c r="F3" s="26"/>
      <c r="G3" s="26"/>
      <c r="H3" s="26"/>
      <c r="I3" s="2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0"/>
      <c r="B4" s="27" t="s">
        <v>29</v>
      </c>
      <c r="C4" s="28">
        <f t="shared" ref="C4:F4" si="1">SUM(C2:C3)</f>
        <v>31608</v>
      </c>
      <c r="D4" s="28">
        <f t="shared" si="1"/>
        <v>2212</v>
      </c>
      <c r="E4" s="28">
        <f t="shared" si="1"/>
        <v>398</v>
      </c>
      <c r="F4" s="28">
        <f t="shared" si="1"/>
        <v>28998</v>
      </c>
      <c r="G4" s="30"/>
      <c r="H4" s="30"/>
      <c r="I4" s="28">
        <f>SUM(I2:I3)</f>
        <v>28809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1"/>
      <c r="B5" s="31"/>
      <c r="C5" s="31"/>
      <c r="D5" s="31"/>
      <c r="E5" s="31"/>
      <c r="F5" s="31"/>
      <c r="G5" s="31"/>
      <c r="H5" s="3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1"/>
      <c r="B6" s="31"/>
      <c r="C6" s="31"/>
      <c r="D6" s="31"/>
      <c r="E6" s="31"/>
      <c r="F6" s="31"/>
      <c r="G6" s="31"/>
      <c r="H6" s="3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1"/>
      <c r="B7" s="31"/>
      <c r="C7" s="31"/>
      <c r="D7" s="31"/>
      <c r="E7" s="31"/>
      <c r="F7" s="31"/>
      <c r="G7" s="31"/>
      <c r="H7" s="3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</sheetData>
  <hyperlinks>
    <hyperlink r:id="rId1" ref="A1"/>
  </hyperlinks>
  <drawing r:id="rId2"/>
</worksheet>
</file>