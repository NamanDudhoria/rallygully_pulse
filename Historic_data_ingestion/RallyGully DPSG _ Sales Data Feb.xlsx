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Corporate Events" sheetId="6" r:id="rId10"/>
  </sheets>
  <definedNames/>
  <calcPr/>
</workbook>
</file>

<file path=xl/sharedStrings.xml><?xml version="1.0" encoding="utf-8"?>
<sst xmlns="http://schemas.openxmlformats.org/spreadsheetml/2006/main" count="110" uniqueCount="73">
  <si>
    <t>Date: 1 - 28 Feb</t>
  </si>
  <si>
    <t>Date</t>
  </si>
  <si>
    <t>Link</t>
  </si>
  <si>
    <t>Day</t>
  </si>
  <si>
    <t>Offline booking hours</t>
  </si>
  <si>
    <t>Particulars</t>
  </si>
  <si>
    <t>Discount Given</t>
  </si>
  <si>
    <t>Amount</t>
  </si>
  <si>
    <t>Booking Revenue</t>
  </si>
  <si>
    <t>Offline</t>
  </si>
  <si>
    <t>Community Revenue</t>
  </si>
  <si>
    <t xml:space="preserve">Paddle Rental </t>
  </si>
  <si>
    <t>Total Revenue</t>
  </si>
  <si>
    <t>Paid to Hudle</t>
  </si>
  <si>
    <t>Commisions (Including GST)</t>
  </si>
  <si>
    <t>Net Revenue</t>
  </si>
  <si>
    <t>TDS</t>
  </si>
  <si>
    <t>Sunday</t>
  </si>
  <si>
    <t>TCS</t>
  </si>
  <si>
    <t>Paid to Playo (₹)</t>
  </si>
  <si>
    <t>Commissions (₹)</t>
  </si>
  <si>
    <t>1 - 9 Feb</t>
  </si>
  <si>
    <t>GST (₹)</t>
  </si>
  <si>
    <t>TDS (₹)</t>
  </si>
  <si>
    <t>TCS (₹)</t>
  </si>
  <si>
    <t>Final Amount (₹)</t>
  </si>
  <si>
    <t>Rentals</t>
  </si>
  <si>
    <t>Monday</t>
  </si>
  <si>
    <t>F&amp;B</t>
  </si>
  <si>
    <t>Product Sales</t>
  </si>
  <si>
    <t>Tuesday</t>
  </si>
  <si>
    <t>Bookings</t>
  </si>
  <si>
    <t>9 - 16 Feb</t>
  </si>
  <si>
    <t>Wednesday</t>
  </si>
  <si>
    <t>Online: Third Party Platform</t>
  </si>
  <si>
    <t>16 - 23 Feb</t>
  </si>
  <si>
    <t>Thursday</t>
  </si>
  <si>
    <t>Hudle</t>
  </si>
  <si>
    <t>Friday</t>
  </si>
  <si>
    <t>Saturday</t>
  </si>
  <si>
    <t>Playo</t>
  </si>
  <si>
    <t>23 - 28 Feb</t>
  </si>
  <si>
    <t>District</t>
  </si>
  <si>
    <t>Khelomore</t>
  </si>
  <si>
    <t>Total</t>
  </si>
  <si>
    <t>Zplys</t>
  </si>
  <si>
    <t>Community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</si>
  <si>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</si>
  <si>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</si>
  <si>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</si>
  <si>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</si>
  <si>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</si>
  <si>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</si>
  <si>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</si>
  <si>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</si>
  <si>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</si>
  <si>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</si>
  <si>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</si>
  <si>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Investor's Share (40%)</t>
  </si>
  <si>
    <t>Name</t>
  </si>
  <si>
    <t>Type</t>
  </si>
  <si>
    <t>Sports Type</t>
  </si>
  <si>
    <t>Deliverables</t>
  </si>
  <si>
    <t>Amount Collected</t>
  </si>
  <si>
    <t>Feb</t>
  </si>
  <si>
    <t>Anuj</t>
  </si>
  <si>
    <t>Team Event</t>
  </si>
  <si>
    <t>Pickleball</t>
  </si>
  <si>
    <t>3 hours of Courts</t>
  </si>
  <si>
    <t>Paid to District</t>
  </si>
  <si>
    <t>GST on Commission</t>
  </si>
  <si>
    <t>1 - 15 Feb</t>
  </si>
  <si>
    <t>16 - 28 Feb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</si>
</sst>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[$₹]#,##0.00"/>
    <numFmt numFmtId="166" formatCode="[&gt;9999999][$₹]##\,##\,##\,##0.00;[&gt;99999][$₹]##\,##\,##0.00;[$₹]##,##0.00"/>
    <numFmt numFmtId="167" formatCode="[&gt;9999999][$₹]##\,##\,##\,##0;[&gt;99999][$₹]##\,##\,##0;[$₹]##,##0"/>
  </numFmts>
  <fonts count="11">
    <font>
      <sz val="10.0"/>
      <color rgb="FF000000"/>
      <name val="Arial"/>
      <scheme val="minor"/>
    </font>
    <font>
      <b/>
      <color theme="1"/>
      <name val="Arial"/>
    </font>
    <font/>
    <font>
      <b/>
      <u/>
      <color rgb="FF0000FF"/>
      <name val="Arial"/>
    </font>
    <font>
      <color theme="1"/>
      <name val="Arial"/>
    </font>
    <font>
      <color rgb="FF000000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b/>
      <color theme="1"/>
      <name val="Arial"/>
      <scheme val="minor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0" fontId="1" numFmtId="0" xfId="0" applyAlignment="1" applyBorder="1" applyFont="1">
      <alignment horizontal="center" vertical="bottom"/>
    </xf>
    <xf borderId="1" fillId="2" fontId="1" numFmtId="9" xfId="0" applyAlignment="1" applyBorder="1" applyFill="1" applyFont="1" applyNumberFormat="1">
      <alignment horizontal="center" vertical="bottom"/>
    </xf>
    <xf borderId="1" fillId="2" fontId="1" numFmtId="3" xfId="0" applyAlignment="1" applyBorder="1" applyFill="1" applyFont="1" applyNumberFormat="1">
      <alignment horizontal="center" vertical="bottom"/>
    </xf>
    <xf borderId="1" fillId="2" fontId="3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readingOrder="0" vertical="bottom"/>
    </xf>
    <xf borderId="1" fillId="2" fontId="1" numFmtId="165" xfId="0" applyAlignment="1" applyBorder="1" applyFill="1" applyFont="1" applyNumberFormat="1">
      <alignment horizontal="center" vertical="bottom"/>
    </xf>
    <xf borderId="1" fillId="0" fontId="4" numFmtId="9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shrinkToFit="0" vertical="bottom" wrapText="0"/>
    </xf>
    <xf borderId="1" fillId="0" fontId="4" numFmtId="3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0" fontId="6" numFmtId="166" xfId="0" applyAlignment="1" applyBorder="1" applyFont="1" applyNumberFormat="1">
      <alignment horizontal="right" readingOrder="0" vertical="bottom"/>
    </xf>
    <xf borderId="1" fillId="0" fontId="1" numFmtId="167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3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readingOrder="0" vertical="bottom"/>
    </xf>
    <xf borderId="1" fillId="0" fontId="6" numFmtId="166" xfId="0" applyAlignment="1" applyBorder="1" applyFont="1" applyNumberFormat="1">
      <alignment horizontal="right" vertical="bottom"/>
    </xf>
    <xf borderId="1" fillId="0" fontId="4" numFmtId="167" xfId="0" applyAlignment="1" applyBorder="1" applyFont="1" applyNumberFormat="1">
      <alignment horizontal="right" vertical="bottom"/>
    </xf>
    <xf borderId="1" fillId="0" fontId="6" numFmtId="165" xfId="0" applyAlignment="1" applyBorder="1" applyFont="1" applyNumberFormat="1">
      <alignment horizontal="right" readingOrder="0"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0" fontId="6" numFmtId="165" xfId="0" applyAlignment="1" applyBorder="1" applyFont="1" applyNumberFormat="1">
      <alignment vertical="bottom"/>
    </xf>
    <xf borderId="1" fillId="0" fontId="7" numFmtId="165" xfId="0" applyAlignment="1" applyBorder="1" applyFont="1" applyNumberFormat="1">
      <alignment readingOrder="0" shrinkToFit="0" vertical="bottom" wrapText="0"/>
    </xf>
    <xf borderId="1" fillId="0" fontId="6" numFmtId="165" xfId="0" applyAlignment="1" applyBorder="1" applyFont="1" applyNumberFormat="1">
      <alignment readingOrder="0" vertical="bottom"/>
    </xf>
    <xf borderId="1" fillId="0" fontId="4" numFmtId="165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readingOrder="0" vertical="bottom"/>
    </xf>
    <xf borderId="1" fillId="0" fontId="4" numFmtId="166" xfId="0" applyAlignment="1" applyBorder="1" applyFont="1" applyNumberFormat="1">
      <alignment horizontal="right" vertical="bottom"/>
    </xf>
    <xf borderId="1" fillId="3" fontId="6" numFmtId="165" xfId="0" applyAlignment="1" applyBorder="1" applyFill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2" fontId="1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4" numFmtId="165" xfId="0" applyAlignment="1" applyBorder="1" applyFont="1" applyNumberFormat="1">
      <alignment horizontal="right" vertical="bottom"/>
    </xf>
    <xf borderId="1" fillId="2" fontId="1" numFmtId="166" xfId="0" applyAlignment="1" applyBorder="1" applyFill="1" applyFont="1" applyNumberFormat="1">
      <alignment horizontal="right" vertical="bottom"/>
    </xf>
    <xf borderId="1" fillId="3" fontId="4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right" readingOrder="0" vertical="bottom"/>
    </xf>
    <xf borderId="1" fillId="2" fontId="4" numFmtId="0" xfId="0" applyAlignment="1" applyBorder="1" applyFill="1" applyFont="1">
      <alignment vertical="bottom"/>
    </xf>
    <xf borderId="1" fillId="0" fontId="1" numFmtId="167" xfId="0" applyAlignment="1" applyBorder="1" applyFont="1" applyNumberFormat="1">
      <alignment horizontal="right" readingOrder="0" vertical="bottom"/>
    </xf>
    <xf borderId="4" fillId="0" fontId="4" numFmtId="0" xfId="0" applyAlignment="1" applyBorder="1" applyFont="1">
      <alignment vertical="bottom"/>
    </xf>
    <xf borderId="4" fillId="0" fontId="4" numFmtId="167" xfId="0" applyAlignment="1" applyBorder="1" applyFont="1" applyNumberFormat="1">
      <alignment horizontal="right" readingOrder="0" vertical="bottom"/>
    </xf>
    <xf borderId="1" fillId="2" fontId="1" numFmtId="4" xfId="0" applyAlignment="1" applyBorder="1" applyFill="1" applyFont="1" applyNumberFormat="1">
      <alignment horizontal="right" vertical="bottom"/>
    </xf>
    <xf borderId="1" fillId="2" fontId="4" numFmtId="4" xfId="0" applyAlignment="1" applyBorder="1" applyFill="1" applyFont="1" applyNumberFormat="1">
      <alignment vertical="bottom"/>
    </xf>
    <xf borderId="1" fillId="0" fontId="4" numFmtId="0" xfId="0" applyAlignment="1" applyBorder="1" applyFont="1">
      <alignment readingOrder="0" shrinkToFit="0" vertical="bottom" wrapText="1"/>
    </xf>
    <xf borderId="1" fillId="0" fontId="1" numFmtId="165" xfId="0" applyAlignment="1" applyBorder="1" applyFont="1" applyNumberFormat="1">
      <alignment horizontal="right" vertical="bottom"/>
    </xf>
    <xf borderId="1" fillId="3" fontId="4" numFmtId="0" xfId="0" applyAlignment="1" applyBorder="1" applyFill="1" applyFont="1">
      <alignment horizontal="right" readingOrder="0" vertical="bottom"/>
    </xf>
    <xf borderId="2" fillId="0" fontId="4" numFmtId="0" xfId="0" applyAlignment="1" applyBorder="1" applyFont="1">
      <alignment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right" vertical="bottom"/>
    </xf>
    <xf borderId="1" fillId="2" fontId="1" numFmtId="9" xfId="0" applyAlignment="1" applyBorder="1" applyFill="1" applyFont="1" applyNumberFormat="1">
      <alignment horizontal="right" vertical="bottom"/>
    </xf>
    <xf borderId="1" fillId="2" fontId="1" numFmtId="3" xfId="0" applyAlignment="1" applyBorder="1" applyFill="1" applyFont="1" applyNumberFormat="1">
      <alignment horizontal="right" vertical="bottom"/>
    </xf>
    <xf borderId="0" fillId="0" fontId="8" numFmtId="0" xfId="0" applyFont="1"/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2" fontId="9" numFmtId="165" xfId="0" applyAlignment="1" applyFill="1" applyFont="1" applyNumberFormat="1">
      <alignment horizontal="center" readingOrder="0" vertical="bottom"/>
    </xf>
    <xf borderId="0" fillId="2" fontId="10" numFmtId="165" xfId="0" applyAlignment="1" applyFill="1" applyFont="1" applyNumberFormat="1">
      <alignment vertical="bottom"/>
    </xf>
    <xf borderId="0" fillId="2" fontId="1" numFmtId="165" xfId="0" applyAlignment="1" applyFill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1" fillId="0" fontId="4" numFmtId="166" xfId="0" applyAlignment="1" applyBorder="1" applyFont="1" applyNumberFormat="1">
      <alignment readingOrder="0" vertical="bottom"/>
    </xf>
    <xf borderId="1" fillId="0" fontId="4" numFmtId="166" xfId="0" applyAlignment="1" applyBorder="1" applyFont="1" applyNumberFormat="1">
      <alignment vertical="bottom"/>
    </xf>
    <xf borderId="1" fillId="2" fontId="1" numFmtId="165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k7gy76L2v7KKZ6RRsTl84ZzxWBkrlqRhMb17IrlM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fvaRkPg7hhThd1patetasweQyGsxXNjOhhz2BsXI3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j_T_3MCIe8POWPi3gjtCqbSy5rI8PZ8wj-nh5nqC4k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2" t="s">
        <v>0</v>
      </c>
      <c r="C2" s="4"/>
    </row>
    <row r="3">
      <c r="B3" s="5" t="s">
        <v>5</v>
      </c>
      <c r="C3" s="5" t="s">
        <v>7</v>
      </c>
    </row>
    <row r="4">
      <c r="B4" s="9" t="s">
        <v>9</v>
      </c>
      <c r="C4" s="21">
        <f>SUM(C5,C6,C7,C8)</f>
        <v>37220</v>
      </c>
    </row>
    <row r="5" outlineLevel="1">
      <c r="B5" s="22" t="s">
        <v>26</v>
      </c>
      <c r="C5" s="26">
        <f>'Offline &amp; RG Community'!G30</f>
        <v>11750</v>
      </c>
    </row>
    <row r="6" outlineLevel="1">
      <c r="B6" s="22" t="s">
        <v>28</v>
      </c>
      <c r="C6" s="28">
        <v>0.0</v>
      </c>
    </row>
    <row r="7" outlineLevel="1">
      <c r="B7" s="22" t="s">
        <v>29</v>
      </c>
      <c r="C7" s="28">
        <v>0.0</v>
      </c>
    </row>
    <row r="8" outlineLevel="1">
      <c r="B8" s="22" t="s">
        <v>31</v>
      </c>
      <c r="C8" s="28">
        <f>'Offline &amp; RG Community'!E30</f>
        <v>25470</v>
      </c>
    </row>
    <row r="9">
      <c r="B9" s="9" t="s">
        <v>34</v>
      </c>
      <c r="C9" s="21">
        <f>SUM(C10:C13)</f>
        <v>73780</v>
      </c>
    </row>
    <row r="10" outlineLevel="1">
      <c r="B10" s="22" t="s">
        <v>37</v>
      </c>
      <c r="C10" s="26">
        <f>Hudle!C6</f>
        <v>14380</v>
      </c>
    </row>
    <row r="11" outlineLevel="1">
      <c r="B11" s="22" t="s">
        <v>40</v>
      </c>
      <c r="C11" s="26">
        <f>Playo!C4</f>
        <v>1800</v>
      </c>
    </row>
    <row r="12" outlineLevel="1">
      <c r="B12" s="22" t="s">
        <v>42</v>
      </c>
      <c r="C12" s="28">
        <f>District!C4</f>
        <v>57600</v>
      </c>
    </row>
    <row r="13" outlineLevel="1">
      <c r="B13" s="22" t="s">
        <v>43</v>
      </c>
      <c r="C13" s="28">
        <v>0.0</v>
      </c>
    </row>
    <row r="14">
      <c r="B14" s="38" t="s">
        <v>45</v>
      </c>
      <c r="C14" s="28">
        <v>0.0</v>
      </c>
    </row>
    <row r="15">
      <c r="B15" s="39" t="s">
        <v>46</v>
      </c>
      <c r="C15" s="21">
        <f>SUM(C17,C16, C18,C19)</f>
        <v>0</v>
      </c>
    </row>
    <row r="16" outlineLevel="1">
      <c r="B16" s="38" t="s">
        <v>47</v>
      </c>
      <c r="C16" s="28">
        <v>0.0</v>
      </c>
    </row>
    <row r="17" outlineLevel="1">
      <c r="B17" s="38" t="s">
        <v>48</v>
      </c>
      <c r="C17" s="28">
        <v>0.0</v>
      </c>
    </row>
    <row r="18" outlineLevel="1">
      <c r="B18" s="38" t="s">
        <v>49</v>
      </c>
      <c r="C18" s="28">
        <f>'Offline &amp; RG Community'!F30</f>
        <v>0</v>
      </c>
    </row>
    <row r="19" outlineLevel="1">
      <c r="B19" s="22" t="s">
        <v>50</v>
      </c>
      <c r="C19" s="28">
        <v>0.0</v>
      </c>
    </row>
    <row r="20">
      <c r="B20" s="9" t="s">
        <v>51</v>
      </c>
      <c r="C20" s="46">
        <v>0.0</v>
      </c>
    </row>
    <row r="21">
      <c r="B21" s="22" t="s">
        <v>52</v>
      </c>
      <c r="C21" s="28">
        <f>'Corporate Events'!F2</f>
        <v>2460</v>
      </c>
    </row>
    <row r="22">
      <c r="B22" s="22" t="s">
        <v>53</v>
      </c>
      <c r="C22" s="28">
        <v>0.0</v>
      </c>
    </row>
    <row r="23">
      <c r="B23" s="47" t="s">
        <v>54</v>
      </c>
      <c r="C23" s="48">
        <f>0</f>
        <v>0</v>
      </c>
    </row>
    <row r="24">
      <c r="B24" s="9" t="s">
        <v>55</v>
      </c>
      <c r="C24" s="21">
        <f>sum(C4,C9,C15,C20,C21,C22,C23)</f>
        <v>113460</v>
      </c>
    </row>
    <row r="25">
      <c r="B25" s="51" t="s">
        <v>56</v>
      </c>
      <c r="C25" s="52">
        <f>'Offline &amp; RG Community'!H30 + Hudle!E6 + Playo!F4 + District!F4 + 'Corporate Events'!F2</f>
        <v>110603.09</v>
      </c>
    </row>
    <row r="26">
      <c r="B26" s="9" t="s">
        <v>57</v>
      </c>
      <c r="C26" s="21">
        <f>C25/1.18</f>
        <v>93731.4322</v>
      </c>
    </row>
    <row r="27">
      <c r="B27" s="54" t="s">
        <v>58</v>
      </c>
      <c r="C27" s="26">
        <f>C26*40%</f>
        <v>37492.57288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" t="s">
        <v>1</v>
      </c>
      <c r="B1" s="3" t="s">
        <v>3</v>
      </c>
      <c r="C1" s="3" t="s">
        <v>4</v>
      </c>
      <c r="D1" s="6" t="s">
        <v>6</v>
      </c>
      <c r="E1" s="7" t="s">
        <v>8</v>
      </c>
      <c r="F1" s="3" t="s">
        <v>10</v>
      </c>
      <c r="G1" s="7" t="s">
        <v>11</v>
      </c>
      <c r="H1" s="10" t="s">
        <v>12</v>
      </c>
    </row>
    <row r="2">
      <c r="A2" s="11">
        <v>46054.0</v>
      </c>
      <c r="B2" s="12" t="s">
        <v>17</v>
      </c>
      <c r="C2" s="13">
        <v>3.0</v>
      </c>
      <c r="D2" s="15">
        <v>0.2</v>
      </c>
      <c r="E2" s="17">
        <v>2160.0</v>
      </c>
      <c r="F2" s="13">
        <v>0.0</v>
      </c>
      <c r="G2" s="13">
        <v>550.0</v>
      </c>
      <c r="H2" s="23">
        <f t="shared" ref="H2:H29" si="1">E2+F2+G2</f>
        <v>2710</v>
      </c>
    </row>
    <row r="3">
      <c r="A3" s="11">
        <v>46055.0</v>
      </c>
      <c r="B3" s="12" t="s">
        <v>27</v>
      </c>
      <c r="C3" s="13">
        <v>0.0</v>
      </c>
      <c r="D3" s="15">
        <v>0.2</v>
      </c>
      <c r="E3" s="17">
        <v>0.0</v>
      </c>
      <c r="F3" s="13">
        <v>0.0</v>
      </c>
      <c r="G3" s="17">
        <v>0.0</v>
      </c>
      <c r="H3" s="23">
        <f t="shared" si="1"/>
        <v>0</v>
      </c>
    </row>
    <row r="4">
      <c r="A4" s="11">
        <v>46056.0</v>
      </c>
      <c r="B4" s="12" t="s">
        <v>30</v>
      </c>
      <c r="C4" s="13">
        <v>1.5</v>
      </c>
      <c r="D4" s="15">
        <v>0.2</v>
      </c>
      <c r="E4" s="17">
        <v>1080.0</v>
      </c>
      <c r="F4" s="13">
        <v>0.0</v>
      </c>
      <c r="G4" s="17">
        <v>600.0</v>
      </c>
      <c r="H4" s="23">
        <f t="shared" si="1"/>
        <v>1680</v>
      </c>
    </row>
    <row r="5">
      <c r="A5" s="11">
        <v>46057.0</v>
      </c>
      <c r="B5" s="12" t="s">
        <v>33</v>
      </c>
      <c r="C5" s="13">
        <v>0.5</v>
      </c>
      <c r="D5" s="15">
        <v>0.2</v>
      </c>
      <c r="E5" s="17">
        <v>360.0</v>
      </c>
      <c r="F5" s="13">
        <v>0.0</v>
      </c>
      <c r="G5" s="17">
        <v>200.0</v>
      </c>
      <c r="H5" s="23">
        <f t="shared" si="1"/>
        <v>560</v>
      </c>
    </row>
    <row r="6">
      <c r="A6" s="11">
        <v>46058.0</v>
      </c>
      <c r="B6" s="12" t="s">
        <v>36</v>
      </c>
      <c r="C6" s="13">
        <v>0.0</v>
      </c>
      <c r="D6" s="15">
        <v>0.2</v>
      </c>
      <c r="E6" s="17">
        <v>0.0</v>
      </c>
      <c r="F6" s="13">
        <v>0.0</v>
      </c>
      <c r="G6" s="17">
        <v>0.0</v>
      </c>
      <c r="H6" s="23">
        <f t="shared" si="1"/>
        <v>0</v>
      </c>
    </row>
    <row r="7">
      <c r="A7" s="11">
        <v>46059.0</v>
      </c>
      <c r="B7" s="12" t="s">
        <v>38</v>
      </c>
      <c r="C7" s="13">
        <v>0.0</v>
      </c>
      <c r="D7" s="15">
        <v>0.2</v>
      </c>
      <c r="E7" s="13">
        <v>0.0</v>
      </c>
      <c r="F7" s="13">
        <v>0.0</v>
      </c>
      <c r="G7" s="13">
        <v>0.0</v>
      </c>
      <c r="H7" s="23">
        <f t="shared" si="1"/>
        <v>0</v>
      </c>
    </row>
    <row r="8">
      <c r="A8" s="11">
        <v>46060.0</v>
      </c>
      <c r="B8" s="12" t="s">
        <v>39</v>
      </c>
      <c r="C8" s="13">
        <v>2.5</v>
      </c>
      <c r="D8" s="15">
        <v>0.2</v>
      </c>
      <c r="E8" s="17">
        <v>1305.0</v>
      </c>
      <c r="F8" s="13">
        <v>0.0</v>
      </c>
      <c r="G8" s="17">
        <v>525.0</v>
      </c>
      <c r="H8" s="23">
        <f t="shared" si="1"/>
        <v>1830</v>
      </c>
    </row>
    <row r="9">
      <c r="A9" s="11">
        <v>46061.0</v>
      </c>
      <c r="B9" s="12" t="s">
        <v>17</v>
      </c>
      <c r="C9" s="13">
        <v>1.5</v>
      </c>
      <c r="D9" s="15">
        <v>0.2</v>
      </c>
      <c r="E9" s="17">
        <v>945.0</v>
      </c>
      <c r="F9" s="13">
        <v>0.0</v>
      </c>
      <c r="G9" s="17">
        <v>800.0</v>
      </c>
      <c r="H9" s="23">
        <f t="shared" si="1"/>
        <v>1745</v>
      </c>
    </row>
    <row r="10">
      <c r="A10" s="11">
        <v>46062.0</v>
      </c>
      <c r="B10" s="12" t="s">
        <v>27</v>
      </c>
      <c r="C10" s="13">
        <v>2.0</v>
      </c>
      <c r="D10" s="15">
        <v>0.2</v>
      </c>
      <c r="E10" s="17">
        <v>1440.0</v>
      </c>
      <c r="F10" s="13">
        <v>0.0</v>
      </c>
      <c r="G10" s="17">
        <v>400.0</v>
      </c>
      <c r="H10" s="23">
        <f t="shared" si="1"/>
        <v>1840</v>
      </c>
    </row>
    <row r="11">
      <c r="A11" s="11">
        <v>46063.0</v>
      </c>
      <c r="B11" s="12" t="s">
        <v>30</v>
      </c>
      <c r="C11" s="13">
        <v>1.5</v>
      </c>
      <c r="D11" s="15">
        <v>0.2</v>
      </c>
      <c r="E11" s="17">
        <v>1170.0</v>
      </c>
      <c r="F11" s="13">
        <v>0.0</v>
      </c>
      <c r="G11" s="13">
        <v>250.0</v>
      </c>
      <c r="H11" s="23">
        <f t="shared" si="1"/>
        <v>1420</v>
      </c>
    </row>
    <row r="12">
      <c r="A12" s="11">
        <v>46064.0</v>
      </c>
      <c r="B12" s="12" t="s">
        <v>33</v>
      </c>
      <c r="C12" s="13">
        <v>1.5</v>
      </c>
      <c r="D12" s="15">
        <v>0.2</v>
      </c>
      <c r="E12" s="13">
        <v>945.0</v>
      </c>
      <c r="F12" s="13">
        <v>0.0</v>
      </c>
      <c r="G12" s="17">
        <v>250.0</v>
      </c>
      <c r="H12" s="23">
        <f t="shared" si="1"/>
        <v>1195</v>
      </c>
    </row>
    <row r="13">
      <c r="A13" s="11">
        <v>46065.0</v>
      </c>
      <c r="B13" s="12" t="s">
        <v>36</v>
      </c>
      <c r="C13" s="13">
        <v>0.0</v>
      </c>
      <c r="D13" s="15">
        <v>0.2</v>
      </c>
      <c r="E13" s="17">
        <v>0.0</v>
      </c>
      <c r="F13" s="13">
        <v>0.0</v>
      </c>
      <c r="G13" s="17">
        <v>0.0</v>
      </c>
      <c r="H13" s="23">
        <f t="shared" si="1"/>
        <v>0</v>
      </c>
    </row>
    <row r="14">
      <c r="A14" s="11">
        <v>46066.0</v>
      </c>
      <c r="B14" s="12" t="s">
        <v>38</v>
      </c>
      <c r="C14" s="13">
        <v>1.5</v>
      </c>
      <c r="D14" s="15">
        <v>0.2</v>
      </c>
      <c r="E14" s="13">
        <v>810.0</v>
      </c>
      <c r="F14" s="13">
        <v>0.0</v>
      </c>
      <c r="G14" s="13">
        <v>450.0</v>
      </c>
      <c r="H14" s="23">
        <f t="shared" si="1"/>
        <v>1260</v>
      </c>
    </row>
    <row r="15">
      <c r="A15" s="11">
        <v>46067.0</v>
      </c>
      <c r="B15" s="12" t="s">
        <v>39</v>
      </c>
      <c r="C15" s="13">
        <v>1.5</v>
      </c>
      <c r="D15" s="15">
        <v>0.2</v>
      </c>
      <c r="E15" s="13">
        <v>945.0</v>
      </c>
      <c r="F15" s="13">
        <v>0.0</v>
      </c>
      <c r="G15" s="13">
        <v>1050.0</v>
      </c>
      <c r="H15" s="23">
        <f t="shared" si="1"/>
        <v>1995</v>
      </c>
    </row>
    <row r="16">
      <c r="A16" s="11">
        <v>46068.0</v>
      </c>
      <c r="B16" s="12" t="s">
        <v>17</v>
      </c>
      <c r="C16" s="13">
        <v>3.0</v>
      </c>
      <c r="D16" s="15">
        <v>0.2</v>
      </c>
      <c r="E16" s="13">
        <v>1350.0</v>
      </c>
      <c r="F16" s="13">
        <v>0.0</v>
      </c>
      <c r="G16" s="13">
        <v>950.0</v>
      </c>
      <c r="H16" s="23">
        <f t="shared" si="1"/>
        <v>2300</v>
      </c>
    </row>
    <row r="17">
      <c r="A17" s="11">
        <v>46069.0</v>
      </c>
      <c r="B17" s="12" t="s">
        <v>27</v>
      </c>
      <c r="C17" s="13">
        <v>0.0</v>
      </c>
      <c r="D17" s="15">
        <v>0.2</v>
      </c>
      <c r="E17" s="13">
        <v>0.0</v>
      </c>
      <c r="F17" s="13">
        <v>0.0</v>
      </c>
      <c r="G17" s="13">
        <v>50.0</v>
      </c>
      <c r="H17" s="23">
        <f t="shared" si="1"/>
        <v>50</v>
      </c>
    </row>
    <row r="18">
      <c r="A18" s="11">
        <v>46070.0</v>
      </c>
      <c r="B18" s="12" t="s">
        <v>30</v>
      </c>
      <c r="C18" s="13">
        <v>0.5</v>
      </c>
      <c r="D18" s="15">
        <v>0.2</v>
      </c>
      <c r="E18" s="13">
        <v>360.0</v>
      </c>
      <c r="F18" s="13">
        <v>0.0</v>
      </c>
      <c r="G18" s="13">
        <v>0.0</v>
      </c>
      <c r="H18" s="23">
        <f t="shared" si="1"/>
        <v>360</v>
      </c>
    </row>
    <row r="19">
      <c r="A19" s="11">
        <v>46071.0</v>
      </c>
      <c r="B19" s="12" t="s">
        <v>33</v>
      </c>
      <c r="C19" s="13">
        <v>0.5</v>
      </c>
      <c r="D19" s="15">
        <v>0.2</v>
      </c>
      <c r="E19" s="13">
        <v>360.0</v>
      </c>
      <c r="F19" s="13">
        <v>0.0</v>
      </c>
      <c r="G19" s="13">
        <v>250.0</v>
      </c>
      <c r="H19" s="23">
        <f t="shared" si="1"/>
        <v>610</v>
      </c>
    </row>
    <row r="20">
      <c r="A20" s="11">
        <v>46072.0</v>
      </c>
      <c r="B20" s="12" t="s">
        <v>36</v>
      </c>
      <c r="C20" s="13">
        <v>1.5</v>
      </c>
      <c r="D20" s="15">
        <v>0.2</v>
      </c>
      <c r="E20" s="17">
        <v>1080.0</v>
      </c>
      <c r="F20" s="13">
        <v>0.0</v>
      </c>
      <c r="G20" s="13">
        <v>150.0</v>
      </c>
      <c r="H20" s="23">
        <f t="shared" si="1"/>
        <v>1230</v>
      </c>
    </row>
    <row r="21">
      <c r="A21" s="11">
        <v>46073.0</v>
      </c>
      <c r="B21" s="12" t="s">
        <v>38</v>
      </c>
      <c r="C21" s="13">
        <v>3.5</v>
      </c>
      <c r="D21" s="15">
        <v>0.2</v>
      </c>
      <c r="E21" s="17">
        <v>2385.0</v>
      </c>
      <c r="F21" s="13">
        <v>0.0</v>
      </c>
      <c r="G21" s="13">
        <v>750.0</v>
      </c>
      <c r="H21" s="23">
        <f t="shared" si="1"/>
        <v>3135</v>
      </c>
    </row>
    <row r="22">
      <c r="A22" s="11">
        <v>46074.0</v>
      </c>
      <c r="B22" s="12" t="s">
        <v>39</v>
      </c>
      <c r="C22" s="13">
        <v>0.0</v>
      </c>
      <c r="D22" s="15">
        <v>0.2</v>
      </c>
      <c r="E22" s="17">
        <v>0.0</v>
      </c>
      <c r="F22" s="13">
        <v>0.0</v>
      </c>
      <c r="G22" s="13">
        <v>450.0</v>
      </c>
      <c r="H22" s="23">
        <f t="shared" si="1"/>
        <v>450</v>
      </c>
    </row>
    <row r="23">
      <c r="A23" s="11">
        <v>46075.0</v>
      </c>
      <c r="B23" s="12" t="s">
        <v>17</v>
      </c>
      <c r="C23" s="13">
        <v>3.5</v>
      </c>
      <c r="D23" s="15">
        <v>0.2</v>
      </c>
      <c r="E23" s="13">
        <v>1980.0</v>
      </c>
      <c r="F23" s="13">
        <v>0.0</v>
      </c>
      <c r="G23" s="13">
        <v>1000.0</v>
      </c>
      <c r="H23" s="23">
        <f t="shared" si="1"/>
        <v>2980</v>
      </c>
    </row>
    <row r="24">
      <c r="A24" s="11">
        <v>46076.0</v>
      </c>
      <c r="B24" s="12" t="s">
        <v>27</v>
      </c>
      <c r="C24" s="13">
        <v>1.5</v>
      </c>
      <c r="D24" s="15">
        <v>0.2</v>
      </c>
      <c r="E24" s="13">
        <v>1080.0</v>
      </c>
      <c r="F24" s="13">
        <v>0.0</v>
      </c>
      <c r="G24" s="13">
        <v>250.0</v>
      </c>
      <c r="H24" s="23">
        <f t="shared" si="1"/>
        <v>1330</v>
      </c>
    </row>
    <row r="25">
      <c r="A25" s="11">
        <v>46077.0</v>
      </c>
      <c r="B25" s="12" t="s">
        <v>30</v>
      </c>
      <c r="C25" s="13">
        <v>2.0</v>
      </c>
      <c r="D25" s="15">
        <v>0.2</v>
      </c>
      <c r="E25" s="13">
        <v>1440.0</v>
      </c>
      <c r="F25" s="13">
        <v>0.0</v>
      </c>
      <c r="G25" s="13">
        <v>550.0</v>
      </c>
      <c r="H25" s="23">
        <f t="shared" si="1"/>
        <v>1990</v>
      </c>
    </row>
    <row r="26">
      <c r="A26" s="11">
        <v>46078.0</v>
      </c>
      <c r="B26" s="12" t="s">
        <v>33</v>
      </c>
      <c r="C26" s="13">
        <v>0.0</v>
      </c>
      <c r="D26" s="15">
        <v>0.2</v>
      </c>
      <c r="E26" s="13">
        <v>0.0</v>
      </c>
      <c r="F26" s="13">
        <v>0.0</v>
      </c>
      <c r="G26" s="13">
        <v>250.0</v>
      </c>
      <c r="H26" s="23">
        <f t="shared" si="1"/>
        <v>250</v>
      </c>
    </row>
    <row r="27">
      <c r="A27" s="11">
        <v>46079.0</v>
      </c>
      <c r="B27" s="12" t="s">
        <v>36</v>
      </c>
      <c r="C27" s="53">
        <v>3.5</v>
      </c>
      <c r="D27" s="15">
        <v>0.2</v>
      </c>
      <c r="E27" s="53">
        <v>2520.0</v>
      </c>
      <c r="F27" s="53">
        <v>0.0</v>
      </c>
      <c r="G27" s="53">
        <v>250.0</v>
      </c>
      <c r="H27" s="23">
        <f t="shared" si="1"/>
        <v>2770</v>
      </c>
    </row>
    <row r="28">
      <c r="A28" s="11">
        <v>46080.0</v>
      </c>
      <c r="B28" s="12" t="s">
        <v>38</v>
      </c>
      <c r="C28" s="13">
        <v>1.0</v>
      </c>
      <c r="D28" s="15">
        <v>0.2</v>
      </c>
      <c r="E28" s="13">
        <v>720.0</v>
      </c>
      <c r="F28" s="38">
        <v>0.0</v>
      </c>
      <c r="G28" s="13">
        <v>0.0</v>
      </c>
      <c r="H28" s="23">
        <f t="shared" si="1"/>
        <v>720</v>
      </c>
    </row>
    <row r="29">
      <c r="A29" s="11">
        <v>46081.0</v>
      </c>
      <c r="B29" s="12" t="s">
        <v>39</v>
      </c>
      <c r="C29" s="13">
        <v>2.0</v>
      </c>
      <c r="D29" s="15">
        <v>0.2</v>
      </c>
      <c r="E29" s="38">
        <v>1035.0</v>
      </c>
      <c r="F29" s="13">
        <v>0.0</v>
      </c>
      <c r="G29" s="13">
        <v>1775.0</v>
      </c>
      <c r="H29" s="23">
        <f t="shared" si="1"/>
        <v>2810</v>
      </c>
    </row>
    <row r="30">
      <c r="A30" s="44" t="s">
        <v>44</v>
      </c>
      <c r="B30" s="55"/>
      <c r="C30" s="56">
        <f>SUM(C2:C29)</f>
        <v>39.5</v>
      </c>
      <c r="D30" s="57"/>
      <c r="E30" s="58">
        <f t="shared" ref="E30:H30" si="2">SUM(E2:E29)</f>
        <v>25470</v>
      </c>
      <c r="F30" s="56">
        <f t="shared" si="2"/>
        <v>0</v>
      </c>
      <c r="G30" s="56">
        <f t="shared" si="2"/>
        <v>11750</v>
      </c>
      <c r="H30" s="58">
        <f t="shared" si="2"/>
        <v>37220</v>
      </c>
      <c r="I30" s="59"/>
      <c r="J30" s="59"/>
      <c r="K30" s="59"/>
      <c r="L30" s="59"/>
      <c r="M30" s="59"/>
      <c r="N30" s="59"/>
      <c r="O30" s="5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8" t="s">
        <v>2</v>
      </c>
      <c r="B1" s="3" t="s">
        <v>1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18</v>
      </c>
      <c r="H1" s="14" t="s">
        <v>7</v>
      </c>
      <c r="I1" s="16"/>
    </row>
    <row r="2">
      <c r="A2" s="18"/>
      <c r="B2" s="19" t="s">
        <v>21</v>
      </c>
      <c r="C2" s="20">
        <v>6760.0</v>
      </c>
      <c r="D2" s="20">
        <v>878.8</v>
      </c>
      <c r="E2" s="25">
        <f t="shared" ref="E2:E5" si="1">C2-D2</f>
        <v>5881.2</v>
      </c>
      <c r="F2" s="20">
        <v>5.72</v>
      </c>
      <c r="G2" s="20">
        <v>28.64</v>
      </c>
      <c r="H2" s="27">
        <v>5846.84</v>
      </c>
    </row>
    <row r="3">
      <c r="A3" s="29"/>
      <c r="B3" s="31" t="s">
        <v>32</v>
      </c>
      <c r="C3" s="20">
        <v>3340.0</v>
      </c>
      <c r="D3" s="20">
        <v>434.2</v>
      </c>
      <c r="E3" s="25">
        <f t="shared" si="1"/>
        <v>2905.8</v>
      </c>
      <c r="F3" s="20">
        <v>2.83</v>
      </c>
      <c r="G3" s="20">
        <v>14.15</v>
      </c>
      <c r="H3" s="27">
        <v>2888.82</v>
      </c>
    </row>
    <row r="4">
      <c r="A4" s="32"/>
      <c r="B4" s="33" t="s">
        <v>35</v>
      </c>
      <c r="C4" s="33">
        <v>2480.0</v>
      </c>
      <c r="D4" s="33">
        <v>322.4</v>
      </c>
      <c r="E4" s="25">
        <f t="shared" si="1"/>
        <v>2157.6</v>
      </c>
      <c r="F4" s="33">
        <v>2.1</v>
      </c>
      <c r="G4" s="33">
        <v>10.5</v>
      </c>
      <c r="H4" s="35">
        <f>E4-F4-G4</f>
        <v>2145</v>
      </c>
    </row>
    <row r="5">
      <c r="A5" s="33"/>
      <c r="B5" s="33" t="s">
        <v>41</v>
      </c>
      <c r="C5" s="36">
        <v>1800.0</v>
      </c>
      <c r="D5" s="33">
        <v>187.2</v>
      </c>
      <c r="E5" s="25">
        <f t="shared" si="1"/>
        <v>1612.8</v>
      </c>
      <c r="F5" s="33">
        <v>1.22</v>
      </c>
      <c r="G5" s="33">
        <v>6.1</v>
      </c>
      <c r="H5" s="36">
        <v>1245.48</v>
      </c>
    </row>
    <row r="6">
      <c r="A6" s="22"/>
      <c r="B6" s="37" t="s">
        <v>44</v>
      </c>
      <c r="C6" s="41">
        <f>SUM(C2:C5)</f>
        <v>14380</v>
      </c>
      <c r="D6" s="43"/>
      <c r="E6" s="41">
        <f>SUM(E2:E5)</f>
        <v>12557.4</v>
      </c>
      <c r="F6" s="45"/>
      <c r="G6" s="45"/>
      <c r="H6" s="41">
        <f>SUM(H2:H5)</f>
        <v>12126.14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8" t="s">
        <v>2</v>
      </c>
      <c r="B1" s="3" t="s">
        <v>1</v>
      </c>
      <c r="C1" s="3" t="s">
        <v>19</v>
      </c>
      <c r="D1" s="3" t="s">
        <v>20</v>
      </c>
      <c r="E1" s="3" t="s">
        <v>22</v>
      </c>
      <c r="F1" s="3" t="s">
        <v>15</v>
      </c>
      <c r="G1" s="3" t="s">
        <v>23</v>
      </c>
      <c r="H1" s="3" t="s">
        <v>24</v>
      </c>
      <c r="I1" s="3" t="s">
        <v>25</v>
      </c>
    </row>
    <row r="2">
      <c r="A2" s="12"/>
      <c r="B2" s="24">
        <v>46061.0</v>
      </c>
      <c r="C2" s="30">
        <v>1350.0</v>
      </c>
      <c r="D2" s="13">
        <v>189.0</v>
      </c>
      <c r="E2" s="13">
        <v>34.02</v>
      </c>
      <c r="F2" s="34">
        <f t="shared" ref="F2:F3" si="1">C2-D2-E2</f>
        <v>1126.98</v>
      </c>
      <c r="G2" s="13">
        <v>1.35</v>
      </c>
      <c r="H2" s="13">
        <v>6.75</v>
      </c>
      <c r="I2" s="36">
        <v>1118.88</v>
      </c>
    </row>
    <row r="3">
      <c r="A3" s="22"/>
      <c r="B3" s="24">
        <v>46064.0</v>
      </c>
      <c r="C3" s="36">
        <v>450.0</v>
      </c>
      <c r="D3" s="33">
        <v>63.0</v>
      </c>
      <c r="E3" s="33">
        <v>11.34</v>
      </c>
      <c r="F3" s="40">
        <f t="shared" si="1"/>
        <v>375.66</v>
      </c>
      <c r="G3" s="33">
        <v>0.45</v>
      </c>
      <c r="H3" s="33">
        <v>2.25</v>
      </c>
      <c r="I3" s="36">
        <v>372.96</v>
      </c>
    </row>
    <row r="4">
      <c r="A4" s="42"/>
      <c r="B4" s="44" t="s">
        <v>44</v>
      </c>
      <c r="C4" s="49">
        <f>SUM(C2:C3)</f>
        <v>1800</v>
      </c>
      <c r="D4" s="50"/>
      <c r="E4" s="45"/>
      <c r="F4" s="49">
        <f>SUM(F2:F3)</f>
        <v>1502.64</v>
      </c>
      <c r="G4" s="45"/>
      <c r="H4" s="45"/>
      <c r="I4" s="49">
        <f>SUM(I2:I3)</f>
        <v>1491.84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2.75"/>
    <col customWidth="1" min="4" max="4" width="14.38"/>
    <col customWidth="1" min="5" max="6" width="16.0"/>
    <col customWidth="1" min="9" max="9" width="14.13"/>
  </cols>
  <sheetData>
    <row r="1">
      <c r="A1" s="62" t="s">
        <v>2</v>
      </c>
      <c r="B1" s="14" t="s">
        <v>1</v>
      </c>
      <c r="C1" s="14" t="s">
        <v>69</v>
      </c>
      <c r="D1" s="14" t="s">
        <v>20</v>
      </c>
      <c r="E1" s="63" t="s">
        <v>70</v>
      </c>
      <c r="F1" s="14" t="s">
        <v>15</v>
      </c>
      <c r="G1" s="64" t="s">
        <v>18</v>
      </c>
      <c r="H1" s="64" t="s">
        <v>16</v>
      </c>
      <c r="I1" s="14" t="s">
        <v>25</v>
      </c>
    </row>
    <row r="2">
      <c r="A2" s="65"/>
      <c r="B2" s="33" t="s">
        <v>71</v>
      </c>
      <c r="C2" s="36">
        <v>22050.0</v>
      </c>
      <c r="D2" s="33">
        <v>256.2</v>
      </c>
      <c r="E2" s="66">
        <v>46.14</v>
      </c>
      <c r="F2" s="67">
        <f t="shared" ref="F2:F3" si="1">C2-D2-E2</f>
        <v>21747.66</v>
      </c>
      <c r="G2" s="33">
        <v>64.16</v>
      </c>
      <c r="H2" s="33">
        <v>12.95</v>
      </c>
      <c r="I2" s="33">
        <f t="shared" ref="I2:I3" si="2">F2-G2-H2</f>
        <v>21670.55</v>
      </c>
    </row>
    <row r="3">
      <c r="A3" s="60"/>
      <c r="B3" s="38" t="s">
        <v>72</v>
      </c>
      <c r="C3" s="33">
        <v>35550.0</v>
      </c>
      <c r="D3" s="33">
        <v>368.3</v>
      </c>
      <c r="E3" s="66">
        <v>66.31</v>
      </c>
      <c r="F3" s="67">
        <f t="shared" si="1"/>
        <v>35115.39</v>
      </c>
      <c r="G3" s="33">
        <v>92.43</v>
      </c>
      <c r="H3" s="33">
        <v>18.77</v>
      </c>
      <c r="I3" s="33">
        <f t="shared" si="2"/>
        <v>35004.19</v>
      </c>
    </row>
    <row r="4">
      <c r="A4" s="60"/>
      <c r="B4" s="43" t="s">
        <v>44</v>
      </c>
      <c r="C4" s="68">
        <f>SUM(C2:C3)</f>
        <v>57600</v>
      </c>
      <c r="D4" s="45"/>
      <c r="E4" s="56"/>
      <c r="F4" s="41">
        <f>SUM(F2:F3)</f>
        <v>56863.05</v>
      </c>
      <c r="G4" s="56"/>
      <c r="H4" s="45"/>
      <c r="I4" s="68">
        <f>SUM(I2:I3)</f>
        <v>56674.74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8.13"/>
    <col customWidth="1" min="5" max="5" width="13.75"/>
    <col customWidth="1" min="6" max="6" width="15.25"/>
  </cols>
  <sheetData>
    <row r="1">
      <c r="A1" s="3" t="s">
        <v>1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</row>
    <row r="2">
      <c r="A2" s="22" t="s">
        <v>64</v>
      </c>
      <c r="B2" s="22" t="s">
        <v>65</v>
      </c>
      <c r="C2" s="22" t="s">
        <v>66</v>
      </c>
      <c r="D2" s="22" t="s">
        <v>67</v>
      </c>
      <c r="E2" s="22" t="s">
        <v>68</v>
      </c>
      <c r="F2" s="40">
        <v>2460.0</v>
      </c>
    </row>
    <row r="4">
      <c r="A4" s="60"/>
      <c r="B4" s="60"/>
      <c r="C4" s="60"/>
      <c r="D4" s="60"/>
      <c r="E4" s="60"/>
      <c r="F4" s="61"/>
      <c r="G4" s="60"/>
      <c r="H4" s="60"/>
      <c r="I4" s="60"/>
      <c r="J4" s="60"/>
    </row>
  </sheetData>
  <drawing r:id="rId1"/>
</worksheet>
</file>