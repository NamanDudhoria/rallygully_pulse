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Misfits" sheetId="6" r:id="rId10"/>
    <sheet state="visible" name="Corporate Event" sheetId="7" r:id="rId11"/>
    <sheet state="visible" name="Memberships" sheetId="8" r:id="rId12"/>
  </sheets>
  <definedNames/>
  <calcPr/>
</workbook>
</file>

<file path=xl/sharedStrings.xml><?xml version="1.0" encoding="utf-8"?>
<sst xmlns="http://schemas.openxmlformats.org/spreadsheetml/2006/main" count="124" uniqueCount="85">
  <si>
    <t>Date</t>
  </si>
  <si>
    <t>Link</t>
  </si>
  <si>
    <t>Date: 1st Oct - 31st Oct</t>
  </si>
  <si>
    <t>Day</t>
  </si>
  <si>
    <t>Total Offline (Hours)</t>
  </si>
  <si>
    <t>Discount Given</t>
  </si>
  <si>
    <t>Revenue</t>
  </si>
  <si>
    <t xml:space="preserve">Paddle Rental </t>
  </si>
  <si>
    <t xml:space="preserve">Energy Drinks </t>
  </si>
  <si>
    <t>Total Revenue</t>
  </si>
  <si>
    <t>Particulars</t>
  </si>
  <si>
    <t>Amount</t>
  </si>
  <si>
    <t>Wednesday</t>
  </si>
  <si>
    <t>Offline</t>
  </si>
  <si>
    <t>Paid to Playo (₹)</t>
  </si>
  <si>
    <t>Commissions (₹)</t>
  </si>
  <si>
    <t>GST (₹)</t>
  </si>
  <si>
    <t>Paid to Hudle</t>
  </si>
  <si>
    <t>Net Revenue</t>
  </si>
  <si>
    <t>Commisions (Including GST)</t>
  </si>
  <si>
    <t>TDS (₹)</t>
  </si>
  <si>
    <t>TCS (₹)</t>
  </si>
  <si>
    <t>Final Amount (₹)</t>
  </si>
  <si>
    <t>TDS</t>
  </si>
  <si>
    <t>TCS</t>
  </si>
  <si>
    <t>29 Sep - 30 Sep</t>
  </si>
  <si>
    <t>30 Sep - 7 Oct</t>
  </si>
  <si>
    <t>Thursday</t>
  </si>
  <si>
    <t>Rentals</t>
  </si>
  <si>
    <t>Friday</t>
  </si>
  <si>
    <t>Saturday</t>
  </si>
  <si>
    <t>F&amp;B</t>
  </si>
  <si>
    <t>1 Oct - 5 Oct</t>
  </si>
  <si>
    <t>Product Sales</t>
  </si>
  <si>
    <t>Sunday</t>
  </si>
  <si>
    <t>7 Oct - 14 Oct</t>
  </si>
  <si>
    <t>6 Oct - 12 Oct</t>
  </si>
  <si>
    <t>Rallygully Community games</t>
  </si>
  <si>
    <t>Monday</t>
  </si>
  <si>
    <t>Bookings</t>
  </si>
  <si>
    <t>14 Oct - 21 Oct</t>
  </si>
  <si>
    <t>Tuesday</t>
  </si>
  <si>
    <t>13 Oct - 19 Oct</t>
  </si>
  <si>
    <t>Online: Third Party Platform</t>
  </si>
  <si>
    <t xml:space="preserve">21 Oct - 28 Oct </t>
  </si>
  <si>
    <t>29 Oct - 31 Oct</t>
  </si>
  <si>
    <t>20 - 26 Oct</t>
  </si>
  <si>
    <t>Hudle</t>
  </si>
  <si>
    <t>Playo</t>
  </si>
  <si>
    <t>27 - 31 Oct</t>
  </si>
  <si>
    <t>District</t>
  </si>
  <si>
    <t>Khelomore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</si>
  <si>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</si>
  <si>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</si>
  <si>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</si>
  <si>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</si>
  <si>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</si>
  <si>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</si>
  <si>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</si>
  <si>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</t>
  </si>
  <si>
    <t>October</t>
  </si>
  <si>
    <t>Total Revenue post GST</t>
  </si>
  <si>
    <t>Paid to Misfits (₹)</t>
  </si>
  <si>
    <t>Post Comission (20%)</t>
  </si>
  <si>
    <t xml:space="preserve">TDS </t>
  </si>
  <si>
    <t>Paid to Khelomore (₹)</t>
  </si>
  <si>
    <t>30 Sep - 5 Oct</t>
  </si>
  <si>
    <t>6 Oct - 19 Oct</t>
  </si>
  <si>
    <t>20 Oct - 31 Oct</t>
  </si>
  <si>
    <t>Date &amp; Day</t>
  </si>
  <si>
    <t>Brand Name</t>
  </si>
  <si>
    <t>Timings</t>
  </si>
  <si>
    <t>Type of collab</t>
  </si>
  <si>
    <t>7 Nov &amp; Friday</t>
  </si>
  <si>
    <t>Scimplify</t>
  </si>
  <si>
    <t>5-8 PM</t>
  </si>
  <si>
    <t>20 People team bonding session</t>
  </si>
  <si>
    <t>Member Name</t>
  </si>
  <si>
    <t>Sports Type</t>
  </si>
  <si>
    <t>Membership Type</t>
  </si>
  <si>
    <t>Start Date</t>
  </si>
  <si>
    <t>Amount Collected</t>
  </si>
  <si>
    <t>Sahil Gupta</t>
  </si>
  <si>
    <t>Pickleball</t>
  </si>
  <si>
    <t>Grand Slam (90)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</si>
</sst>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&gt;9999999][$₹]##\,##\,##\,##0.00;[&gt;99999][$₹]##\,##\,##0.00;[$₹]##,##0.00"/>
    <numFmt numFmtId="167" formatCode="[$₹]#,##0.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Aptos Narrow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9" xfId="0" applyAlignment="1" applyBorder="1" applyFont="1" applyNumberFormat="1">
      <alignment horizontal="right" vertical="bottom"/>
    </xf>
    <xf borderId="0" fillId="2" fontId="6" numFmtId="0" xfId="0" applyAlignment="1" applyFill="1" applyFont="1">
      <alignment horizontal="center" readingOrder="0" vertical="bottom"/>
    </xf>
    <xf borderId="0" fillId="2" fontId="5" numFmtId="0" xfId="0" applyAlignment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shrinkToFit="0" vertical="bottom" wrapText="0"/>
    </xf>
    <xf borderId="1" fillId="0" fontId="4" numFmtId="4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4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1" fillId="0" fontId="2" numFmtId="166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2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4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4" fillId="0" fontId="4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2" fontId="2" numFmtId="0" xfId="0" applyAlignment="1" applyBorder="1" applyFill="1" applyFont="1">
      <alignment horizontal="right" vertical="bottom"/>
    </xf>
    <xf borderId="1" fillId="2" fontId="4" numFmtId="0" xfId="0" applyAlignment="1" applyBorder="1" applyFill="1" applyFont="1">
      <alignment horizontal="right" vertical="bottom"/>
    </xf>
    <xf borderId="1" fillId="2" fontId="4" numFmtId="0" xfId="0" applyAlignment="1" applyBorder="1" applyFill="1" applyFont="1">
      <alignment vertical="bottom"/>
    </xf>
    <xf borderId="1" fillId="0" fontId="4" numFmtId="167" xfId="0" applyAlignment="1" applyBorder="1" applyFont="1" applyNumberForma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1" fillId="0" fontId="9" numFmtId="0" xfId="0" applyBorder="1" applyFont="1"/>
    <xf borderId="1" fillId="0" fontId="10" numFmtId="0" xfId="0" applyAlignment="1" applyBorder="1" applyFont="1">
      <alignment horizontal="right" readingOrder="0" vertical="bottom"/>
    </xf>
    <xf borderId="1" fillId="0" fontId="4" numFmtId="9" xfId="0" applyAlignment="1" applyBorder="1" applyFont="1" applyNumberFormat="1">
      <alignment readingOrder="0" vertical="bottom"/>
    </xf>
    <xf borderId="1" fillId="0" fontId="11" numFmtId="0" xfId="0" applyAlignment="1" applyBorder="1" applyFont="1">
      <alignment horizontal="right" vertical="bottom"/>
    </xf>
    <xf borderId="1" fillId="0" fontId="2" numFmtId="165" xfId="0" applyAlignment="1" applyBorder="1" applyFont="1" applyNumberFormat="1">
      <alignment horizontal="right" readingOrder="0" vertical="bottom"/>
    </xf>
    <xf borderId="0" fillId="2" fontId="2" numFmtId="0" xfId="0" applyAlignment="1" applyFill="1" applyFont="1">
      <alignment horizontal="center" vertical="bottom"/>
    </xf>
    <xf borderId="0" fillId="0" fontId="7" numFmtId="0" xfId="0" applyAlignment="1" applyFont="1">
      <alignment horizontal="right" readingOrder="0"/>
    </xf>
    <xf borderId="0" fillId="0" fontId="7" numFmtId="3" xfId="0" applyAlignment="1" applyFont="1" applyNumberFormat="1">
      <alignment horizontal="right" readingOrder="0"/>
    </xf>
    <xf borderId="1" fillId="0" fontId="7" numFmtId="3" xfId="0" applyAlignment="1" applyBorder="1" applyFont="1" applyNumberFormat="1">
      <alignment readingOrder="0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</cols>
  <sheetData>
    <row r="1">
      <c r="A1" s="1"/>
    </row>
    <row r="2">
      <c r="B2" s="3" t="s">
        <v>2</v>
      </c>
      <c r="C2" s="4"/>
    </row>
    <row r="3">
      <c r="B3" s="5" t="s">
        <v>10</v>
      </c>
      <c r="C3" s="5" t="s">
        <v>11</v>
      </c>
      <c r="E3" s="6"/>
      <c r="F3" s="6"/>
    </row>
    <row r="4">
      <c r="B4" s="9" t="s">
        <v>13</v>
      </c>
      <c r="C4" s="17">
        <f>SUM(C5,C6,C7,C8, C9)</f>
        <v>25065</v>
      </c>
      <c r="E4" s="6"/>
      <c r="F4" s="6"/>
    </row>
    <row r="5">
      <c r="B5" s="8" t="s">
        <v>28</v>
      </c>
      <c r="C5" s="19">
        <f>'Offline &amp; RG Community'!F33</f>
        <v>6425</v>
      </c>
      <c r="E5" s="6"/>
      <c r="F5" s="6"/>
    </row>
    <row r="6">
      <c r="B6" s="8" t="s">
        <v>31</v>
      </c>
      <c r="C6" s="19">
        <f>'Offline &amp; RG Community'!G33</f>
        <v>2490</v>
      </c>
      <c r="E6" s="6"/>
      <c r="F6" s="6"/>
    </row>
    <row r="7">
      <c r="B7" s="8" t="s">
        <v>33</v>
      </c>
      <c r="C7" s="19">
        <v>0.0</v>
      </c>
      <c r="E7" s="6"/>
      <c r="F7" s="6"/>
    </row>
    <row r="8">
      <c r="B8" s="20" t="s">
        <v>37</v>
      </c>
      <c r="C8" s="19">
        <v>5200.0</v>
      </c>
      <c r="E8" s="6"/>
      <c r="F8" s="6"/>
    </row>
    <row r="9">
      <c r="B9" s="8" t="s">
        <v>39</v>
      </c>
      <c r="C9" s="19">
        <f>'Offline &amp; RG Community'!E33-C8</f>
        <v>10950</v>
      </c>
      <c r="E9" s="6"/>
      <c r="F9" s="6"/>
    </row>
    <row r="10">
      <c r="B10" s="9" t="s">
        <v>43</v>
      </c>
      <c r="C10" s="17">
        <f>sum(C11,C12,C13,C14,C15)</f>
        <v>120255</v>
      </c>
      <c r="E10" s="6"/>
      <c r="F10" s="6"/>
    </row>
    <row r="11">
      <c r="B11" s="20" t="s">
        <v>47</v>
      </c>
      <c r="C11" s="19">
        <f>Hudle!C7</f>
        <v>96165</v>
      </c>
      <c r="E11" s="6"/>
      <c r="F11" s="28"/>
    </row>
    <row r="12">
      <c r="B12" s="8" t="s">
        <v>48</v>
      </c>
      <c r="C12" s="19">
        <f>Playo!C8</f>
        <v>17870</v>
      </c>
      <c r="E12" s="6"/>
      <c r="F12" s="28"/>
    </row>
    <row r="13">
      <c r="B13" s="20" t="s">
        <v>50</v>
      </c>
      <c r="C13" s="30">
        <v>0.0</v>
      </c>
    </row>
    <row r="14">
      <c r="B14" s="8" t="s">
        <v>51</v>
      </c>
      <c r="C14" s="19">
        <f>Khelomore!C5</f>
        <v>4500</v>
      </c>
    </row>
    <row r="15">
      <c r="B15" s="8" t="s">
        <v>52</v>
      </c>
      <c r="C15" s="19">
        <f>Misfits!C2</f>
        <v>1720</v>
      </c>
    </row>
    <row r="16">
      <c r="B16" s="9" t="s">
        <v>53</v>
      </c>
      <c r="C16" s="17">
        <f>Memberships!E2</f>
        <v>50000</v>
      </c>
    </row>
    <row r="17">
      <c r="B17" s="9" t="s">
        <v>54</v>
      </c>
      <c r="C17" s="19">
        <f>'Corporate Event'!C2</f>
        <v>5400</v>
      </c>
    </row>
    <row r="18">
      <c r="B18" s="9" t="s">
        <v>55</v>
      </c>
      <c r="C18" s="30">
        <f>0</f>
        <v>0</v>
      </c>
    </row>
    <row r="19">
      <c r="B19" s="35" t="s">
        <v>56</v>
      </c>
      <c r="C19" s="36">
        <v>0.0</v>
      </c>
    </row>
    <row r="20">
      <c r="B20" s="9" t="s">
        <v>57</v>
      </c>
      <c r="C20" s="17">
        <f>sum(C4,C10,C16,C17,C18,C19)</f>
        <v>200720</v>
      </c>
    </row>
    <row r="21">
      <c r="B21" s="37" t="s">
        <v>58</v>
      </c>
      <c r="C21" s="41">
        <f>SUM(,Hudle!E7,Playo!F8,Khelomore!E5,Misfits!D2,'Corporate Event'!C2,Memberships!E2,'Offline &amp; RG Community'!H33)</f>
        <v>185600.92</v>
      </c>
    </row>
    <row r="22">
      <c r="B22" s="9" t="s">
        <v>61</v>
      </c>
      <c r="C22" s="17">
        <f>C21/1.18</f>
        <v>157288.9153</v>
      </c>
    </row>
    <row r="23">
      <c r="B23" s="9"/>
      <c r="C23" s="17"/>
    </row>
    <row r="24">
      <c r="B24" s="9"/>
      <c r="C24" s="17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7">
        <v>45931.0</v>
      </c>
      <c r="B2" s="8" t="s">
        <v>12</v>
      </c>
      <c r="C2" s="10">
        <v>0.0</v>
      </c>
      <c r="D2" s="11">
        <v>0.1</v>
      </c>
      <c r="E2" s="10">
        <v>0.0</v>
      </c>
      <c r="F2" s="10">
        <v>375.0</v>
      </c>
      <c r="G2" s="10">
        <v>180.0</v>
      </c>
      <c r="H2" s="10">
        <f t="shared" ref="H2:H6" si="1">sum(E2:F2:G2)</f>
        <v>555</v>
      </c>
      <c r="I2" s="6"/>
    </row>
    <row r="3">
      <c r="A3" s="7">
        <v>45932.0</v>
      </c>
      <c r="B3" s="8" t="s">
        <v>27</v>
      </c>
      <c r="C3" s="16">
        <v>0.0</v>
      </c>
      <c r="D3" s="11">
        <v>0.1</v>
      </c>
      <c r="E3" s="16">
        <v>0.0</v>
      </c>
      <c r="F3" s="16">
        <v>0.0</v>
      </c>
      <c r="G3" s="16">
        <v>0.0</v>
      </c>
      <c r="H3" s="10">
        <f t="shared" si="1"/>
        <v>0</v>
      </c>
      <c r="I3" s="6"/>
    </row>
    <row r="4">
      <c r="A4" s="7">
        <v>45933.0</v>
      </c>
      <c r="B4" s="8" t="s">
        <v>29</v>
      </c>
      <c r="C4" s="10">
        <v>0.0</v>
      </c>
      <c r="D4" s="11">
        <v>0.1</v>
      </c>
      <c r="E4" s="10">
        <v>0.0</v>
      </c>
      <c r="F4" s="10">
        <v>300.0</v>
      </c>
      <c r="G4" s="10">
        <v>0.0</v>
      </c>
      <c r="H4" s="10">
        <f t="shared" si="1"/>
        <v>300</v>
      </c>
      <c r="I4" s="6"/>
    </row>
    <row r="5">
      <c r="A5" s="7">
        <v>45934.0</v>
      </c>
      <c r="B5" s="8" t="s">
        <v>30</v>
      </c>
      <c r="C5" s="10">
        <v>0.5</v>
      </c>
      <c r="D5" s="11">
        <v>0.1</v>
      </c>
      <c r="E5" s="10">
        <v>360.0</v>
      </c>
      <c r="F5" s="10">
        <v>250.0</v>
      </c>
      <c r="G5" s="10">
        <v>0.0</v>
      </c>
      <c r="H5" s="10">
        <f t="shared" si="1"/>
        <v>610</v>
      </c>
      <c r="I5" s="6"/>
    </row>
    <row r="6">
      <c r="A6" s="7">
        <v>45935.0</v>
      </c>
      <c r="B6" s="8" t="s">
        <v>34</v>
      </c>
      <c r="C6" s="10">
        <v>1.0</v>
      </c>
      <c r="D6" s="11">
        <v>0.1</v>
      </c>
      <c r="E6" s="10">
        <v>600.0</v>
      </c>
      <c r="F6" s="10">
        <v>450.0</v>
      </c>
      <c r="G6" s="10">
        <v>0.0</v>
      </c>
      <c r="H6" s="10">
        <f t="shared" si="1"/>
        <v>1050</v>
      </c>
      <c r="I6" s="6"/>
    </row>
    <row r="7">
      <c r="A7" s="7">
        <v>45936.0</v>
      </c>
      <c r="B7" s="8" t="s">
        <v>38</v>
      </c>
      <c r="C7" s="16">
        <v>0.0</v>
      </c>
      <c r="D7" s="11">
        <v>0.1</v>
      </c>
      <c r="E7" s="16">
        <v>0.0</v>
      </c>
      <c r="F7" s="16">
        <v>0.0</v>
      </c>
      <c r="G7" s="16">
        <v>0.0</v>
      </c>
      <c r="H7" s="16">
        <v>0.0</v>
      </c>
      <c r="I7" s="6"/>
    </row>
    <row r="8">
      <c r="A8" s="7">
        <v>45937.0</v>
      </c>
      <c r="B8" s="8" t="s">
        <v>41</v>
      </c>
      <c r="C8" s="16">
        <v>0.0</v>
      </c>
      <c r="D8" s="11">
        <v>0.1</v>
      </c>
      <c r="E8" s="16">
        <v>0.0</v>
      </c>
      <c r="F8" s="16">
        <v>0.0</v>
      </c>
      <c r="G8" s="16">
        <v>0.0</v>
      </c>
      <c r="H8" s="16">
        <v>0.0</v>
      </c>
      <c r="I8" s="6"/>
    </row>
    <row r="9">
      <c r="A9" s="7">
        <v>45938.0</v>
      </c>
      <c r="B9" s="8" t="s">
        <v>12</v>
      </c>
      <c r="C9" s="10">
        <v>0.5</v>
      </c>
      <c r="D9" s="11">
        <v>0.1</v>
      </c>
      <c r="E9" s="10">
        <v>360.0</v>
      </c>
      <c r="F9" s="10">
        <v>175.0</v>
      </c>
      <c r="G9" s="10">
        <v>0.0</v>
      </c>
      <c r="H9" s="10">
        <f t="shared" ref="H9:H32" si="2">sum(E9:F9:G9)</f>
        <v>535</v>
      </c>
      <c r="I9" s="6"/>
    </row>
    <row r="10">
      <c r="A10" s="7">
        <v>45939.0</v>
      </c>
      <c r="B10" s="8" t="s">
        <v>27</v>
      </c>
      <c r="C10" s="16">
        <v>0.0</v>
      </c>
      <c r="D10" s="11">
        <v>0.1</v>
      </c>
      <c r="E10" s="16">
        <v>0.0</v>
      </c>
      <c r="F10" s="16">
        <v>0.0</v>
      </c>
      <c r="G10" s="16">
        <v>0.0</v>
      </c>
      <c r="H10" s="10">
        <f t="shared" si="2"/>
        <v>0</v>
      </c>
      <c r="I10" s="6"/>
    </row>
    <row r="11">
      <c r="A11" s="7">
        <v>45940.0</v>
      </c>
      <c r="B11" s="8" t="s">
        <v>29</v>
      </c>
      <c r="C11" s="10">
        <v>5.0</v>
      </c>
      <c r="D11" s="11">
        <v>0.1</v>
      </c>
      <c r="E11" s="10">
        <v>2320.0</v>
      </c>
      <c r="F11" s="10">
        <v>300.0</v>
      </c>
      <c r="G11" s="10">
        <v>0.0</v>
      </c>
      <c r="H11" s="10">
        <f t="shared" si="2"/>
        <v>2620</v>
      </c>
      <c r="I11" s="6"/>
    </row>
    <row r="12">
      <c r="A12" s="7">
        <v>45941.0</v>
      </c>
      <c r="B12" s="8" t="s">
        <v>30</v>
      </c>
      <c r="C12" s="10">
        <v>1.0</v>
      </c>
      <c r="D12" s="11">
        <v>0.1</v>
      </c>
      <c r="E12" s="10">
        <v>720.0</v>
      </c>
      <c r="F12" s="10">
        <v>350.0</v>
      </c>
      <c r="G12" s="10">
        <v>0.0</v>
      </c>
      <c r="H12" s="10">
        <f t="shared" si="2"/>
        <v>1070</v>
      </c>
      <c r="I12" s="6"/>
    </row>
    <row r="13">
      <c r="A13" s="7">
        <v>45942.0</v>
      </c>
      <c r="B13" s="8" t="s">
        <v>34</v>
      </c>
      <c r="C13" s="10">
        <v>1.0</v>
      </c>
      <c r="D13" s="11">
        <v>0.1</v>
      </c>
      <c r="E13" s="10">
        <v>720.0</v>
      </c>
      <c r="F13" s="10">
        <v>150.0</v>
      </c>
      <c r="G13" s="10">
        <v>0.0</v>
      </c>
      <c r="H13" s="10">
        <f t="shared" si="2"/>
        <v>870</v>
      </c>
      <c r="I13" s="6"/>
    </row>
    <row r="14">
      <c r="A14" s="7">
        <v>45943.0</v>
      </c>
      <c r="B14" s="8" t="s">
        <v>38</v>
      </c>
      <c r="C14" s="10">
        <v>1.5</v>
      </c>
      <c r="D14" s="11">
        <v>0.1</v>
      </c>
      <c r="E14" s="10">
        <v>1080.0</v>
      </c>
      <c r="F14" s="10">
        <v>300.0</v>
      </c>
      <c r="G14" s="10">
        <v>120.0</v>
      </c>
      <c r="H14" s="10">
        <f t="shared" si="2"/>
        <v>1500</v>
      </c>
      <c r="I14" s="6"/>
    </row>
    <row r="15">
      <c r="A15" s="7">
        <v>45944.0</v>
      </c>
      <c r="B15" s="8" t="s">
        <v>41</v>
      </c>
      <c r="C15" s="10">
        <v>2.0</v>
      </c>
      <c r="D15" s="11">
        <v>0.1</v>
      </c>
      <c r="E15" s="10">
        <v>1750.0</v>
      </c>
      <c r="F15" s="10">
        <v>275.0</v>
      </c>
      <c r="G15" s="10">
        <v>180.0</v>
      </c>
      <c r="H15" s="10">
        <f t="shared" si="2"/>
        <v>2205</v>
      </c>
      <c r="I15" s="6"/>
    </row>
    <row r="16">
      <c r="A16" s="7">
        <v>45945.0</v>
      </c>
      <c r="B16" s="8" t="s">
        <v>12</v>
      </c>
      <c r="C16" s="10">
        <v>1.0</v>
      </c>
      <c r="D16" s="11">
        <v>0.1</v>
      </c>
      <c r="E16" s="10">
        <v>720.0</v>
      </c>
      <c r="F16" s="10">
        <v>300.0</v>
      </c>
      <c r="G16" s="10">
        <v>180.0</v>
      </c>
      <c r="H16" s="10">
        <f t="shared" si="2"/>
        <v>1200</v>
      </c>
      <c r="I16" s="6"/>
    </row>
    <row r="17">
      <c r="A17" s="7">
        <v>45946.0</v>
      </c>
      <c r="B17" s="8" t="s">
        <v>27</v>
      </c>
      <c r="C17" s="10">
        <v>0.5</v>
      </c>
      <c r="D17" s="11">
        <v>0.1</v>
      </c>
      <c r="E17" s="10">
        <v>360.0</v>
      </c>
      <c r="F17" s="10">
        <v>550.0</v>
      </c>
      <c r="G17" s="10">
        <v>300.0</v>
      </c>
      <c r="H17" s="10">
        <f t="shared" si="2"/>
        <v>1210</v>
      </c>
      <c r="I17" s="6"/>
    </row>
    <row r="18">
      <c r="A18" s="7">
        <v>45947.0</v>
      </c>
      <c r="B18" s="8" t="s">
        <v>29</v>
      </c>
      <c r="C18" s="33">
        <v>0.0</v>
      </c>
      <c r="D18" s="11">
        <v>0.1</v>
      </c>
      <c r="E18" s="33">
        <v>0.0</v>
      </c>
      <c r="F18" s="33">
        <v>200.0</v>
      </c>
      <c r="G18" s="33">
        <v>120.0</v>
      </c>
      <c r="H18" s="10">
        <f t="shared" si="2"/>
        <v>320</v>
      </c>
      <c r="I18" s="6"/>
      <c r="J18" s="6"/>
    </row>
    <row r="19">
      <c r="A19" s="7">
        <v>45948.0</v>
      </c>
      <c r="B19" s="8" t="s">
        <v>30</v>
      </c>
      <c r="C19" s="10">
        <v>0.0</v>
      </c>
      <c r="D19" s="11">
        <v>0.1</v>
      </c>
      <c r="E19" s="10">
        <v>0.0</v>
      </c>
      <c r="F19" s="10">
        <v>225.0</v>
      </c>
      <c r="G19" s="10">
        <v>510.0</v>
      </c>
      <c r="H19" s="10">
        <f t="shared" si="2"/>
        <v>735</v>
      </c>
      <c r="I19" s="6"/>
    </row>
    <row r="20">
      <c r="A20" s="7">
        <v>45949.0</v>
      </c>
      <c r="B20" s="8" t="s">
        <v>34</v>
      </c>
      <c r="C20" s="10">
        <v>3.0</v>
      </c>
      <c r="D20" s="11">
        <v>0.1</v>
      </c>
      <c r="E20" s="10">
        <v>1000.0</v>
      </c>
      <c r="F20" s="10">
        <v>50.0</v>
      </c>
      <c r="G20" s="10">
        <v>60.0</v>
      </c>
      <c r="H20" s="10">
        <f t="shared" si="2"/>
        <v>1110</v>
      </c>
      <c r="I20" s="6"/>
    </row>
    <row r="21">
      <c r="A21" s="7">
        <v>45950.0</v>
      </c>
      <c r="B21" s="8" t="s">
        <v>38</v>
      </c>
      <c r="C21" s="10">
        <v>0.0</v>
      </c>
      <c r="D21" s="11">
        <v>0.1</v>
      </c>
      <c r="E21" s="10">
        <v>0.0</v>
      </c>
      <c r="F21" s="10">
        <v>200.0</v>
      </c>
      <c r="G21" s="10">
        <v>0.0</v>
      </c>
      <c r="H21" s="10">
        <f t="shared" si="2"/>
        <v>200</v>
      </c>
      <c r="I21" s="6"/>
    </row>
    <row r="22">
      <c r="A22" s="7">
        <v>45951.0</v>
      </c>
      <c r="B22" s="8" t="s">
        <v>41</v>
      </c>
      <c r="C22" s="10">
        <v>2.0</v>
      </c>
      <c r="D22" s="11">
        <v>0.1</v>
      </c>
      <c r="E22" s="10">
        <v>1320.0</v>
      </c>
      <c r="F22" s="10">
        <v>175.0</v>
      </c>
      <c r="G22" s="10">
        <v>120.0</v>
      </c>
      <c r="H22" s="10">
        <f t="shared" si="2"/>
        <v>1615</v>
      </c>
      <c r="I22" s="6"/>
    </row>
    <row r="23">
      <c r="A23" s="7">
        <v>45952.0</v>
      </c>
      <c r="B23" s="8" t="s">
        <v>12</v>
      </c>
      <c r="C23" s="10">
        <v>0.0</v>
      </c>
      <c r="D23" s="11">
        <v>0.1</v>
      </c>
      <c r="E23" s="10">
        <v>0.0</v>
      </c>
      <c r="F23" s="10">
        <v>100.0</v>
      </c>
      <c r="G23" s="10">
        <v>0.0</v>
      </c>
      <c r="H23" s="10">
        <f t="shared" si="2"/>
        <v>100</v>
      </c>
      <c r="I23" s="6"/>
    </row>
    <row r="24">
      <c r="A24" s="7">
        <v>45953.0</v>
      </c>
      <c r="B24" s="8" t="s">
        <v>27</v>
      </c>
      <c r="C24" s="10">
        <v>0.0</v>
      </c>
      <c r="D24" s="11">
        <v>0.1</v>
      </c>
      <c r="E24" s="10">
        <v>0.0</v>
      </c>
      <c r="F24" s="10">
        <v>200.0</v>
      </c>
      <c r="G24" s="10">
        <v>0.0</v>
      </c>
      <c r="H24" s="10">
        <f t="shared" si="2"/>
        <v>200</v>
      </c>
      <c r="I24" s="6"/>
    </row>
    <row r="25">
      <c r="A25" s="7">
        <v>45954.0</v>
      </c>
      <c r="B25" s="8" t="s">
        <v>29</v>
      </c>
      <c r="C25" s="10">
        <v>0.5</v>
      </c>
      <c r="D25" s="11">
        <v>0.1</v>
      </c>
      <c r="E25" s="10">
        <v>300.0</v>
      </c>
      <c r="F25" s="10">
        <v>300.0</v>
      </c>
      <c r="G25" s="10">
        <v>120.0</v>
      </c>
      <c r="H25" s="10">
        <f t="shared" si="2"/>
        <v>720</v>
      </c>
      <c r="I25" s="6"/>
    </row>
    <row r="26">
      <c r="A26" s="7">
        <v>45955.0</v>
      </c>
      <c r="B26" s="8" t="s">
        <v>30</v>
      </c>
      <c r="C26" s="10">
        <v>0.5</v>
      </c>
      <c r="D26" s="11">
        <v>0.1</v>
      </c>
      <c r="E26" s="10">
        <v>300.0</v>
      </c>
      <c r="F26" s="10">
        <v>300.0</v>
      </c>
      <c r="G26" s="10">
        <v>120.0</v>
      </c>
      <c r="H26" s="10">
        <f t="shared" si="2"/>
        <v>720</v>
      </c>
      <c r="I26" s="6"/>
    </row>
    <row r="27">
      <c r="A27" s="7">
        <v>45956.0</v>
      </c>
      <c r="B27" s="8" t="s">
        <v>34</v>
      </c>
      <c r="C27" s="10">
        <v>2.5</v>
      </c>
      <c r="D27" s="11">
        <v>0.1</v>
      </c>
      <c r="E27" s="10">
        <v>1440.0</v>
      </c>
      <c r="F27" s="10">
        <v>200.0</v>
      </c>
      <c r="G27" s="10">
        <v>0.0</v>
      </c>
      <c r="H27" s="10">
        <f t="shared" si="2"/>
        <v>1640</v>
      </c>
      <c r="I27" s="6"/>
    </row>
    <row r="28">
      <c r="A28" s="7">
        <v>45957.0</v>
      </c>
      <c r="B28" s="8" t="s">
        <v>38</v>
      </c>
      <c r="C28" s="10">
        <v>0.5</v>
      </c>
      <c r="D28" s="11">
        <v>0.1</v>
      </c>
      <c r="E28" s="10">
        <v>360.0</v>
      </c>
      <c r="F28" s="10">
        <v>150.0</v>
      </c>
      <c r="G28" s="10">
        <v>90.0</v>
      </c>
      <c r="H28" s="10">
        <f t="shared" si="2"/>
        <v>600</v>
      </c>
      <c r="I28" s="6"/>
    </row>
    <row r="29">
      <c r="A29" s="7">
        <v>45958.0</v>
      </c>
      <c r="B29" s="8" t="s">
        <v>41</v>
      </c>
      <c r="C29" s="10">
        <v>1.0</v>
      </c>
      <c r="D29" s="11">
        <v>0.1</v>
      </c>
      <c r="E29" s="10">
        <v>720.0</v>
      </c>
      <c r="F29" s="10">
        <v>250.0</v>
      </c>
      <c r="G29" s="10">
        <v>60.0</v>
      </c>
      <c r="H29" s="10">
        <f t="shared" si="2"/>
        <v>1030</v>
      </c>
      <c r="I29" s="6"/>
    </row>
    <row r="30">
      <c r="A30" s="7">
        <v>45959.0</v>
      </c>
      <c r="B30" s="8" t="s">
        <v>12</v>
      </c>
      <c r="C30" s="10">
        <v>2.0</v>
      </c>
      <c r="D30" s="11">
        <v>0.1</v>
      </c>
      <c r="E30" s="10">
        <v>1080.0</v>
      </c>
      <c r="F30" s="10">
        <v>200.0</v>
      </c>
      <c r="G30" s="10">
        <v>120.0</v>
      </c>
      <c r="H30" s="10">
        <f t="shared" si="2"/>
        <v>1400</v>
      </c>
      <c r="I30" s="6"/>
    </row>
    <row r="31">
      <c r="A31" s="7">
        <v>45960.0</v>
      </c>
      <c r="B31" s="8" t="s">
        <v>27</v>
      </c>
      <c r="C31" s="10">
        <v>1.0</v>
      </c>
      <c r="D31" s="11">
        <v>0.1</v>
      </c>
      <c r="E31" s="10">
        <v>640.0</v>
      </c>
      <c r="F31" s="10">
        <v>0.0</v>
      </c>
      <c r="G31" s="10">
        <v>150.0</v>
      </c>
      <c r="H31" s="10">
        <f t="shared" si="2"/>
        <v>790</v>
      </c>
      <c r="I31" s="6"/>
    </row>
    <row r="32">
      <c r="A32" s="7">
        <v>45961.0</v>
      </c>
      <c r="B32" s="8" t="s">
        <v>29</v>
      </c>
      <c r="C32" s="16">
        <v>0.0</v>
      </c>
      <c r="D32" s="11">
        <v>0.1</v>
      </c>
      <c r="E32" s="16">
        <v>0.0</v>
      </c>
      <c r="F32" s="16">
        <v>100.0</v>
      </c>
      <c r="G32" s="16">
        <v>60.0</v>
      </c>
      <c r="H32" s="10">
        <f t="shared" si="2"/>
        <v>160</v>
      </c>
      <c r="I32" s="6"/>
    </row>
    <row r="33">
      <c r="A33" s="38" t="s">
        <v>59</v>
      </c>
      <c r="B33" s="14" t="s">
        <v>60</v>
      </c>
      <c r="C33" s="39">
        <f>SUM(C2:C32)</f>
        <v>27</v>
      </c>
      <c r="D33" s="40"/>
      <c r="E33" s="38">
        <f t="shared" ref="E33:H33" si="3">SUM(E2:E32)</f>
        <v>16150</v>
      </c>
      <c r="F33" s="38">
        <f t="shared" si="3"/>
        <v>6425</v>
      </c>
      <c r="G33" s="38">
        <f t="shared" si="3"/>
        <v>2490</v>
      </c>
      <c r="H33" s="38">
        <f t="shared" si="3"/>
        <v>25065</v>
      </c>
      <c r="I3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3" t="s">
        <v>1</v>
      </c>
      <c r="B1" s="14" t="s">
        <v>0</v>
      </c>
      <c r="C1" s="14" t="s">
        <v>17</v>
      </c>
      <c r="D1" s="14" t="s">
        <v>19</v>
      </c>
      <c r="E1" s="2" t="s">
        <v>18</v>
      </c>
      <c r="F1" s="14" t="s">
        <v>23</v>
      </c>
      <c r="G1" s="14" t="s">
        <v>24</v>
      </c>
      <c r="H1" s="14" t="s">
        <v>11</v>
      </c>
    </row>
    <row r="2">
      <c r="A2" s="6"/>
      <c r="B2" s="8" t="s">
        <v>26</v>
      </c>
      <c r="C2" s="18">
        <v>29430.0</v>
      </c>
      <c r="D2" s="18">
        <v>3832.4</v>
      </c>
      <c r="E2" s="18">
        <f t="shared" ref="E2:E6" si="1">C2-D2</f>
        <v>25597.6</v>
      </c>
      <c r="F2" s="18">
        <v>24.98</v>
      </c>
      <c r="G2" s="18">
        <v>124.91</v>
      </c>
      <c r="H2" s="10">
        <v>25491.97</v>
      </c>
    </row>
    <row r="3">
      <c r="A3" s="6"/>
      <c r="B3" s="8" t="s">
        <v>35</v>
      </c>
      <c r="C3" s="18">
        <v>22255.0</v>
      </c>
      <c r="D3" s="10">
        <v>2902.9</v>
      </c>
      <c r="E3" s="18">
        <f t="shared" si="1"/>
        <v>19352.1</v>
      </c>
      <c r="F3" s="10">
        <v>18.92</v>
      </c>
      <c r="G3" s="10">
        <v>94.61</v>
      </c>
      <c r="H3" s="10">
        <v>19313.57</v>
      </c>
    </row>
    <row r="4">
      <c r="A4" s="6"/>
      <c r="B4" s="8" t="s">
        <v>40</v>
      </c>
      <c r="C4" s="21">
        <v>13395.0</v>
      </c>
      <c r="D4" s="16">
        <v>1741.35</v>
      </c>
      <c r="E4" s="18">
        <f t="shared" si="1"/>
        <v>11653.65</v>
      </c>
      <c r="F4" s="16">
        <v>11.35</v>
      </c>
      <c r="G4" s="16">
        <v>56.75</v>
      </c>
      <c r="H4" s="16">
        <v>11585.56</v>
      </c>
    </row>
    <row r="5">
      <c r="A5" s="6"/>
      <c r="B5" s="8" t="s">
        <v>44</v>
      </c>
      <c r="C5" s="21">
        <v>22635.0</v>
      </c>
      <c r="D5" s="16">
        <v>2945.8</v>
      </c>
      <c r="E5" s="18">
        <f t="shared" si="1"/>
        <v>19689.2</v>
      </c>
      <c r="F5" s="16">
        <v>19.2</v>
      </c>
      <c r="G5" s="16">
        <v>96.01</v>
      </c>
      <c r="H5" s="16">
        <v>19599.02</v>
      </c>
    </row>
    <row r="6">
      <c r="A6" s="15"/>
      <c r="B6" s="16" t="s">
        <v>45</v>
      </c>
      <c r="C6" s="25">
        <v>8450.0</v>
      </c>
      <c r="D6" s="16">
        <v>1098.5</v>
      </c>
      <c r="E6" s="18">
        <f t="shared" si="1"/>
        <v>7351.5</v>
      </c>
      <c r="F6" s="16">
        <v>7.16</v>
      </c>
      <c r="G6" s="16">
        <v>35.8</v>
      </c>
      <c r="H6" s="26">
        <v>7308.54</v>
      </c>
    </row>
    <row r="7">
      <c r="A7" s="6"/>
      <c r="B7" s="8"/>
      <c r="C7" s="29">
        <f>SUM(C2:C6)</f>
        <v>96165</v>
      </c>
      <c r="D7" s="8"/>
      <c r="E7" s="29">
        <f>SUM(E2:E6)</f>
        <v>83644.05</v>
      </c>
      <c r="F7" s="8"/>
      <c r="G7" s="8"/>
      <c r="H7" s="32">
        <f>SUM(H2:H6)</f>
        <v>83298.66</v>
      </c>
    </row>
    <row r="8">
      <c r="E8" s="29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2" t="s">
        <v>1</v>
      </c>
      <c r="B1" s="2" t="s">
        <v>0</v>
      </c>
      <c r="C1" s="2" t="s">
        <v>14</v>
      </c>
      <c r="D1" s="2" t="s">
        <v>15</v>
      </c>
      <c r="E1" s="2" t="s">
        <v>16</v>
      </c>
      <c r="F1" s="2" t="s">
        <v>18</v>
      </c>
      <c r="G1" s="2" t="s">
        <v>20</v>
      </c>
      <c r="H1" s="2" t="s">
        <v>21</v>
      </c>
      <c r="I1" s="2" t="s">
        <v>22</v>
      </c>
    </row>
    <row r="2">
      <c r="A2" s="15"/>
      <c r="B2" s="16" t="s">
        <v>25</v>
      </c>
      <c r="C2" s="16">
        <v>800.0</v>
      </c>
      <c r="D2" s="16">
        <v>84.0</v>
      </c>
      <c r="E2" s="16">
        <v>15.12</v>
      </c>
      <c r="F2" s="18">
        <f t="shared" ref="F2:F7" si="1">C2 - D2-E2</f>
        <v>700.88</v>
      </c>
      <c r="G2" s="16">
        <v>0.8</v>
      </c>
      <c r="H2" s="16">
        <v>4.0</v>
      </c>
      <c r="I2" s="16">
        <v>696.08</v>
      </c>
    </row>
    <row r="3">
      <c r="A3" s="15"/>
      <c r="B3" s="16" t="s">
        <v>32</v>
      </c>
      <c r="C3" s="16">
        <v>5080.0</v>
      </c>
      <c r="D3" s="16">
        <v>616.0</v>
      </c>
      <c r="E3" s="16">
        <v>110.0</v>
      </c>
      <c r="F3" s="18">
        <f t="shared" si="1"/>
        <v>4354</v>
      </c>
      <c r="G3" s="16">
        <v>5.08</v>
      </c>
      <c r="H3" s="16">
        <v>25.4</v>
      </c>
      <c r="I3" s="16">
        <v>4322.64</v>
      </c>
    </row>
    <row r="4">
      <c r="A4" s="15"/>
      <c r="B4" s="16" t="s">
        <v>36</v>
      </c>
      <c r="C4" s="16">
        <v>5720.0</v>
      </c>
      <c r="D4" s="16">
        <v>560.0</v>
      </c>
      <c r="E4" s="16">
        <v>100.8</v>
      </c>
      <c r="F4" s="18">
        <f t="shared" si="1"/>
        <v>5059.2</v>
      </c>
      <c r="G4" s="16">
        <v>5.72</v>
      </c>
      <c r="H4" s="16">
        <v>28.6</v>
      </c>
      <c r="I4" s="22">
        <v>5024.88</v>
      </c>
    </row>
    <row r="5">
      <c r="A5" s="15"/>
      <c r="B5" s="16" t="s">
        <v>42</v>
      </c>
      <c r="C5" s="23">
        <v>2040.0</v>
      </c>
      <c r="D5" s="23">
        <v>154.0</v>
      </c>
      <c r="E5" s="23">
        <v>27.72</v>
      </c>
      <c r="F5" s="18">
        <f t="shared" si="1"/>
        <v>1858.28</v>
      </c>
      <c r="G5" s="23">
        <v>2.04</v>
      </c>
      <c r="H5" s="23">
        <v>10.2</v>
      </c>
      <c r="I5" s="23">
        <v>1846.04</v>
      </c>
    </row>
    <row r="6">
      <c r="A6" s="15"/>
      <c r="B6" s="16" t="s">
        <v>46</v>
      </c>
      <c r="C6" s="24">
        <v>3430.0</v>
      </c>
      <c r="D6" s="27">
        <v>255.5</v>
      </c>
      <c r="E6" s="16">
        <v>45.99</v>
      </c>
      <c r="F6" s="18">
        <f t="shared" si="1"/>
        <v>3128.51</v>
      </c>
      <c r="G6" s="16">
        <v>3.43</v>
      </c>
      <c r="H6" s="16">
        <v>17.15</v>
      </c>
      <c r="I6" s="24">
        <v>3107.93</v>
      </c>
    </row>
    <row r="7">
      <c r="A7" s="15"/>
      <c r="B7" s="16" t="s">
        <v>49</v>
      </c>
      <c r="C7" s="24">
        <v>800.0</v>
      </c>
      <c r="D7" s="27">
        <v>60.0</v>
      </c>
      <c r="E7" s="8"/>
      <c r="F7" s="18">
        <f t="shared" si="1"/>
        <v>740</v>
      </c>
      <c r="G7" s="16"/>
      <c r="H7" s="8"/>
      <c r="I7" s="31"/>
    </row>
    <row r="8">
      <c r="A8" s="6"/>
      <c r="B8" s="8"/>
      <c r="C8" s="31">
        <f>SUM(C2:C7)</f>
        <v>17870</v>
      </c>
      <c r="D8" s="34"/>
      <c r="E8" s="8"/>
      <c r="F8" s="29">
        <f>SUM(F2:F7)</f>
        <v>15840.87</v>
      </c>
      <c r="G8" s="16"/>
      <c r="H8" s="8"/>
      <c r="I8" s="31">
        <f>SUM(I2:I6)</f>
        <v>14997.57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12" t="s">
        <v>1</v>
      </c>
      <c r="B1" s="2" t="s">
        <v>0</v>
      </c>
      <c r="C1" s="2" t="s">
        <v>65</v>
      </c>
      <c r="D1" s="2" t="s">
        <v>15</v>
      </c>
      <c r="E1" s="2" t="s">
        <v>22</v>
      </c>
    </row>
    <row r="2">
      <c r="A2" s="15"/>
      <c r="B2" s="16" t="s">
        <v>66</v>
      </c>
      <c r="C2" s="16">
        <v>800.0</v>
      </c>
      <c r="D2" s="16">
        <v>40.0</v>
      </c>
      <c r="E2" s="16">
        <v>760.0</v>
      </c>
    </row>
    <row r="3">
      <c r="A3" s="15"/>
      <c r="B3" s="16" t="s">
        <v>67</v>
      </c>
      <c r="C3" s="16">
        <v>2100.0</v>
      </c>
      <c r="D3" s="16">
        <v>105.0</v>
      </c>
      <c r="E3" s="43">
        <v>1995.0</v>
      </c>
    </row>
    <row r="4">
      <c r="A4" s="15"/>
      <c r="B4" s="16" t="s">
        <v>68</v>
      </c>
      <c r="C4" s="44">
        <v>1600.0</v>
      </c>
      <c r="D4" s="16">
        <v>80.0</v>
      </c>
      <c r="E4" s="44">
        <v>1520.0</v>
      </c>
    </row>
    <row r="5">
      <c r="A5" s="6"/>
      <c r="B5" s="8"/>
      <c r="C5" s="46">
        <f>SUM(C2:C4)</f>
        <v>4500</v>
      </c>
      <c r="D5" s="8"/>
      <c r="E5" s="46">
        <f>SUM(E2:E4)</f>
        <v>4275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88"/>
    <col customWidth="1" min="3" max="3" width="14.75"/>
    <col customWidth="1" min="4" max="4" width="18.5"/>
    <col customWidth="1" min="5" max="5" width="7.0"/>
    <col customWidth="1" min="6" max="6" width="14.13"/>
  </cols>
  <sheetData>
    <row r="1">
      <c r="A1" s="12" t="s">
        <v>1</v>
      </c>
      <c r="B1" s="2" t="s">
        <v>0</v>
      </c>
      <c r="C1" s="2" t="s">
        <v>62</v>
      </c>
      <c r="D1" s="42" t="s">
        <v>63</v>
      </c>
      <c r="E1" s="42" t="s">
        <v>64</v>
      </c>
      <c r="F1" s="2" t="s">
        <v>22</v>
      </c>
    </row>
    <row r="2">
      <c r="A2" s="15"/>
      <c r="B2" s="16" t="s">
        <v>60</v>
      </c>
      <c r="C2" s="22">
        <v>1720.0</v>
      </c>
      <c r="D2" s="16">
        <f>C2 - (C2 * 20%)
</f>
        <v>1376</v>
      </c>
      <c r="E2" s="45">
        <v>0.02</v>
      </c>
      <c r="F2" s="47">
        <f>D2 - D2*E2</f>
        <v>1348.48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88"/>
    <col customWidth="1" min="3" max="3" width="7.25"/>
    <col customWidth="1" min="4" max="4" width="7.38"/>
    <col customWidth="1" min="5" max="5" width="25.13"/>
  </cols>
  <sheetData>
    <row r="1">
      <c r="A1" s="48" t="s">
        <v>69</v>
      </c>
      <c r="B1" s="48" t="s">
        <v>70</v>
      </c>
      <c r="C1" s="48" t="s">
        <v>11</v>
      </c>
      <c r="D1" s="48" t="s">
        <v>71</v>
      </c>
      <c r="E1" s="48" t="s">
        <v>72</v>
      </c>
    </row>
    <row r="2">
      <c r="A2" s="49" t="s">
        <v>73</v>
      </c>
      <c r="B2" s="49" t="s">
        <v>74</v>
      </c>
      <c r="C2" s="50">
        <v>5400.0</v>
      </c>
      <c r="D2" s="49" t="s">
        <v>75</v>
      </c>
      <c r="E2" s="49" t="s">
        <v>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  <col customWidth="1" min="5" max="5" width="15.25"/>
  </cols>
  <sheetData>
    <row r="1">
      <c r="A1" s="2" t="s">
        <v>77</v>
      </c>
      <c r="B1" s="2" t="s">
        <v>78</v>
      </c>
      <c r="C1" s="2" t="s">
        <v>79</v>
      </c>
      <c r="D1" s="2" t="s">
        <v>80</v>
      </c>
      <c r="E1" s="38" t="s">
        <v>81</v>
      </c>
    </row>
    <row r="2">
      <c r="A2" s="22" t="s">
        <v>60</v>
      </c>
      <c r="B2" s="22" t="s">
        <v>82</v>
      </c>
      <c r="C2" s="22" t="s">
        <v>83</v>
      </c>
      <c r="D2" s="22" t="s">
        <v>84</v>
      </c>
      <c r="E2" s="51">
        <v>50000.0</v>
      </c>
    </row>
    <row r="3">
      <c r="A3" s="52"/>
      <c r="B3" s="52"/>
      <c r="C3" s="52"/>
      <c r="D3" s="52"/>
      <c r="E3" s="52"/>
    </row>
  </sheetData>
  <drawing r:id="rId1"/>
</worksheet>
</file>