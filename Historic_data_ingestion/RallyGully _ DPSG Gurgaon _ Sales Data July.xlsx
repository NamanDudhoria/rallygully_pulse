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District" sheetId="3" r:id="rId7"/>
  </sheets>
  <definedNames/>
  <calcPr/>
</workbook>
</file>

<file path=xl/sharedStrings.xml><?xml version="1.0" encoding="utf-8"?>
<sst xmlns="http://schemas.openxmlformats.org/spreadsheetml/2006/main" count="88" uniqueCount="56">
  <si>
    <t>Link</t>
  </si>
  <si>
    <t>1 - 31 July</t>
  </si>
  <si>
    <t>Date</t>
  </si>
  <si>
    <t>Particulars</t>
  </si>
  <si>
    <t>Amount</t>
  </si>
  <si>
    <t>Day</t>
  </si>
  <si>
    <t>Offline booking hours</t>
  </si>
  <si>
    <t>Pickleball</t>
  </si>
  <si>
    <t>Booking Revenue</t>
  </si>
  <si>
    <t>Community Revenue</t>
  </si>
  <si>
    <t xml:space="preserve">Paddle Rental </t>
  </si>
  <si>
    <t>F&amp;B</t>
  </si>
  <si>
    <t>Total Revenue</t>
  </si>
  <si>
    <t>Pay &amp; Play</t>
  </si>
  <si>
    <t>Payment Gateway</t>
  </si>
  <si>
    <t>Net Revenue</t>
  </si>
  <si>
    <t>Paid to District</t>
  </si>
  <si>
    <t>Commissions (₹)</t>
  </si>
  <si>
    <t>GST on Commission</t>
  </si>
  <si>
    <t>TCS</t>
  </si>
  <si>
    <t>TDS</t>
  </si>
  <si>
    <t>Final Amount (₹)</t>
  </si>
  <si>
    <t>Wednesday</t>
  </si>
  <si>
    <t xml:space="preserve">Online </t>
  </si>
  <si>
    <t>District</t>
  </si>
  <si>
    <t>Hudle</t>
  </si>
  <si>
    <t>Playo</t>
  </si>
  <si>
    <t>Khelomore</t>
  </si>
  <si>
    <t>Zplys</t>
  </si>
  <si>
    <t>Offline</t>
  </si>
  <si>
    <t>Bookings</t>
  </si>
  <si>
    <t>Total</t>
  </si>
  <si>
    <t>Thursday</t>
  </si>
  <si>
    <t>Memberships</t>
  </si>
  <si>
    <t>Community</t>
  </si>
  <si>
    <t>Friday</t>
  </si>
  <si>
    <t>Pickup games</t>
  </si>
  <si>
    <t>Social Events/Tournaments</t>
  </si>
  <si>
    <t>Academy</t>
  </si>
  <si>
    <t>Saturday</t>
  </si>
  <si>
    <t>Events &amp; Partnership</t>
  </si>
  <si>
    <t>Sunday</t>
  </si>
  <si>
    <t>Corporate events</t>
  </si>
  <si>
    <t>All B2B partnerships</t>
  </si>
  <si>
    <t>Monday</t>
  </si>
  <si>
    <t>Commerce</t>
  </si>
  <si>
    <t>Product rental</t>
  </si>
  <si>
    <t>Tuesday</t>
  </si>
  <si>
    <t>Product sales</t>
  </si>
  <si>
    <t>Other Income</t>
  </si>
  <si>
    <t>Total Gross Revenue (A)</t>
  </si>
  <si>
    <t>GST (B)</t>
  </si>
  <si>
    <t>Commissions (C)</t>
  </si>
  <si>
    <t>Total Revenue post GST</t>
  </si>
  <si>
    <t>Misfits</t>
  </si>
  <si>
    <t>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</si>
</sst>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[$₹]#,##0"/>
    <numFmt numFmtId="165" formatCode="[&gt;9999999][$₹]##\,##\,##\,##0;[&gt;99999][$₹]##\,##\,##0;[$₹]##,##0"/>
    <numFmt numFmtId="166" formatCode="[$₹]#,##0.00"/>
    <numFmt numFmtId="167" formatCode="[$₹]#,##0.0"/>
    <numFmt numFmtId="168" formatCode="d mmmm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/>
    <font>
      <color theme="1"/>
      <name val="Arial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bottom"/>
    </xf>
    <xf borderId="2" fillId="0" fontId="3" numFmtId="0" xfId="0" applyBorder="1" applyFont="1"/>
    <xf borderId="3" fillId="0" fontId="2" numFmtId="0" xfId="0" applyAlignment="1" applyBorder="1" applyFont="1">
      <alignment horizontal="center" vertical="bottom"/>
    </xf>
    <xf borderId="3" fillId="2" fontId="2" numFmtId="164" xfId="0" applyAlignment="1" applyBorder="1" applyFill="1" applyFont="1" applyNumberFormat="1">
      <alignment horizontal="center" vertical="bottom"/>
    </xf>
    <xf borderId="0" fillId="0" fontId="4" numFmtId="0" xfId="0" applyAlignment="1" applyFont="1">
      <alignment vertical="bottom"/>
    </xf>
    <xf borderId="3" fillId="2" fontId="4" numFmtId="0" xfId="0" applyAlignment="1" applyBorder="1" applyFill="1" applyFont="1">
      <alignment vertical="bottom"/>
    </xf>
    <xf borderId="3" fillId="2" fontId="2" numFmtId="3" xfId="0" applyAlignment="1" applyBorder="1" applyFill="1" applyFont="1" applyNumberFormat="1">
      <alignment horizontal="center" vertical="bottom"/>
    </xf>
    <xf borderId="3" fillId="2" fontId="2" numFmtId="165" xfId="0" applyAlignment="1" applyBorder="1" applyFill="1" applyFont="1" applyNumberFormat="1">
      <alignment horizontal="center" vertical="bottom"/>
    </xf>
    <xf borderId="3" fillId="2" fontId="5" numFmtId="166" xfId="0" applyAlignment="1" applyBorder="1" applyFill="1" applyFont="1" applyNumberFormat="1">
      <alignment horizontal="center" readingOrder="0" vertical="bottom"/>
    </xf>
    <xf borderId="3" fillId="0" fontId="2" numFmtId="0" xfId="0" applyAlignment="1" applyBorder="1" applyFont="1">
      <alignment vertical="bottom"/>
    </xf>
    <xf borderId="3" fillId="2" fontId="2" numFmtId="167" xfId="0" applyAlignment="1" applyBorder="1" applyFill="1" applyFont="1" applyNumberFormat="1">
      <alignment vertical="bottom"/>
    </xf>
    <xf borderId="3" fillId="2" fontId="2" numFmtId="0" xfId="0" applyAlignment="1" applyBorder="1" applyFill="1" applyFont="1">
      <alignment vertical="bottom"/>
    </xf>
    <xf borderId="0" fillId="2" fontId="6" numFmtId="164" xfId="0" applyAlignment="1" applyFill="1" applyFont="1" applyNumberFormat="1">
      <alignment vertical="bottom"/>
    </xf>
    <xf borderId="0" fillId="2" fontId="2" numFmtId="164" xfId="0" applyAlignment="1" applyFill="1" applyFont="1" applyNumberFormat="1">
      <alignment horizontal="center" vertical="bottom"/>
    </xf>
    <xf borderId="3" fillId="3" fontId="4" numFmtId="168" xfId="0" applyAlignment="1" applyBorder="1" applyFill="1" applyFont="1" applyNumberFormat="1">
      <alignment horizontal="right" vertical="bottom"/>
    </xf>
    <xf borderId="3" fillId="3" fontId="4" numFmtId="164" xfId="0" applyAlignment="1" applyBorder="1" applyFill="1" applyFont="1" applyNumberFormat="1">
      <alignment vertical="bottom"/>
    </xf>
    <xf borderId="3" fillId="3" fontId="4" numFmtId="4" xfId="0" applyAlignment="1" applyBorder="1" applyFill="1" applyFont="1" applyNumberFormat="1">
      <alignment horizontal="right" vertical="bottom"/>
    </xf>
    <xf borderId="3" fillId="0" fontId="4" numFmtId="164" xfId="0" applyAlignment="1" applyBorder="1" applyFont="1" applyNumberFormat="1">
      <alignment horizontal="right" vertical="bottom"/>
    </xf>
    <xf borderId="3" fillId="0" fontId="2" numFmtId="165" xfId="0" applyAlignment="1" applyBorder="1" applyFont="1" applyNumberFormat="1">
      <alignment horizontal="right" vertical="bottom"/>
    </xf>
    <xf borderId="0" fillId="0" fontId="4" numFmtId="164" xfId="0" applyAlignment="1" applyFont="1" applyNumberFormat="1">
      <alignment vertical="bottom"/>
    </xf>
    <xf borderId="3" fillId="0" fontId="4" numFmtId="166" xfId="0" applyAlignment="1" applyBorder="1" applyFont="1" applyNumberFormat="1">
      <alignment readingOrder="0" vertical="bottom"/>
    </xf>
    <xf borderId="3" fillId="0" fontId="4" numFmtId="164" xfId="0" applyAlignment="1" applyBorder="1" applyFont="1" applyNumberFormat="1">
      <alignment horizontal="right" readingOrder="0" vertical="bottom"/>
    </xf>
    <xf borderId="3" fillId="0" fontId="4" numFmtId="0" xfId="0" applyAlignment="1" applyBorder="1" applyFont="1">
      <alignment vertical="bottom"/>
    </xf>
    <xf borderId="3" fillId="0" fontId="4" numFmtId="165" xfId="0" applyAlignment="1" applyBorder="1" applyFont="1" applyNumberFormat="1">
      <alignment vertical="bottom"/>
    </xf>
    <xf borderId="3" fillId="0" fontId="4" numFmtId="165" xfId="0" applyAlignment="1" applyBorder="1" applyFont="1" applyNumberFormat="1">
      <alignment readingOrder="0" vertical="bottom"/>
    </xf>
    <xf borderId="3" fillId="0" fontId="4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3" fillId="0" fontId="2" numFmtId="0" xfId="0" applyAlignment="1" applyBorder="1" applyFon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vertical="bottom"/>
    </xf>
    <xf borderId="3" fillId="2" fontId="2" numFmtId="164" xfId="0" applyAlignment="1" applyBorder="1" applyFill="1" applyFont="1" applyNumberFormat="1">
      <alignment vertical="bottom"/>
    </xf>
    <xf borderId="3" fillId="2" fontId="2" numFmtId="164" xfId="0" applyAlignment="1" applyBorder="1" applyFill="1" applyFont="1" applyNumberFormat="1">
      <alignment horizontal="right" vertical="bottom"/>
    </xf>
    <xf borderId="3" fillId="0" fontId="4" numFmtId="166" xfId="0" applyAlignment="1" applyBorder="1" applyFont="1" applyNumberFormat="1">
      <alignment vertical="bottom"/>
    </xf>
    <xf borderId="3" fillId="2" fontId="4" numFmtId="164" xfId="0" applyAlignment="1" applyBorder="1" applyFill="1" applyFont="1" applyNumberFormat="1">
      <alignment vertical="bottom"/>
    </xf>
    <xf borderId="3" fillId="0" fontId="4" numFmtId="4" xfId="0" applyAlignment="1" applyBorder="1" applyFont="1" applyNumberFormat="1">
      <alignment horizontal="right" vertical="bottom"/>
    </xf>
    <xf borderId="0" fillId="0" fontId="4" numFmtId="165" xfId="0" applyAlignment="1" applyFont="1" applyNumberFormat="1">
      <alignment vertical="bottom"/>
    </xf>
    <xf borderId="3" fillId="0" fontId="2" numFmtId="165" xfId="0" applyAlignment="1" applyBorder="1" applyFont="1" applyNumberFormat="1">
      <alignment horizontal="right" readingOrder="0" vertical="bottom"/>
    </xf>
    <xf borderId="3" fillId="0" fontId="4" numFmtId="165" xfId="0" applyAlignment="1" applyBorder="1" applyFont="1" applyNumberFormat="1">
      <alignment horizontal="right" vertical="bottom"/>
    </xf>
    <xf borderId="3" fillId="0" fontId="4" numFmtId="165" xfId="0" applyAlignment="1" applyBorder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vertical="bottom"/>
    </xf>
    <xf borderId="3" fillId="2" fontId="2" numFmtId="0" xfId="0" applyAlignment="1" applyBorder="1" applyFill="1" applyFont="1">
      <alignment readingOrder="0" vertical="bottom"/>
    </xf>
    <xf borderId="3" fillId="0" fontId="4" numFmtId="0" xfId="0" applyAlignment="1" applyBorder="1" applyFont="1">
      <alignment readingOrder="0" shrinkToFit="0" vertical="bottom" wrapText="1"/>
    </xf>
    <xf borderId="3" fillId="0" fontId="2" numFmtId="164" xfId="0" applyAlignment="1" applyBorder="1" applyFont="1" applyNumberFormat="1">
      <alignment vertical="bottom"/>
    </xf>
    <xf borderId="0" fillId="0" fontId="4" numFmtId="167" xfId="0" applyAlignment="1" applyFont="1" applyNumberFormat="1">
      <alignment horizontal="right" vertical="bottom"/>
    </xf>
    <xf borderId="3" fillId="2" fontId="2" numFmtId="165" xfId="0" applyAlignment="1" applyBorder="1" applyFill="1" applyFont="1" applyNumberFormat="1">
      <alignment horizontal="right" vertical="bottom"/>
    </xf>
    <xf borderId="3" fillId="3" fontId="4" numFmtId="164" xfId="0" applyAlignment="1" applyBorder="1" applyFill="1" applyFont="1" applyNumberFormat="1">
      <alignment horizontal="right" vertical="bottom"/>
    </xf>
    <xf borderId="3" fillId="2" fontId="4" numFmtId="4" xfId="0" applyAlignment="1" applyBorder="1" applyFill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166" xfId="0" applyAlignment="1" applyFont="1" applyNumberFormat="1">
      <alignment readingOrder="0"/>
    </xf>
    <xf borderId="3" fillId="0" fontId="4" numFmtId="0" xfId="0" applyAlignment="1" applyBorder="1" applyFont="1">
      <alignment readingOrder="0" vertical="bottom"/>
    </xf>
    <xf borderId="3" fillId="2" fontId="2" numFmtId="0" xfId="0" applyAlignment="1" applyBorder="1" applyFill="1" applyFont="1">
      <alignment horizontal="center" readingOrder="0" vertical="bottom"/>
    </xf>
    <xf borderId="3" fillId="0" fontId="4" numFmtId="168" xfId="0" applyAlignment="1" applyBorder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l8XAPqTQImJzgLC_EYuJBkOsiyb7tiqsQOktsnv9_Ss/edit?usp=sharing" TargetMode="External"/><Relationship Id="rId2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32.0"/>
  </cols>
  <sheetData>
    <row r="1">
      <c r="A1" s="1"/>
    </row>
    <row r="2">
      <c r="B2" s="2" t="s">
        <v>1</v>
      </c>
      <c r="C2" s="3"/>
    </row>
    <row r="3">
      <c r="B3" s="4" t="s">
        <v>3</v>
      </c>
      <c r="C3" s="4" t="s">
        <v>4</v>
      </c>
      <c r="E3" s="6"/>
    </row>
    <row r="4">
      <c r="B4" s="7"/>
      <c r="C4" s="9" t="s">
        <v>7</v>
      </c>
      <c r="E4" s="6"/>
    </row>
    <row r="5">
      <c r="B5" s="11" t="s">
        <v>13</v>
      </c>
      <c r="C5" s="20">
        <f>sum(C6,C12)</f>
        <v>56151</v>
      </c>
      <c r="E5" s="6"/>
    </row>
    <row r="6">
      <c r="B6" s="11" t="s">
        <v>23</v>
      </c>
      <c r="C6" s="20">
        <f>sum(C7:C11)</f>
        <v>35361</v>
      </c>
      <c r="E6" s="6"/>
    </row>
    <row r="7" outlineLevel="1">
      <c r="B7" s="24" t="s">
        <v>24</v>
      </c>
      <c r="C7" s="25">
        <f>District!C4</f>
        <v>35361</v>
      </c>
      <c r="E7" s="6"/>
    </row>
    <row r="8" outlineLevel="1">
      <c r="B8" s="24" t="s">
        <v>25</v>
      </c>
      <c r="C8" s="26">
        <v>0.0</v>
      </c>
      <c r="E8" s="6"/>
    </row>
    <row r="9" outlineLevel="1">
      <c r="B9" s="24" t="s">
        <v>26</v>
      </c>
      <c r="C9" s="26">
        <v>0.0</v>
      </c>
      <c r="E9" s="6"/>
    </row>
    <row r="10" outlineLevel="1">
      <c r="B10" s="27" t="s">
        <v>27</v>
      </c>
      <c r="C10" s="26">
        <v>0.0</v>
      </c>
      <c r="E10" s="28"/>
    </row>
    <row r="11" outlineLevel="1">
      <c r="B11" s="24" t="s">
        <v>28</v>
      </c>
      <c r="C11" s="26">
        <v>0.0</v>
      </c>
      <c r="E11" s="28"/>
    </row>
    <row r="12">
      <c r="B12" s="29" t="s">
        <v>29</v>
      </c>
      <c r="C12" s="20">
        <f>sum(C13:C14)</f>
        <v>20790</v>
      </c>
    </row>
    <row r="13" outlineLevel="1">
      <c r="B13" s="24" t="s">
        <v>30</v>
      </c>
      <c r="C13" s="25">
        <f>'Offline &amp; RG Community'!D33</f>
        <v>20790</v>
      </c>
    </row>
    <row r="14" outlineLevel="1">
      <c r="B14" s="34" t="s">
        <v>33</v>
      </c>
      <c r="C14" s="26">
        <v>0.0</v>
      </c>
      <c r="E14" s="6"/>
    </row>
    <row r="15">
      <c r="B15" s="29" t="s">
        <v>34</v>
      </c>
      <c r="C15" s="20">
        <f>sum(C16:C17)</f>
        <v>6080</v>
      </c>
      <c r="E15" s="6"/>
    </row>
    <row r="16" outlineLevel="1">
      <c r="B16" s="27" t="s">
        <v>36</v>
      </c>
      <c r="C16" s="25">
        <f>'Offline &amp; RG Community'!E33+'Offline &amp; RG Community'!B37</f>
        <v>6080</v>
      </c>
      <c r="E16" s="6"/>
    </row>
    <row r="17" outlineLevel="1">
      <c r="B17" s="27" t="s">
        <v>37</v>
      </c>
      <c r="C17" s="26">
        <v>0.0</v>
      </c>
    </row>
    <row r="18">
      <c r="B18" s="29" t="s">
        <v>38</v>
      </c>
      <c r="C18" s="38">
        <v>0.0</v>
      </c>
      <c r="E18" s="6"/>
    </row>
    <row r="19">
      <c r="B19" s="11" t="s">
        <v>40</v>
      </c>
      <c r="C19" s="20">
        <f>sum(C20,C21)</f>
        <v>0</v>
      </c>
    </row>
    <row r="20" outlineLevel="1">
      <c r="B20" s="24" t="s">
        <v>42</v>
      </c>
      <c r="C20" s="39">
        <v>0.0</v>
      </c>
    </row>
    <row r="21" outlineLevel="1">
      <c r="B21" s="27" t="s">
        <v>43</v>
      </c>
      <c r="C21" s="40">
        <v>0.0</v>
      </c>
    </row>
    <row r="22">
      <c r="B22" s="11" t="s">
        <v>45</v>
      </c>
      <c r="C22" s="20">
        <f>sum(C23:C25)</f>
        <v>4975</v>
      </c>
    </row>
    <row r="23" outlineLevel="1">
      <c r="B23" s="24" t="s">
        <v>46</v>
      </c>
      <c r="C23" s="40">
        <f>'Offline &amp; RG Community'!F33</f>
        <v>4800</v>
      </c>
    </row>
    <row r="24" outlineLevel="1">
      <c r="B24" s="24" t="s">
        <v>48</v>
      </c>
      <c r="C24" s="26">
        <v>0.0</v>
      </c>
    </row>
    <row r="25" outlineLevel="1">
      <c r="B25" s="24" t="s">
        <v>11</v>
      </c>
      <c r="C25" s="40">
        <f>'Offline &amp; RG Community'!G33</f>
        <v>175</v>
      </c>
    </row>
    <row r="26">
      <c r="B26" s="11" t="s">
        <v>49</v>
      </c>
      <c r="C26" s="20">
        <v>0.0</v>
      </c>
    </row>
    <row r="27">
      <c r="B27" s="42" t="s">
        <v>50</v>
      </c>
      <c r="C27" s="33">
        <f>C6+C12+C15+C18+C19+C22+C26</f>
        <v>67206</v>
      </c>
    </row>
    <row r="28">
      <c r="B28" s="43" t="s">
        <v>51</v>
      </c>
      <c r="C28" s="44">
        <f>C27-(C27/1.18)</f>
        <v>10251.76271</v>
      </c>
    </row>
    <row r="29">
      <c r="B29" s="43" t="s">
        <v>52</v>
      </c>
      <c r="C29" s="44">
        <f>'Offline &amp; RG Community'!I33+'Offline &amp; RG Community'!C37+District!D2+District!E2</f>
        <v>3236.9875</v>
      </c>
    </row>
    <row r="30">
      <c r="B30" s="13" t="s">
        <v>53</v>
      </c>
      <c r="C30" s="46">
        <f>C27-C28-C29</f>
        <v>53717.24979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9.5"/>
    <col customWidth="1" min="2" max="2" width="16.13"/>
    <col customWidth="1" min="3" max="3" width="18.25"/>
    <col customWidth="1" min="4" max="4" width="15.13"/>
    <col customWidth="1" min="5" max="5" width="17.63"/>
    <col customWidth="1" min="8" max="9" width="15.25"/>
  </cols>
  <sheetData>
    <row r="1">
      <c r="A1" s="5" t="s">
        <v>2</v>
      </c>
      <c r="B1" s="5" t="s">
        <v>5</v>
      </c>
      <c r="C1" s="8" t="s">
        <v>6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  <c r="I1" s="12" t="s">
        <v>14</v>
      </c>
      <c r="J1" s="13" t="s">
        <v>15</v>
      </c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</row>
    <row r="2">
      <c r="A2" s="16">
        <v>46204.0</v>
      </c>
      <c r="B2" s="17" t="s">
        <v>22</v>
      </c>
      <c r="C2" s="18">
        <v>1.0</v>
      </c>
      <c r="D2" s="19">
        <v>0.0</v>
      </c>
      <c r="E2" s="19">
        <v>1080.0</v>
      </c>
      <c r="F2" s="19">
        <v>0.0</v>
      </c>
      <c r="G2" s="19">
        <v>0.0</v>
      </c>
      <c r="H2" s="19">
        <f t="shared" ref="H2:H32" si="1">sum(D2:G2)</f>
        <v>1080</v>
      </c>
      <c r="I2" s="30">
        <f t="shared" ref="I2:I32" si="2">H2*1.75%</f>
        <v>18.9</v>
      </c>
      <c r="J2" s="19">
        <f t="shared" ref="J2:J32" si="3">H2-I2</f>
        <v>1061.1</v>
      </c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16">
        <v>46205.0</v>
      </c>
      <c r="B3" s="17" t="s">
        <v>32</v>
      </c>
      <c r="C3" s="18">
        <v>3.5</v>
      </c>
      <c r="D3" s="19">
        <v>2520.0</v>
      </c>
      <c r="E3" s="19">
        <v>0.0</v>
      </c>
      <c r="F3" s="19">
        <v>0.0</v>
      </c>
      <c r="G3" s="19">
        <v>0.0</v>
      </c>
      <c r="H3" s="19">
        <f t="shared" si="1"/>
        <v>2520</v>
      </c>
      <c r="I3" s="30">
        <f t="shared" si="2"/>
        <v>44.1</v>
      </c>
      <c r="J3" s="19">
        <f t="shared" si="3"/>
        <v>2475.9</v>
      </c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16">
        <v>46206.0</v>
      </c>
      <c r="B4" s="17" t="s">
        <v>35</v>
      </c>
      <c r="C4" s="36">
        <v>1.0</v>
      </c>
      <c r="D4" s="19">
        <v>920.0</v>
      </c>
      <c r="E4" s="19">
        <v>0.0</v>
      </c>
      <c r="F4" s="19">
        <v>200.0</v>
      </c>
      <c r="G4" s="19">
        <v>0.0</v>
      </c>
      <c r="H4" s="19">
        <f t="shared" si="1"/>
        <v>1120</v>
      </c>
      <c r="I4" s="30">
        <f t="shared" si="2"/>
        <v>19.6</v>
      </c>
      <c r="J4" s="19">
        <f t="shared" si="3"/>
        <v>1100.4</v>
      </c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16">
        <v>46207.0</v>
      </c>
      <c r="B5" s="17" t="s">
        <v>39</v>
      </c>
      <c r="C5" s="36">
        <v>1.0</v>
      </c>
      <c r="D5" s="19">
        <v>720.0</v>
      </c>
      <c r="E5" s="19">
        <v>0.0</v>
      </c>
      <c r="F5" s="19">
        <v>300.0</v>
      </c>
      <c r="G5" s="19">
        <v>0.0</v>
      </c>
      <c r="H5" s="19">
        <f t="shared" si="1"/>
        <v>1020</v>
      </c>
      <c r="I5" s="30">
        <f t="shared" si="2"/>
        <v>17.85</v>
      </c>
      <c r="J5" s="19">
        <f t="shared" si="3"/>
        <v>1002.15</v>
      </c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16">
        <v>46208.0</v>
      </c>
      <c r="B6" s="17" t="s">
        <v>41</v>
      </c>
      <c r="C6" s="36">
        <v>0.0</v>
      </c>
      <c r="D6" s="19">
        <v>0.0</v>
      </c>
      <c r="E6" s="19">
        <v>0.0</v>
      </c>
      <c r="F6" s="19">
        <v>0.0</v>
      </c>
      <c r="G6" s="19">
        <v>0.0</v>
      </c>
      <c r="H6" s="19">
        <f t="shared" si="1"/>
        <v>0</v>
      </c>
      <c r="I6" s="30">
        <f t="shared" si="2"/>
        <v>0</v>
      </c>
      <c r="J6" s="19">
        <f t="shared" si="3"/>
        <v>0</v>
      </c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16">
        <v>46209.0</v>
      </c>
      <c r="B7" s="17" t="s">
        <v>44</v>
      </c>
      <c r="C7" s="36">
        <v>1.0</v>
      </c>
      <c r="D7" s="19">
        <v>720.0</v>
      </c>
      <c r="E7" s="19">
        <v>0.0</v>
      </c>
      <c r="F7" s="41">
        <v>150.0</v>
      </c>
      <c r="G7" s="19">
        <v>0.0</v>
      </c>
      <c r="H7" s="19">
        <f t="shared" si="1"/>
        <v>870</v>
      </c>
      <c r="I7" s="30">
        <f t="shared" si="2"/>
        <v>15.225</v>
      </c>
      <c r="J7" s="19">
        <f t="shared" si="3"/>
        <v>854.775</v>
      </c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16">
        <v>46210.0</v>
      </c>
      <c r="B8" s="17" t="s">
        <v>47</v>
      </c>
      <c r="C8" s="36">
        <v>0.0</v>
      </c>
      <c r="D8" s="19">
        <v>0.0</v>
      </c>
      <c r="E8" s="19">
        <v>0.0</v>
      </c>
      <c r="F8" s="19">
        <v>0.0</v>
      </c>
      <c r="G8" s="19">
        <v>0.0</v>
      </c>
      <c r="H8" s="19">
        <f t="shared" si="1"/>
        <v>0</v>
      </c>
      <c r="I8" s="30">
        <f t="shared" si="2"/>
        <v>0</v>
      </c>
      <c r="J8" s="19">
        <f t="shared" si="3"/>
        <v>0</v>
      </c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16">
        <v>46211.0</v>
      </c>
      <c r="B9" s="17" t="s">
        <v>22</v>
      </c>
      <c r="C9" s="36">
        <v>0.0</v>
      </c>
      <c r="D9" s="19">
        <v>0.0</v>
      </c>
      <c r="E9" s="19">
        <v>0.0</v>
      </c>
      <c r="F9" s="41">
        <v>0.0</v>
      </c>
      <c r="G9" s="19">
        <v>0.0</v>
      </c>
      <c r="H9" s="19">
        <f t="shared" si="1"/>
        <v>0</v>
      </c>
      <c r="I9" s="30">
        <f t="shared" si="2"/>
        <v>0</v>
      </c>
      <c r="J9" s="19">
        <f t="shared" si="3"/>
        <v>0</v>
      </c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6">
        <v>46212.0</v>
      </c>
      <c r="B10" s="17" t="s">
        <v>32</v>
      </c>
      <c r="C10" s="36">
        <v>0.0</v>
      </c>
      <c r="D10" s="19">
        <v>0.0</v>
      </c>
      <c r="E10" s="19">
        <v>0.0</v>
      </c>
      <c r="F10" s="19">
        <v>0.0</v>
      </c>
      <c r="G10" s="19">
        <v>35.0</v>
      </c>
      <c r="H10" s="19">
        <f t="shared" si="1"/>
        <v>35</v>
      </c>
      <c r="I10" s="30">
        <f t="shared" si="2"/>
        <v>0.6125</v>
      </c>
      <c r="J10" s="19">
        <f t="shared" si="3"/>
        <v>34.3875</v>
      </c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6">
        <v>46213.0</v>
      </c>
      <c r="B11" s="17" t="s">
        <v>35</v>
      </c>
      <c r="C11" s="36">
        <v>1.0</v>
      </c>
      <c r="D11" s="19">
        <v>720.0</v>
      </c>
      <c r="E11" s="19">
        <v>480.0</v>
      </c>
      <c r="F11" s="19">
        <v>0.0</v>
      </c>
      <c r="G11" s="19">
        <v>0.0</v>
      </c>
      <c r="H11" s="19">
        <f t="shared" si="1"/>
        <v>1200</v>
      </c>
      <c r="I11" s="30">
        <f t="shared" si="2"/>
        <v>21</v>
      </c>
      <c r="J11" s="19">
        <f t="shared" si="3"/>
        <v>1179</v>
      </c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6">
        <v>46214.0</v>
      </c>
      <c r="B12" s="17" t="s">
        <v>39</v>
      </c>
      <c r="C12" s="36">
        <v>0.0</v>
      </c>
      <c r="D12" s="19">
        <v>0.0</v>
      </c>
      <c r="E12" s="19">
        <v>0.0</v>
      </c>
      <c r="F12" s="19">
        <v>200.0</v>
      </c>
      <c r="G12" s="19">
        <v>0.0</v>
      </c>
      <c r="H12" s="19">
        <f t="shared" si="1"/>
        <v>200</v>
      </c>
      <c r="I12" s="30">
        <f t="shared" si="2"/>
        <v>3.5</v>
      </c>
      <c r="J12" s="19">
        <f t="shared" si="3"/>
        <v>196.5</v>
      </c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16">
        <v>46215.0</v>
      </c>
      <c r="B13" s="17" t="s">
        <v>41</v>
      </c>
      <c r="C13" s="36">
        <v>1.5</v>
      </c>
      <c r="D13" s="19">
        <v>1080.0</v>
      </c>
      <c r="E13" s="19">
        <v>1920.0</v>
      </c>
      <c r="F13" s="19">
        <v>500.0</v>
      </c>
      <c r="G13" s="19">
        <v>0.0</v>
      </c>
      <c r="H13" s="19">
        <f t="shared" si="1"/>
        <v>3500</v>
      </c>
      <c r="I13" s="30">
        <f t="shared" si="2"/>
        <v>61.25</v>
      </c>
      <c r="J13" s="19">
        <f t="shared" si="3"/>
        <v>3438.75</v>
      </c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16">
        <v>46216.0</v>
      </c>
      <c r="B14" s="17" t="s">
        <v>44</v>
      </c>
      <c r="C14" s="36">
        <v>4.0</v>
      </c>
      <c r="D14" s="19">
        <v>2880.0</v>
      </c>
      <c r="E14" s="19">
        <v>0.0</v>
      </c>
      <c r="F14" s="19">
        <v>300.0</v>
      </c>
      <c r="G14" s="19">
        <v>70.0</v>
      </c>
      <c r="H14" s="19">
        <f t="shared" si="1"/>
        <v>3250</v>
      </c>
      <c r="I14" s="30">
        <f t="shared" si="2"/>
        <v>56.875</v>
      </c>
      <c r="J14" s="19">
        <f t="shared" si="3"/>
        <v>3193.125</v>
      </c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16">
        <v>46217.0</v>
      </c>
      <c r="B15" s="17" t="s">
        <v>47</v>
      </c>
      <c r="C15" s="36">
        <v>0.0</v>
      </c>
      <c r="D15" s="19">
        <v>0.0</v>
      </c>
      <c r="E15" s="19">
        <v>0.0</v>
      </c>
      <c r="F15" s="19">
        <v>350.0</v>
      </c>
      <c r="G15" s="19">
        <v>0.0</v>
      </c>
      <c r="H15" s="19">
        <f t="shared" si="1"/>
        <v>350</v>
      </c>
      <c r="I15" s="30">
        <f t="shared" si="2"/>
        <v>6.125</v>
      </c>
      <c r="J15" s="19">
        <f t="shared" si="3"/>
        <v>343.875</v>
      </c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16">
        <v>46218.0</v>
      </c>
      <c r="B16" s="17" t="s">
        <v>22</v>
      </c>
      <c r="C16" s="36">
        <v>1.0</v>
      </c>
      <c r="D16" s="19">
        <v>820.0</v>
      </c>
      <c r="E16" s="19">
        <v>0.0</v>
      </c>
      <c r="F16" s="19">
        <v>200.0</v>
      </c>
      <c r="G16" s="19">
        <v>0.0</v>
      </c>
      <c r="H16" s="19">
        <f t="shared" si="1"/>
        <v>1020</v>
      </c>
      <c r="I16" s="30">
        <f t="shared" si="2"/>
        <v>17.85</v>
      </c>
      <c r="J16" s="19">
        <f t="shared" si="3"/>
        <v>1002.15</v>
      </c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16">
        <v>46219.0</v>
      </c>
      <c r="B17" s="17" t="s">
        <v>32</v>
      </c>
      <c r="C17" s="36">
        <v>1.0</v>
      </c>
      <c r="D17" s="45">
        <v>720.0</v>
      </c>
      <c r="E17" s="19">
        <v>0.0</v>
      </c>
      <c r="F17" s="19">
        <v>0.0</v>
      </c>
      <c r="G17" s="19">
        <v>0.0</v>
      </c>
      <c r="H17" s="19">
        <f t="shared" si="1"/>
        <v>720</v>
      </c>
      <c r="I17" s="30">
        <f t="shared" si="2"/>
        <v>12.6</v>
      </c>
      <c r="J17" s="19">
        <f t="shared" si="3"/>
        <v>707.4</v>
      </c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16">
        <v>46220.0</v>
      </c>
      <c r="B18" s="17" t="s">
        <v>35</v>
      </c>
      <c r="C18" s="36">
        <v>1.5</v>
      </c>
      <c r="D18" s="19">
        <v>1050.0</v>
      </c>
      <c r="E18" s="19">
        <v>0.0</v>
      </c>
      <c r="F18" s="19">
        <v>0.0</v>
      </c>
      <c r="G18" s="19">
        <v>0.0</v>
      </c>
      <c r="H18" s="19">
        <f t="shared" si="1"/>
        <v>1050</v>
      </c>
      <c r="I18" s="30">
        <f t="shared" si="2"/>
        <v>18.375</v>
      </c>
      <c r="J18" s="19">
        <f t="shared" si="3"/>
        <v>1031.625</v>
      </c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16">
        <v>46221.0</v>
      </c>
      <c r="B19" s="17" t="s">
        <v>39</v>
      </c>
      <c r="C19" s="36">
        <v>0.5</v>
      </c>
      <c r="D19" s="19">
        <v>360.0</v>
      </c>
      <c r="E19" s="19">
        <v>640.0</v>
      </c>
      <c r="F19" s="19">
        <v>450.0</v>
      </c>
      <c r="G19" s="19">
        <v>0.0</v>
      </c>
      <c r="H19" s="19">
        <f t="shared" si="1"/>
        <v>1450</v>
      </c>
      <c r="I19" s="30">
        <f t="shared" si="2"/>
        <v>25.375</v>
      </c>
      <c r="J19" s="19">
        <f t="shared" si="3"/>
        <v>1424.625</v>
      </c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16">
        <v>46222.0</v>
      </c>
      <c r="B20" s="17" t="s">
        <v>41</v>
      </c>
      <c r="C20" s="36">
        <v>1.0</v>
      </c>
      <c r="D20" s="19">
        <v>720.0</v>
      </c>
      <c r="E20" s="19">
        <v>0.0</v>
      </c>
      <c r="F20" s="19">
        <v>150.0</v>
      </c>
      <c r="G20" s="19">
        <v>0.0</v>
      </c>
      <c r="H20" s="19">
        <f t="shared" si="1"/>
        <v>870</v>
      </c>
      <c r="I20" s="30">
        <f t="shared" si="2"/>
        <v>15.225</v>
      </c>
      <c r="J20" s="19">
        <f t="shared" si="3"/>
        <v>854.775</v>
      </c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16">
        <v>46223.0</v>
      </c>
      <c r="B21" s="17" t="s">
        <v>44</v>
      </c>
      <c r="C21" s="36">
        <v>1.0</v>
      </c>
      <c r="D21" s="19">
        <v>720.0</v>
      </c>
      <c r="E21" s="19">
        <v>0.0</v>
      </c>
      <c r="F21" s="19">
        <v>150.0</v>
      </c>
      <c r="G21" s="19">
        <v>0.0</v>
      </c>
      <c r="H21" s="19">
        <f t="shared" si="1"/>
        <v>870</v>
      </c>
      <c r="I21" s="30">
        <f t="shared" si="2"/>
        <v>15.225</v>
      </c>
      <c r="J21" s="19">
        <f t="shared" si="3"/>
        <v>854.775</v>
      </c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16">
        <v>46224.0</v>
      </c>
      <c r="B22" s="17" t="s">
        <v>47</v>
      </c>
      <c r="C22" s="36">
        <v>1.5</v>
      </c>
      <c r="D22" s="19">
        <v>1080.0</v>
      </c>
      <c r="E22" s="19">
        <v>0.0</v>
      </c>
      <c r="F22" s="19">
        <v>0.0</v>
      </c>
      <c r="G22" s="19">
        <v>0.0</v>
      </c>
      <c r="H22" s="19">
        <f t="shared" si="1"/>
        <v>1080</v>
      </c>
      <c r="I22" s="30">
        <f t="shared" si="2"/>
        <v>18.9</v>
      </c>
      <c r="J22" s="19">
        <f t="shared" si="3"/>
        <v>1061.1</v>
      </c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16">
        <v>46225.0</v>
      </c>
      <c r="B23" s="17" t="s">
        <v>22</v>
      </c>
      <c r="C23" s="36">
        <v>0.0</v>
      </c>
      <c r="D23" s="19">
        <v>0.0</v>
      </c>
      <c r="E23" s="19">
        <v>0.0</v>
      </c>
      <c r="F23" s="19">
        <v>0.0</v>
      </c>
      <c r="G23" s="19">
        <v>0.0</v>
      </c>
      <c r="H23" s="19">
        <f t="shared" si="1"/>
        <v>0</v>
      </c>
      <c r="I23" s="30">
        <f t="shared" si="2"/>
        <v>0</v>
      </c>
      <c r="J23" s="19">
        <f t="shared" si="3"/>
        <v>0</v>
      </c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16">
        <v>46226.0</v>
      </c>
      <c r="B24" s="17" t="s">
        <v>32</v>
      </c>
      <c r="C24" s="36">
        <v>1.0</v>
      </c>
      <c r="D24" s="19">
        <v>720.0</v>
      </c>
      <c r="E24" s="19">
        <v>0.0</v>
      </c>
      <c r="F24" s="19">
        <v>200.0</v>
      </c>
      <c r="G24" s="19">
        <v>0.0</v>
      </c>
      <c r="H24" s="19">
        <f t="shared" si="1"/>
        <v>920</v>
      </c>
      <c r="I24" s="30">
        <f t="shared" si="2"/>
        <v>16.1</v>
      </c>
      <c r="J24" s="19">
        <f t="shared" si="3"/>
        <v>903.9</v>
      </c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16">
        <v>46227.0</v>
      </c>
      <c r="B25" s="17" t="s">
        <v>35</v>
      </c>
      <c r="C25" s="36">
        <v>0.0</v>
      </c>
      <c r="D25" s="19">
        <v>0.0</v>
      </c>
      <c r="E25" s="19">
        <v>0.0</v>
      </c>
      <c r="F25" s="19">
        <v>0.0</v>
      </c>
      <c r="G25" s="19">
        <v>0.0</v>
      </c>
      <c r="H25" s="19">
        <f t="shared" si="1"/>
        <v>0</v>
      </c>
      <c r="I25" s="30">
        <f t="shared" si="2"/>
        <v>0</v>
      </c>
      <c r="J25" s="19">
        <f t="shared" si="3"/>
        <v>0</v>
      </c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16">
        <v>46228.0</v>
      </c>
      <c r="B26" s="17" t="s">
        <v>39</v>
      </c>
      <c r="C26" s="36">
        <v>1.0</v>
      </c>
      <c r="D26" s="19">
        <v>720.0</v>
      </c>
      <c r="E26" s="19">
        <v>0.0</v>
      </c>
      <c r="F26" s="19">
        <v>200.0</v>
      </c>
      <c r="G26" s="19">
        <v>35.0</v>
      </c>
      <c r="H26" s="19">
        <f t="shared" si="1"/>
        <v>955</v>
      </c>
      <c r="I26" s="30">
        <f t="shared" si="2"/>
        <v>16.7125</v>
      </c>
      <c r="J26" s="19">
        <f t="shared" si="3"/>
        <v>938.2875</v>
      </c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16">
        <v>46229.0</v>
      </c>
      <c r="B27" s="17" t="s">
        <v>41</v>
      </c>
      <c r="C27" s="36">
        <v>0.0</v>
      </c>
      <c r="D27" s="19">
        <v>0.0</v>
      </c>
      <c r="E27" s="19">
        <v>0.0</v>
      </c>
      <c r="F27" s="19">
        <v>200.0</v>
      </c>
      <c r="G27" s="19">
        <v>0.0</v>
      </c>
      <c r="H27" s="19">
        <f t="shared" si="1"/>
        <v>200</v>
      </c>
      <c r="I27" s="30">
        <f t="shared" si="2"/>
        <v>3.5</v>
      </c>
      <c r="J27" s="19">
        <f t="shared" si="3"/>
        <v>196.5</v>
      </c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16">
        <v>46230.0</v>
      </c>
      <c r="B28" s="17" t="s">
        <v>44</v>
      </c>
      <c r="C28" s="36">
        <v>2.0</v>
      </c>
      <c r="D28" s="19">
        <v>1440.0</v>
      </c>
      <c r="E28" s="19">
        <v>0.0</v>
      </c>
      <c r="F28" s="19">
        <v>300.0</v>
      </c>
      <c r="G28" s="19">
        <v>0.0</v>
      </c>
      <c r="H28" s="19">
        <f t="shared" si="1"/>
        <v>1740</v>
      </c>
      <c r="I28" s="30">
        <f t="shared" si="2"/>
        <v>30.45</v>
      </c>
      <c r="J28" s="19">
        <f t="shared" si="3"/>
        <v>1709.55</v>
      </c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16">
        <v>46231.0</v>
      </c>
      <c r="B29" s="17" t="s">
        <v>47</v>
      </c>
      <c r="C29" s="36">
        <v>2.0</v>
      </c>
      <c r="D29" s="19">
        <v>1440.0</v>
      </c>
      <c r="E29" s="19">
        <v>0.0</v>
      </c>
      <c r="F29" s="19">
        <v>650.0</v>
      </c>
      <c r="G29" s="19">
        <v>35.0</v>
      </c>
      <c r="H29" s="19">
        <f t="shared" si="1"/>
        <v>2125</v>
      </c>
      <c r="I29" s="30">
        <f t="shared" si="2"/>
        <v>37.1875</v>
      </c>
      <c r="J29" s="19">
        <f t="shared" si="3"/>
        <v>2087.8125</v>
      </c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6">
        <v>46232.0</v>
      </c>
      <c r="B30" s="17" t="s">
        <v>22</v>
      </c>
      <c r="C30" s="36">
        <v>1.5</v>
      </c>
      <c r="D30" s="19">
        <v>1080.0</v>
      </c>
      <c r="E30" s="19">
        <v>0.0</v>
      </c>
      <c r="F30" s="19">
        <v>300.0</v>
      </c>
      <c r="G30" s="19">
        <v>0.0</v>
      </c>
      <c r="H30" s="19">
        <f t="shared" si="1"/>
        <v>1380</v>
      </c>
      <c r="I30" s="30">
        <f t="shared" si="2"/>
        <v>24.15</v>
      </c>
      <c r="J30" s="19">
        <f t="shared" si="3"/>
        <v>1355.85</v>
      </c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6">
        <v>46233.0</v>
      </c>
      <c r="B31" s="17" t="s">
        <v>32</v>
      </c>
      <c r="C31" s="18">
        <v>0.5</v>
      </c>
      <c r="D31" s="47">
        <v>360.0</v>
      </c>
      <c r="E31" s="47">
        <v>0.0</v>
      </c>
      <c r="F31" s="47">
        <v>0.0</v>
      </c>
      <c r="G31" s="47">
        <v>0.0</v>
      </c>
      <c r="H31" s="19">
        <f t="shared" si="1"/>
        <v>360</v>
      </c>
      <c r="I31" s="30">
        <f t="shared" si="2"/>
        <v>6.3</v>
      </c>
      <c r="J31" s="19">
        <f t="shared" si="3"/>
        <v>353.7</v>
      </c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6">
        <v>46234.0</v>
      </c>
      <c r="B32" s="17" t="s">
        <v>35</v>
      </c>
      <c r="C32" s="18">
        <v>0.0</v>
      </c>
      <c r="D32" s="47">
        <v>0.0</v>
      </c>
      <c r="E32" s="47">
        <v>0.0</v>
      </c>
      <c r="F32" s="47">
        <v>0.0</v>
      </c>
      <c r="G32" s="47">
        <v>0.0</v>
      </c>
      <c r="H32" s="19">
        <f t="shared" si="1"/>
        <v>0</v>
      </c>
      <c r="I32" s="30">
        <f t="shared" si="2"/>
        <v>0</v>
      </c>
      <c r="J32" s="19">
        <f t="shared" si="3"/>
        <v>0</v>
      </c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32" t="s">
        <v>31</v>
      </c>
      <c r="B33" s="35"/>
      <c r="C33" s="48"/>
      <c r="D33" s="33">
        <f t="shared" ref="D33:J33" si="4">SUM(D1:D32)</f>
        <v>20790</v>
      </c>
      <c r="E33" s="33">
        <f t="shared" si="4"/>
        <v>4120</v>
      </c>
      <c r="F33" s="33">
        <f t="shared" si="4"/>
        <v>4800</v>
      </c>
      <c r="G33" s="33">
        <f t="shared" si="4"/>
        <v>175</v>
      </c>
      <c r="H33" s="33">
        <f t="shared" si="4"/>
        <v>29885</v>
      </c>
      <c r="I33" s="33">
        <f t="shared" si="4"/>
        <v>522.9875</v>
      </c>
      <c r="J33" s="33">
        <f t="shared" si="4"/>
        <v>29362.0125</v>
      </c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49"/>
      <c r="B34" s="50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1" t="s">
        <v>54</v>
      </c>
      <c r="B35" s="24"/>
      <c r="C35" s="24"/>
      <c r="D35" s="24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2" t="s">
        <v>2</v>
      </c>
      <c r="B36" s="52" t="s">
        <v>4</v>
      </c>
      <c r="C36" s="52" t="s">
        <v>55</v>
      </c>
      <c r="D36" s="52" t="s">
        <v>15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3">
        <v>46204.0</v>
      </c>
      <c r="B37" s="51">
        <v>1960.0</v>
      </c>
      <c r="C37" s="24">
        <f>B37*10%</f>
        <v>196</v>
      </c>
      <c r="D37" s="24">
        <f>B37-C37</f>
        <v>1764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2.75"/>
    <col customWidth="1" min="4" max="4" width="23.88"/>
    <col customWidth="1" min="5" max="5" width="16.0"/>
    <col customWidth="1" min="6" max="6" width="11.13"/>
    <col customWidth="1" min="7" max="7" width="7.0"/>
    <col customWidth="1" min="9" max="9" width="14.13"/>
  </cols>
  <sheetData>
    <row r="1">
      <c r="A1" s="10" t="s">
        <v>0</v>
      </c>
      <c r="B1" s="5" t="s">
        <v>2</v>
      </c>
      <c r="C1" s="5" t="s">
        <v>16</v>
      </c>
      <c r="D1" s="5" t="s">
        <v>17</v>
      </c>
      <c r="E1" s="14" t="s">
        <v>18</v>
      </c>
      <c r="F1" s="5" t="s">
        <v>15</v>
      </c>
      <c r="G1" s="15" t="s">
        <v>19</v>
      </c>
      <c r="H1" s="15" t="s">
        <v>20</v>
      </c>
      <c r="I1" s="5" t="s">
        <v>21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</row>
    <row r="2">
      <c r="A2" s="21"/>
      <c r="B2" s="22" t="s">
        <v>1</v>
      </c>
      <c r="C2" s="23">
        <v>35361.0</v>
      </c>
      <c r="D2" s="23">
        <v>2475.0</v>
      </c>
      <c r="E2" s="23">
        <v>43.0</v>
      </c>
      <c r="F2" s="19">
        <f>C2-D2-E2</f>
        <v>32843</v>
      </c>
      <c r="G2" s="23">
        <v>17.0</v>
      </c>
      <c r="H2" s="23">
        <v>3.0</v>
      </c>
      <c r="I2" s="23">
        <f>F2-G2-H2</f>
        <v>32823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</row>
    <row r="3">
      <c r="A3" s="21"/>
      <c r="B3" s="31"/>
      <c r="C3" s="31"/>
      <c r="D3" s="31"/>
      <c r="E3" s="31"/>
      <c r="F3" s="31"/>
      <c r="G3" s="31"/>
      <c r="H3" s="31"/>
      <c r="I3" s="31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</row>
    <row r="4">
      <c r="A4" s="21"/>
      <c r="B4" s="32" t="s">
        <v>31</v>
      </c>
      <c r="C4" s="33">
        <f>SUM(C2:C3)</f>
        <v>35361</v>
      </c>
      <c r="D4" s="35"/>
      <c r="E4" s="35"/>
      <c r="F4" s="33">
        <f>SUM(F2:F3)</f>
        <v>32843</v>
      </c>
      <c r="G4" s="35"/>
      <c r="H4" s="35"/>
      <c r="I4" s="33">
        <f>SUM(I2:I3)</f>
        <v>32823</v>
      </c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</row>
    <row r="5">
      <c r="A5" s="37"/>
      <c r="B5" s="37"/>
      <c r="C5" s="37"/>
      <c r="D5" s="37"/>
      <c r="E5" s="37"/>
      <c r="F5" s="37"/>
      <c r="G5" s="37"/>
      <c r="H5" s="37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</row>
    <row r="6">
      <c r="A6" s="37"/>
      <c r="B6" s="37"/>
      <c r="C6" s="37"/>
      <c r="D6" s="37"/>
      <c r="E6" s="37"/>
      <c r="F6" s="37"/>
      <c r="G6" s="37"/>
      <c r="H6" s="37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</row>
    <row r="7">
      <c r="A7" s="37"/>
      <c r="B7" s="37"/>
      <c r="C7" s="37"/>
      <c r="D7" s="37"/>
      <c r="E7" s="37"/>
      <c r="F7" s="37"/>
      <c r="G7" s="37"/>
      <c r="H7" s="37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</row>
  </sheetData>
  <hyperlinks>
    <hyperlink r:id="rId1" ref="A1"/>
  </hyperlinks>
  <drawing r:id="rId2"/>
</worksheet>
</file>