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</sheets>
  <definedNames/>
  <calcPr/>
</workbook>
</file>

<file path=xl/sharedStrings.xml><?xml version="1.0" encoding="utf-8"?>
<sst xmlns="http://schemas.openxmlformats.org/spreadsheetml/2006/main" count="131" uniqueCount="69">
  <si>
    <t>1 - 30 June</t>
  </si>
  <si>
    <t>Particulars</t>
  </si>
  <si>
    <t>Amount</t>
  </si>
  <si>
    <t>Total</t>
  </si>
  <si>
    <t>Pickleball</t>
  </si>
  <si>
    <t>Turf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</si>
  <si>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</si>
  <si>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</si>
  <si>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</si>
  <si>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</si>
  <si>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</si>
  <si>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</si>
  <si>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</si>
  <si>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</si>
  <si>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</si>
  <si>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</si>
  <si>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</si>
  <si>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</si>
  <si>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</si>
  <si>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</si>
  <si>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</si>
  <si>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</si>
  <si>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</si>
  <si>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</si>
  <si>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</si>
  <si>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</si>
  <si>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</si>
  <si>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</si>
  <si>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</si>
  <si>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</si>
  <si>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</si>
  <si>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</si>
  <si>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</si>
  <si>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</si>
  <si>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</t>
  </si>
  <si>
    <t>Booking Revenue</t>
  </si>
  <si>
    <t>Booking Revenue (Turf)</t>
  </si>
  <si>
    <t>Community Revenue</t>
  </si>
  <si>
    <t xml:space="preserve">Paddle Rental </t>
  </si>
  <si>
    <t>Total Revenue</t>
  </si>
  <si>
    <t>Payment Gateway</t>
  </si>
  <si>
    <t>Net Revenue</t>
  </si>
  <si>
    <t>Monday</t>
  </si>
  <si>
    <t>20 &amp; 30%</t>
  </si>
  <si>
    <t>Tuesday</t>
  </si>
  <si>
    <t>Wednesday</t>
  </si>
  <si>
    <t>Thursday</t>
  </si>
  <si>
    <t>Friday</t>
  </si>
  <si>
    <t>Saturday</t>
  </si>
  <si>
    <t>Sunday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</si>
  <si>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</si>
  <si>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</si>
  <si>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</si>
  <si>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</si>
  <si>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</si>
  <si>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</si>
  <si>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</si>
  <si>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Member Name</t>
  </si>
  <si>
    <t>Sports Type</t>
  </si>
  <si>
    <t>Membership Type</t>
  </si>
  <si>
    <t>Start Date</t>
  </si>
  <si>
    <t>Amount Collected</t>
  </si>
  <si>
    <t>Sunil</t>
  </si>
  <si>
    <t>Box Cricket</t>
  </si>
  <si>
    <t>10 Hours</t>
  </si>
  <si>
    <t>ISH</t>
  </si>
  <si>
    <t>Turf and Pickleball</t>
  </si>
  <si>
    <t>Custom</t>
  </si>
  <si>
    <t>June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</si>
</sst>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gt;9999999][$₹]##\,##\,##\,##0;[&gt;99999][$₹]##\,##\,##0;[$₹]##,##0"/>
    <numFmt numFmtId="165" formatCode="[$₹]#,##0.0"/>
    <numFmt numFmtId="166" formatCode="[$₹]#,##0.00"/>
    <numFmt numFmtId="167" formatCode="[$₹]#,##0"/>
    <numFmt numFmtId="168" formatCode="d mmmm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4" numFmtId="0" xfId="0" applyBorder="1" applyFill="1" applyFont="1"/>
    <xf borderId="3" fillId="0" fontId="2" numFmtId="0" xfId="0" applyAlignment="1" applyBorder="1" applyFont="1">
      <alignment horizontal="center" vertical="bottom"/>
    </xf>
    <xf borderId="3" fillId="0" fontId="4" numFmtId="0" xfId="0" applyBorder="1" applyFont="1"/>
    <xf borderId="3" fillId="0" fontId="5" numFmtId="0" xfId="0" applyAlignment="1" applyBorder="1" applyFont="1">
      <alignment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4" xfId="0" applyAlignment="1" applyBorder="1" applyFill="1" applyFont="1" applyNumberFormat="1">
      <alignment horizontal="center" readingOrder="0" vertical="bottom"/>
    </xf>
    <xf borderId="3" fillId="2" fontId="1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5" numFmtId="164" xfId="0" applyAlignment="1" applyBorder="1" applyFont="1" applyNumberFormat="1">
      <alignment vertical="bottom"/>
    </xf>
    <xf borderId="3" fillId="0" fontId="4" numFmtId="165" xfId="0" applyBorder="1" applyFont="1" applyNumberFormat="1"/>
    <xf borderId="3" fillId="0" fontId="5" numFmtId="166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readingOrder="0" vertical="bottom"/>
    </xf>
    <xf borderId="3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7" xfId="0" applyBorder="1" applyFont="1" applyNumberFormat="1"/>
    <xf borderId="3" fillId="0" fontId="4" numFmtId="167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vertical="bottom"/>
    </xf>
    <xf borderId="3" fillId="0" fontId="5" numFmtId="164" xfId="0" applyAlignment="1" applyBorder="1" applyFont="1" applyNumberFormat="1">
      <alignment horizontal="right" readingOrder="0" vertical="bottom"/>
    </xf>
    <xf borderId="3" fillId="0" fontId="5" numFmtId="164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vertical="bottom"/>
    </xf>
    <xf borderId="3" fillId="2" fontId="2" numFmtId="167" xfId="0" applyAlignment="1" applyBorder="1" applyFill="1" applyFont="1" applyNumberFormat="1">
      <alignment horizontal="right" vertical="bottom"/>
    </xf>
    <xf borderId="3" fillId="0" fontId="5" numFmtId="0" xfId="0" applyAlignment="1" applyBorder="1" applyFont="1">
      <alignment shrinkToFit="0" vertical="bottom" wrapText="1"/>
    </xf>
    <xf borderId="3" fillId="0" fontId="2" numFmtId="166" xfId="0" applyAlignment="1" applyBorder="1" applyFont="1" applyNumberFormat="1">
      <alignment vertical="bottom"/>
    </xf>
    <xf borderId="3" fillId="2" fontId="2" numFmtId="167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vertical="bottom"/>
    </xf>
    <xf borderId="3" fillId="3" fontId="5" numFmtId="168" xfId="0" applyAlignment="1" applyBorder="1" applyFill="1" applyFont="1" applyNumberFormat="1">
      <alignment horizontal="right" vertical="bottom"/>
    </xf>
    <xf borderId="3" fillId="3" fontId="5" numFmtId="167" xfId="0" applyAlignment="1" applyBorder="1" applyFill="1" applyFont="1" applyNumberFormat="1">
      <alignment vertical="bottom"/>
    </xf>
    <xf borderId="3" fillId="3" fontId="5" numFmtId="4" xfId="0" applyAlignment="1" applyBorder="1" applyFill="1" applyFont="1" applyNumberFormat="1">
      <alignment horizontal="right" vertical="bottom"/>
    </xf>
    <xf borderId="3" fillId="0" fontId="5" numFmtId="167" xfId="0" applyAlignment="1" applyBorder="1" applyFont="1" applyNumberFormat="1">
      <alignment horizontal="right" vertical="bottom"/>
    </xf>
    <xf borderId="3" fillId="0" fontId="5" numFmtId="167" xfId="0" applyAlignment="1" applyBorder="1" applyFont="1" applyNumberFormat="1">
      <alignment horizontal="right" vertical="bottom"/>
    </xf>
    <xf borderId="3" fillId="0" fontId="5" numFmtId="4" xfId="0" applyAlignment="1" applyBorder="1" applyFont="1" applyNumberFormat="1">
      <alignment horizontal="right" vertical="bottom"/>
    </xf>
    <xf borderId="3" fillId="0" fontId="5" numFmtId="167" xfId="0" applyAlignment="1" applyBorder="1" applyFont="1" applyNumberFormat="1">
      <alignment horizontal="right" readingOrder="0" vertical="bottom"/>
    </xf>
    <xf borderId="3" fillId="0" fontId="5" numFmtId="4" xfId="0" applyAlignment="1" applyBorder="1" applyFont="1" applyNumberFormat="1">
      <alignment horizontal="right" readingOrder="0" vertical="bottom"/>
    </xf>
    <xf borderId="3" fillId="3" fontId="5" numFmtId="167" xfId="0" applyAlignment="1" applyBorder="1" applyFill="1" applyFont="1" applyNumberFormat="1">
      <alignment horizontal="right" vertical="bottom"/>
    </xf>
    <xf borderId="3" fillId="2" fontId="2" numFmtId="167" xfId="0" applyAlignment="1" applyBorder="1" applyFill="1" applyFont="1" applyNumberFormat="1">
      <alignment vertical="bottom"/>
    </xf>
    <xf borderId="3" fillId="2" fontId="5" numFmtId="167" xfId="0" applyAlignment="1" applyBorder="1" applyFill="1" applyFont="1" applyNumberFormat="1">
      <alignment vertical="bottom"/>
    </xf>
    <xf borderId="3" fillId="2" fontId="2" numFmtId="4" xfId="0" applyAlignment="1" applyBorder="1" applyFill="1" applyFont="1" applyNumberFormat="1">
      <alignment vertical="bottom"/>
    </xf>
    <xf borderId="3" fillId="2" fontId="6" numFmtId="166" xfId="0" applyAlignment="1" applyBorder="1" applyFill="1" applyFont="1" applyNumberFormat="1">
      <alignment horizontal="center" readingOrder="0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7" numFmtId="166" xfId="0" applyAlignment="1" applyBorder="1" applyFill="1" applyFont="1" applyNumberFormat="1">
      <alignment vertical="bottom"/>
    </xf>
    <xf borderId="0" fillId="0" fontId="5" numFmtId="0" xfId="0" applyAlignment="1" applyFont="1">
      <alignment vertical="bottom"/>
    </xf>
    <xf borderId="3" fillId="0" fontId="5" numFmtId="169" xfId="0" applyAlignment="1" applyBorder="1" applyFont="1" applyNumberFormat="1">
      <alignment vertical="bottom"/>
    </xf>
    <xf borderId="3" fillId="0" fontId="5" numFmtId="166" xfId="0" applyAlignment="1" applyBorder="1" applyFont="1" applyNumberFormat="1">
      <alignment readingOrder="0" vertical="bottom"/>
    </xf>
    <xf borderId="3" fillId="0" fontId="5" numFmtId="166" xfId="0" applyAlignment="1" applyBorder="1" applyFont="1" applyNumberFormat="1">
      <alignment horizontal="right" readingOrder="0" vertical="bottom"/>
    </xf>
    <xf borderId="3" fillId="0" fontId="5" numFmtId="170" xfId="0" applyAlignment="1" applyBorder="1" applyFont="1" applyNumberFormat="1">
      <alignment horizontal="right" readingOrder="0" vertical="bottom"/>
    </xf>
    <xf borderId="3" fillId="0" fontId="5" numFmtId="170" xfId="0" applyAlignment="1" applyBorder="1" applyFont="1" applyNumberFormat="1">
      <alignment horizontal="right" vertical="bottom"/>
    </xf>
    <xf borderId="3" fillId="0" fontId="5" numFmtId="167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2" fontId="2" numFmtId="170" xfId="0" applyAlignment="1" applyBorder="1" applyFill="1" applyFont="1" applyNumberFormat="1">
      <alignment horizontal="right" vertical="bottom"/>
    </xf>
    <xf borderId="3" fillId="0" fontId="1" numFmtId="165" xfId="0" applyAlignment="1" applyBorder="1" applyFont="1" applyNumberFormat="1">
      <alignment readingOrder="0"/>
    </xf>
    <xf borderId="3" fillId="0" fontId="2" numFmtId="166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3" fillId="2" fontId="2" numFmtId="0" xfId="0" applyAlignment="1" applyBorder="1" applyFill="1" applyFont="1">
      <alignment horizontal="right" vertical="bottom"/>
    </xf>
    <xf borderId="3" fillId="0" fontId="5" numFmtId="168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horizontal="right" readingOrder="0" vertical="bottom"/>
    </xf>
    <xf borderId="3" fillId="0" fontId="5" numFmtId="166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166" xfId="0" applyBorder="1" applyFont="1" applyNumberFormat="1"/>
    <xf borderId="3" fillId="0" fontId="1" numFmtId="167" xfId="0" applyBorder="1" applyFont="1" applyNumberFormat="1"/>
    <xf borderId="3" fillId="0" fontId="1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  <c r="D2" s="4"/>
      <c r="E2" s="4"/>
    </row>
    <row r="3">
      <c r="B3" s="5" t="s">
        <v>1</v>
      </c>
      <c r="C3" s="5" t="s">
        <v>2</v>
      </c>
      <c r="D3" s="6"/>
      <c r="E3" s="7"/>
    </row>
    <row r="4">
      <c r="B4" s="8"/>
      <c r="C4" s="9" t="s">
        <v>3</v>
      </c>
      <c r="D4" s="10" t="s">
        <v>4</v>
      </c>
      <c r="E4" s="11" t="s">
        <v>5</v>
      </c>
    </row>
    <row r="5">
      <c r="B5" s="12" t="s">
        <v>6</v>
      </c>
      <c r="C5" s="13">
        <f t="shared" ref="C5:E5" si="1">sum(C6,C12)</f>
        <v>209687</v>
      </c>
      <c r="D5" s="13">
        <f t="shared" si="1"/>
        <v>102234</v>
      </c>
      <c r="E5" s="13">
        <f t="shared" si="1"/>
        <v>107453</v>
      </c>
    </row>
    <row r="6">
      <c r="B6" s="12" t="s">
        <v>7</v>
      </c>
      <c r="C6" s="13">
        <f t="shared" ref="C6:E6" si="2">sum(C7:C11)</f>
        <v>74190</v>
      </c>
      <c r="D6" s="13">
        <f t="shared" si="2"/>
        <v>47504</v>
      </c>
      <c r="E6" s="13">
        <f t="shared" si="2"/>
        <v>26686</v>
      </c>
    </row>
    <row r="7" outlineLevel="1">
      <c r="B7" s="7" t="s">
        <v>8</v>
      </c>
      <c r="C7" s="14">
        <f>District!C3</f>
        <v>74190</v>
      </c>
      <c r="D7" s="15">
        <f>District!B5</f>
        <v>47504</v>
      </c>
      <c r="E7" s="16">
        <f>District!B6</f>
        <v>26686</v>
      </c>
    </row>
    <row r="8" outlineLevel="1">
      <c r="B8" s="7" t="s">
        <v>9</v>
      </c>
      <c r="C8" s="17">
        <v>0.0</v>
      </c>
      <c r="D8" s="18">
        <v>0.0</v>
      </c>
      <c r="E8" s="19">
        <v>0.0</v>
      </c>
    </row>
    <row r="9" outlineLevel="1">
      <c r="B9" s="7" t="s">
        <v>10</v>
      </c>
      <c r="C9" s="17">
        <v>0.0</v>
      </c>
      <c r="D9" s="18">
        <v>0.0</v>
      </c>
      <c r="E9" s="19">
        <v>0.0</v>
      </c>
    </row>
    <row r="10" outlineLevel="1">
      <c r="B10" s="20" t="s">
        <v>11</v>
      </c>
      <c r="C10" s="17">
        <v>0.0</v>
      </c>
      <c r="D10" s="18">
        <v>0.0</v>
      </c>
      <c r="E10" s="19">
        <v>0.0</v>
      </c>
    </row>
    <row r="11" outlineLevel="1">
      <c r="B11" s="7" t="s">
        <v>12</v>
      </c>
      <c r="C11" s="17">
        <v>0.0</v>
      </c>
      <c r="D11" s="18">
        <v>0.0</v>
      </c>
      <c r="E11" s="19">
        <v>0.0</v>
      </c>
    </row>
    <row r="12">
      <c r="B12" s="21" t="s">
        <v>13</v>
      </c>
      <c r="C12" s="13">
        <f t="shared" ref="C12:E12" si="3">sum(C13:C14)</f>
        <v>135497</v>
      </c>
      <c r="D12" s="13">
        <f t="shared" si="3"/>
        <v>54730</v>
      </c>
      <c r="E12" s="13">
        <f t="shared" si="3"/>
        <v>80767</v>
      </c>
    </row>
    <row r="13" outlineLevel="1">
      <c r="B13" s="7" t="s">
        <v>14</v>
      </c>
      <c r="C13" s="14">
        <f>'Offline &amp; RG Community'!E32+'Offline &amp; RG Community'!F32</f>
        <v>104697</v>
      </c>
      <c r="D13" s="22">
        <f>'Offline &amp; RG Community'!E32</f>
        <v>45330</v>
      </c>
      <c r="E13" s="22">
        <f>'Offline &amp; RG Community'!F32</f>
        <v>59367</v>
      </c>
    </row>
    <row r="14" outlineLevel="1">
      <c r="B14" s="16" t="s">
        <v>15</v>
      </c>
      <c r="C14" s="17">
        <f>Memberships!E4</f>
        <v>30800</v>
      </c>
      <c r="D14" s="23">
        <f>Memberships!E3/2</f>
        <v>9400</v>
      </c>
      <c r="E14" s="23">
        <f>Memberships!E2+(Memberships!E3/2)</f>
        <v>21400</v>
      </c>
    </row>
    <row r="15">
      <c r="B15" s="21" t="s">
        <v>16</v>
      </c>
      <c r="C15" s="13">
        <f t="shared" ref="C15:E15" si="4">sum(C16:C17)</f>
        <v>480</v>
      </c>
      <c r="D15" s="13">
        <f t="shared" si="4"/>
        <v>480</v>
      </c>
      <c r="E15" s="13">
        <f t="shared" si="4"/>
        <v>0</v>
      </c>
    </row>
    <row r="16" outlineLevel="1">
      <c r="B16" s="20" t="s">
        <v>17</v>
      </c>
      <c r="C16" s="17">
        <f>'Offline &amp; RG Community'!G32</f>
        <v>480</v>
      </c>
      <c r="D16" s="23">
        <f>'Offline &amp; RG Community'!G32</f>
        <v>480</v>
      </c>
      <c r="E16" s="19">
        <v>0.0</v>
      </c>
    </row>
    <row r="17" outlineLevel="1">
      <c r="B17" s="20" t="s">
        <v>18</v>
      </c>
      <c r="C17" s="17">
        <v>0.0</v>
      </c>
      <c r="D17" s="18">
        <v>0.0</v>
      </c>
      <c r="E17" s="18">
        <v>0.0</v>
      </c>
    </row>
    <row r="18">
      <c r="B18" s="21" t="s">
        <v>19</v>
      </c>
      <c r="C18" s="24">
        <v>0.0</v>
      </c>
      <c r="D18" s="24">
        <v>0.0</v>
      </c>
      <c r="E18" s="24">
        <v>0.0</v>
      </c>
    </row>
    <row r="19">
      <c r="B19" s="12" t="s">
        <v>20</v>
      </c>
      <c r="C19" s="13">
        <f t="shared" ref="C19:D19" si="5">sum(C20,C21)</f>
        <v>0</v>
      </c>
      <c r="D19" s="13">
        <f t="shared" si="5"/>
        <v>0</v>
      </c>
      <c r="E19" s="24">
        <v>0.0</v>
      </c>
    </row>
    <row r="20" outlineLevel="1">
      <c r="B20" s="7" t="s">
        <v>21</v>
      </c>
      <c r="C20" s="25">
        <v>0.0</v>
      </c>
      <c r="D20" s="18">
        <v>0.0</v>
      </c>
      <c r="E20" s="18">
        <v>0.0</v>
      </c>
    </row>
    <row r="21" outlineLevel="1">
      <c r="B21" s="20" t="s">
        <v>22</v>
      </c>
      <c r="C21" s="25">
        <v>0.0</v>
      </c>
      <c r="D21" s="18">
        <v>0.0</v>
      </c>
      <c r="E21" s="18">
        <v>0.0</v>
      </c>
    </row>
    <row r="22">
      <c r="B22" s="12" t="s">
        <v>23</v>
      </c>
      <c r="C22" s="13">
        <f t="shared" ref="C22:E22" si="6">sum(C23:C25)</f>
        <v>3325</v>
      </c>
      <c r="D22" s="13">
        <f t="shared" si="6"/>
        <v>3325</v>
      </c>
      <c r="E22" s="13">
        <f t="shared" si="6"/>
        <v>0</v>
      </c>
    </row>
    <row r="23" outlineLevel="1">
      <c r="B23" s="7" t="s">
        <v>24</v>
      </c>
      <c r="C23" s="26">
        <f>'Offline &amp; RG Community'!H32</f>
        <v>3325</v>
      </c>
      <c r="D23" s="22">
        <f>'Offline &amp; RG Community'!H32</f>
        <v>3325</v>
      </c>
      <c r="E23" s="18">
        <v>0.0</v>
      </c>
    </row>
    <row r="24" outlineLevel="1">
      <c r="B24" s="7" t="s">
        <v>25</v>
      </c>
      <c r="C24" s="17">
        <v>0.0</v>
      </c>
      <c r="D24" s="18">
        <v>0.0</v>
      </c>
      <c r="E24" s="18">
        <v>0.0</v>
      </c>
    </row>
    <row r="25" outlineLevel="1">
      <c r="B25" s="7" t="s">
        <v>26</v>
      </c>
      <c r="C25" s="25">
        <v>0.0</v>
      </c>
      <c r="D25" s="18">
        <v>0.0</v>
      </c>
      <c r="E25" s="18">
        <v>0.0</v>
      </c>
    </row>
    <row r="26">
      <c r="B26" s="12" t="s">
        <v>27</v>
      </c>
      <c r="C26" s="13">
        <v>0.0</v>
      </c>
      <c r="D26" s="13">
        <v>0.0</v>
      </c>
      <c r="E26" s="13">
        <v>0.0</v>
      </c>
    </row>
    <row r="27">
      <c r="B27" s="27" t="s">
        <v>28</v>
      </c>
      <c r="C27" s="28">
        <f t="shared" ref="C27:E27" si="7">C6+C12+C15+C18+C19+C22+C26</f>
        <v>213492</v>
      </c>
      <c r="D27" s="28">
        <f t="shared" si="7"/>
        <v>106039</v>
      </c>
      <c r="E27" s="28">
        <f t="shared" si="7"/>
        <v>107453</v>
      </c>
    </row>
    <row r="28">
      <c r="B28" s="29" t="s">
        <v>29</v>
      </c>
      <c r="C28" s="30">
        <f>'Offline &amp; RG Community'!K32+District!F3+Memberships!G4</f>
        <v>204751.215</v>
      </c>
      <c r="D28" s="6"/>
      <c r="E28" s="6"/>
    </row>
    <row r="29">
      <c r="B29" s="12" t="s">
        <v>30</v>
      </c>
      <c r="C29" s="13">
        <f>C28/1.18</f>
        <v>173517.9788</v>
      </c>
      <c r="D29" s="6"/>
      <c r="E29" s="6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18.25"/>
    <col customWidth="1" min="4" max="4" width="13.25"/>
    <col customWidth="1" min="5" max="5" width="15.13"/>
    <col customWidth="1" min="6" max="7" width="19.75"/>
    <col customWidth="1" min="9" max="10" width="15.25"/>
  </cols>
  <sheetData>
    <row r="1">
      <c r="A1" s="31" t="s">
        <v>31</v>
      </c>
      <c r="B1" s="31" t="s">
        <v>32</v>
      </c>
      <c r="C1" s="32" t="s">
        <v>33</v>
      </c>
      <c r="D1" s="32" t="s">
        <v>34</v>
      </c>
      <c r="E1" s="31" t="s">
        <v>35</v>
      </c>
      <c r="F1" s="31" t="s">
        <v>36</v>
      </c>
      <c r="G1" s="31" t="s">
        <v>37</v>
      </c>
      <c r="H1" s="31" t="s">
        <v>38</v>
      </c>
      <c r="I1" s="31" t="s">
        <v>39</v>
      </c>
      <c r="J1" s="33" t="s">
        <v>40</v>
      </c>
      <c r="K1" s="27" t="s">
        <v>41</v>
      </c>
    </row>
    <row r="2">
      <c r="A2" s="34">
        <v>46174.0</v>
      </c>
      <c r="B2" s="35" t="s">
        <v>42</v>
      </c>
      <c r="C2" s="36">
        <v>2.5</v>
      </c>
      <c r="D2" s="37" t="s">
        <v>43</v>
      </c>
      <c r="E2" s="37">
        <v>1600.0</v>
      </c>
      <c r="F2" s="37">
        <v>1800.0</v>
      </c>
      <c r="G2" s="37">
        <v>0.0</v>
      </c>
      <c r="H2" s="37">
        <v>0.0</v>
      </c>
      <c r="I2" s="37">
        <f t="shared" ref="I2:I15" si="1">sum(E2:H2)</f>
        <v>3400</v>
      </c>
      <c r="J2" s="38">
        <f t="shared" ref="J2:J31" si="2">I2*1.75%</f>
        <v>59.5</v>
      </c>
      <c r="K2" s="37">
        <f t="shared" ref="K2:K31" si="3">I2-J2</f>
        <v>3340.5</v>
      </c>
    </row>
    <row r="3">
      <c r="A3" s="34">
        <v>46175.0</v>
      </c>
      <c r="B3" s="35" t="s">
        <v>44</v>
      </c>
      <c r="C3" s="36">
        <v>2.5</v>
      </c>
      <c r="D3" s="37" t="s">
        <v>43</v>
      </c>
      <c r="E3" s="37">
        <v>1600.0</v>
      </c>
      <c r="F3" s="37">
        <v>0.0</v>
      </c>
      <c r="G3" s="37">
        <v>0.0</v>
      </c>
      <c r="H3" s="37">
        <v>0.0</v>
      </c>
      <c r="I3" s="37">
        <f t="shared" si="1"/>
        <v>1600</v>
      </c>
      <c r="J3" s="38">
        <f t="shared" si="2"/>
        <v>28</v>
      </c>
      <c r="K3" s="37">
        <f t="shared" si="3"/>
        <v>1572</v>
      </c>
    </row>
    <row r="4">
      <c r="A4" s="34">
        <v>46176.0</v>
      </c>
      <c r="B4" s="35" t="s">
        <v>45</v>
      </c>
      <c r="C4" s="39">
        <v>0.5</v>
      </c>
      <c r="D4" s="37" t="s">
        <v>43</v>
      </c>
      <c r="E4" s="37">
        <v>320.0</v>
      </c>
      <c r="F4" s="37">
        <v>0.0</v>
      </c>
      <c r="G4" s="37">
        <v>0.0</v>
      </c>
      <c r="H4" s="37">
        <v>50.0</v>
      </c>
      <c r="I4" s="37">
        <f t="shared" si="1"/>
        <v>370</v>
      </c>
      <c r="J4" s="38">
        <f t="shared" si="2"/>
        <v>6.475</v>
      </c>
      <c r="K4" s="37">
        <f t="shared" si="3"/>
        <v>363.525</v>
      </c>
    </row>
    <row r="5">
      <c r="A5" s="34">
        <v>46177.0</v>
      </c>
      <c r="B5" s="35" t="s">
        <v>46</v>
      </c>
      <c r="C5" s="39">
        <v>0.0</v>
      </c>
      <c r="D5" s="37" t="s">
        <v>43</v>
      </c>
      <c r="E5" s="37">
        <v>0.0</v>
      </c>
      <c r="F5" s="37">
        <v>0.0</v>
      </c>
      <c r="G5" s="37">
        <v>0.0</v>
      </c>
      <c r="H5" s="37">
        <v>0.0</v>
      </c>
      <c r="I5" s="37">
        <f t="shared" si="1"/>
        <v>0</v>
      </c>
      <c r="J5" s="38">
        <f t="shared" si="2"/>
        <v>0</v>
      </c>
      <c r="K5" s="37">
        <f t="shared" si="3"/>
        <v>0</v>
      </c>
    </row>
    <row r="6">
      <c r="A6" s="34">
        <v>46178.0</v>
      </c>
      <c r="B6" s="35" t="s">
        <v>47</v>
      </c>
      <c r="C6" s="39">
        <v>5.0</v>
      </c>
      <c r="D6" s="37" t="s">
        <v>43</v>
      </c>
      <c r="E6" s="37">
        <v>3200.0</v>
      </c>
      <c r="F6" s="37">
        <v>0.0</v>
      </c>
      <c r="G6" s="37">
        <v>0.0</v>
      </c>
      <c r="H6" s="37">
        <v>400.0</v>
      </c>
      <c r="I6" s="37">
        <f t="shared" si="1"/>
        <v>3600</v>
      </c>
      <c r="J6" s="38">
        <f t="shared" si="2"/>
        <v>63</v>
      </c>
      <c r="K6" s="37">
        <f t="shared" si="3"/>
        <v>3537</v>
      </c>
    </row>
    <row r="7">
      <c r="A7" s="34">
        <v>46179.0</v>
      </c>
      <c r="B7" s="35" t="s">
        <v>48</v>
      </c>
      <c r="C7" s="39">
        <v>6.0</v>
      </c>
      <c r="D7" s="37" t="s">
        <v>43</v>
      </c>
      <c r="E7" s="37">
        <v>1280.0</v>
      </c>
      <c r="F7" s="37">
        <v>5120.0</v>
      </c>
      <c r="G7" s="37">
        <v>0.0</v>
      </c>
      <c r="H7" s="37">
        <v>200.0</v>
      </c>
      <c r="I7" s="37">
        <f t="shared" si="1"/>
        <v>6600</v>
      </c>
      <c r="J7" s="38">
        <f t="shared" si="2"/>
        <v>115.5</v>
      </c>
      <c r="K7" s="37">
        <f t="shared" si="3"/>
        <v>6484.5</v>
      </c>
    </row>
    <row r="8">
      <c r="A8" s="34">
        <v>46180.0</v>
      </c>
      <c r="B8" s="35" t="s">
        <v>49</v>
      </c>
      <c r="C8" s="39">
        <v>3.0</v>
      </c>
      <c r="D8" s="37" t="s">
        <v>43</v>
      </c>
      <c r="E8" s="37">
        <v>1920.0</v>
      </c>
      <c r="F8" s="37">
        <v>0.0</v>
      </c>
      <c r="G8" s="37">
        <v>0.0</v>
      </c>
      <c r="H8" s="37">
        <v>0.0</v>
      </c>
      <c r="I8" s="37">
        <f t="shared" si="1"/>
        <v>1920</v>
      </c>
      <c r="J8" s="38">
        <f t="shared" si="2"/>
        <v>33.6</v>
      </c>
      <c r="K8" s="37">
        <f t="shared" si="3"/>
        <v>1886.4</v>
      </c>
    </row>
    <row r="9">
      <c r="A9" s="34">
        <v>46181.0</v>
      </c>
      <c r="B9" s="35" t="s">
        <v>42</v>
      </c>
      <c r="C9" s="39">
        <v>2.5</v>
      </c>
      <c r="D9" s="37" t="s">
        <v>43</v>
      </c>
      <c r="E9" s="37">
        <v>1600.0</v>
      </c>
      <c r="F9" s="37">
        <v>0.0</v>
      </c>
      <c r="G9" s="37">
        <v>0.0</v>
      </c>
      <c r="H9" s="37">
        <v>0.0</v>
      </c>
      <c r="I9" s="37">
        <f t="shared" si="1"/>
        <v>1600</v>
      </c>
      <c r="J9" s="38">
        <f t="shared" si="2"/>
        <v>28</v>
      </c>
      <c r="K9" s="37">
        <f t="shared" si="3"/>
        <v>1572</v>
      </c>
    </row>
    <row r="10">
      <c r="A10" s="34">
        <v>46182.0</v>
      </c>
      <c r="B10" s="35" t="s">
        <v>44</v>
      </c>
      <c r="C10" s="39">
        <v>0.5</v>
      </c>
      <c r="D10" s="37" t="s">
        <v>43</v>
      </c>
      <c r="E10" s="37">
        <v>320.0</v>
      </c>
      <c r="F10" s="37">
        <v>6280.0</v>
      </c>
      <c r="G10" s="37">
        <v>0.0</v>
      </c>
      <c r="H10" s="37">
        <v>0.0</v>
      </c>
      <c r="I10" s="37">
        <f t="shared" si="1"/>
        <v>6600</v>
      </c>
      <c r="J10" s="38">
        <f t="shared" si="2"/>
        <v>115.5</v>
      </c>
      <c r="K10" s="37">
        <f t="shared" si="3"/>
        <v>6484.5</v>
      </c>
    </row>
    <row r="11">
      <c r="A11" s="34">
        <v>46183.0</v>
      </c>
      <c r="B11" s="35" t="s">
        <v>45</v>
      </c>
      <c r="C11" s="39">
        <v>4.5</v>
      </c>
      <c r="D11" s="37" t="s">
        <v>43</v>
      </c>
      <c r="E11" s="37">
        <v>2880.0</v>
      </c>
      <c r="F11" s="40">
        <v>1480.0</v>
      </c>
      <c r="G11" s="37">
        <v>0.0</v>
      </c>
      <c r="H11" s="37">
        <v>0.0</v>
      </c>
      <c r="I11" s="37">
        <f t="shared" si="1"/>
        <v>4360</v>
      </c>
      <c r="J11" s="38">
        <f t="shared" si="2"/>
        <v>76.3</v>
      </c>
      <c r="K11" s="37">
        <f t="shared" si="3"/>
        <v>4283.7</v>
      </c>
    </row>
    <row r="12">
      <c r="A12" s="34">
        <v>46184.0</v>
      </c>
      <c r="B12" s="35" t="s">
        <v>46</v>
      </c>
      <c r="C12" s="39">
        <v>1.5</v>
      </c>
      <c r="D12" s="37" t="s">
        <v>43</v>
      </c>
      <c r="E12" s="37">
        <v>320.0</v>
      </c>
      <c r="F12" s="37">
        <v>0.0</v>
      </c>
      <c r="G12" s="37">
        <v>0.0</v>
      </c>
      <c r="H12" s="37">
        <v>100.0</v>
      </c>
      <c r="I12" s="37">
        <f t="shared" si="1"/>
        <v>420</v>
      </c>
      <c r="J12" s="38">
        <f t="shared" si="2"/>
        <v>7.35</v>
      </c>
      <c r="K12" s="37">
        <f t="shared" si="3"/>
        <v>412.65</v>
      </c>
    </row>
    <row r="13">
      <c r="A13" s="34">
        <v>46185.0</v>
      </c>
      <c r="B13" s="35" t="s">
        <v>47</v>
      </c>
      <c r="C13" s="39">
        <v>2.5</v>
      </c>
      <c r="D13" s="37" t="s">
        <v>43</v>
      </c>
      <c r="E13" s="37">
        <f>620+1600</f>
        <v>2220</v>
      </c>
      <c r="F13" s="40">
        <f>3840+1280</f>
        <v>5120</v>
      </c>
      <c r="G13" s="37">
        <v>0.0</v>
      </c>
      <c r="H13" s="37">
        <v>100.0</v>
      </c>
      <c r="I13" s="37">
        <f t="shared" si="1"/>
        <v>7440</v>
      </c>
      <c r="J13" s="38">
        <f t="shared" si="2"/>
        <v>130.2</v>
      </c>
      <c r="K13" s="37">
        <f t="shared" si="3"/>
        <v>7309.8</v>
      </c>
    </row>
    <row r="14">
      <c r="A14" s="34">
        <v>46186.0</v>
      </c>
      <c r="B14" s="35" t="s">
        <v>48</v>
      </c>
      <c r="C14" s="39">
        <v>9.5</v>
      </c>
      <c r="D14" s="37" t="s">
        <v>43</v>
      </c>
      <c r="E14" s="37">
        <v>6080.0</v>
      </c>
      <c r="F14" s="37">
        <v>5120.0</v>
      </c>
      <c r="G14" s="37">
        <v>0.0</v>
      </c>
      <c r="H14" s="37">
        <v>400.0</v>
      </c>
      <c r="I14" s="37">
        <f t="shared" si="1"/>
        <v>11600</v>
      </c>
      <c r="J14" s="38">
        <f t="shared" si="2"/>
        <v>203</v>
      </c>
      <c r="K14" s="37">
        <f t="shared" si="3"/>
        <v>11397</v>
      </c>
    </row>
    <row r="15">
      <c r="A15" s="34">
        <v>46187.0</v>
      </c>
      <c r="B15" s="35" t="s">
        <v>49</v>
      </c>
      <c r="C15" s="39">
        <v>2.5</v>
      </c>
      <c r="D15" s="37" t="s">
        <v>43</v>
      </c>
      <c r="E15" s="40">
        <f>1280+730</f>
        <v>2010</v>
      </c>
      <c r="F15" s="37">
        <v>3040.0</v>
      </c>
      <c r="G15" s="37">
        <v>0.0</v>
      </c>
      <c r="H15" s="37">
        <v>200.0</v>
      </c>
      <c r="I15" s="37">
        <f t="shared" si="1"/>
        <v>5250</v>
      </c>
      <c r="J15" s="38">
        <f t="shared" si="2"/>
        <v>91.875</v>
      </c>
      <c r="K15" s="37">
        <f t="shared" si="3"/>
        <v>5158.125</v>
      </c>
    </row>
    <row r="16">
      <c r="A16" s="34">
        <v>46188.0</v>
      </c>
      <c r="B16" s="35" t="s">
        <v>42</v>
      </c>
      <c r="C16" s="39">
        <v>5.0</v>
      </c>
      <c r="D16" s="37" t="s">
        <v>43</v>
      </c>
      <c r="E16" s="37">
        <f>320+790+960</f>
        <v>2070</v>
      </c>
      <c r="F16" s="37">
        <f>1280*2</f>
        <v>2560</v>
      </c>
      <c r="G16" s="37">
        <v>0.0</v>
      </c>
      <c r="H16" s="37">
        <v>0.0</v>
      </c>
      <c r="I16" s="37">
        <f t="shared" ref="I16:I21" si="4">SUM(E16:H16)</f>
        <v>4630</v>
      </c>
      <c r="J16" s="38">
        <f t="shared" si="2"/>
        <v>81.025</v>
      </c>
      <c r="K16" s="37">
        <f t="shared" si="3"/>
        <v>4548.975</v>
      </c>
    </row>
    <row r="17">
      <c r="A17" s="34">
        <v>46189.0</v>
      </c>
      <c r="B17" s="35" t="s">
        <v>44</v>
      </c>
      <c r="C17" s="39">
        <v>4.0</v>
      </c>
      <c r="D17" s="37" t="s">
        <v>43</v>
      </c>
      <c r="E17" s="37">
        <f>740+740</f>
        <v>1480</v>
      </c>
      <c r="F17" s="37">
        <f>1280+1920</f>
        <v>3200</v>
      </c>
      <c r="G17" s="37">
        <v>0.0</v>
      </c>
      <c r="H17" s="37">
        <v>300.0</v>
      </c>
      <c r="I17" s="37">
        <f t="shared" si="4"/>
        <v>4980</v>
      </c>
      <c r="J17" s="38">
        <f t="shared" si="2"/>
        <v>87.15</v>
      </c>
      <c r="K17" s="37">
        <f t="shared" si="3"/>
        <v>4892.85</v>
      </c>
    </row>
    <row r="18">
      <c r="A18" s="34">
        <v>46190.0</v>
      </c>
      <c r="B18" s="35" t="s">
        <v>45</v>
      </c>
      <c r="C18" s="39">
        <v>3.5</v>
      </c>
      <c r="D18" s="37" t="s">
        <v>43</v>
      </c>
      <c r="E18" s="37">
        <f>E19</f>
        <v>0</v>
      </c>
      <c r="F18" s="37">
        <v>0.0</v>
      </c>
      <c r="G18" s="37">
        <v>0.0</v>
      </c>
      <c r="H18" s="37">
        <v>250.0</v>
      </c>
      <c r="I18" s="37">
        <f t="shared" si="4"/>
        <v>250</v>
      </c>
      <c r="J18" s="38">
        <f t="shared" si="2"/>
        <v>4.375</v>
      </c>
      <c r="K18" s="37">
        <f t="shared" si="3"/>
        <v>245.625</v>
      </c>
    </row>
    <row r="19">
      <c r="A19" s="34">
        <v>46191.0</v>
      </c>
      <c r="B19" s="35" t="s">
        <v>46</v>
      </c>
      <c r="C19" s="39">
        <v>2.5</v>
      </c>
      <c r="D19" s="37" t="s">
        <v>43</v>
      </c>
      <c r="E19" s="37">
        <v>0.0</v>
      </c>
      <c r="F19" s="37">
        <v>0.0</v>
      </c>
      <c r="G19" s="37">
        <v>0.0</v>
      </c>
      <c r="H19" s="37">
        <v>0.0</v>
      </c>
      <c r="I19" s="37">
        <f t="shared" si="4"/>
        <v>0</v>
      </c>
      <c r="J19" s="38">
        <f t="shared" si="2"/>
        <v>0</v>
      </c>
      <c r="K19" s="37">
        <f t="shared" si="3"/>
        <v>0</v>
      </c>
    </row>
    <row r="20">
      <c r="A20" s="34">
        <v>46192.0</v>
      </c>
      <c r="B20" s="35" t="s">
        <v>47</v>
      </c>
      <c r="C20" s="39">
        <v>1.0</v>
      </c>
      <c r="D20" s="37" t="s">
        <v>43</v>
      </c>
      <c r="E20" s="37">
        <v>640.0</v>
      </c>
      <c r="F20" s="37">
        <v>0.0</v>
      </c>
      <c r="G20" s="37">
        <v>0.0</v>
      </c>
      <c r="H20" s="37">
        <v>0.0</v>
      </c>
      <c r="I20" s="37">
        <f t="shared" si="4"/>
        <v>640</v>
      </c>
      <c r="J20" s="38">
        <f t="shared" si="2"/>
        <v>11.2</v>
      </c>
      <c r="K20" s="37">
        <f t="shared" si="3"/>
        <v>628.8</v>
      </c>
    </row>
    <row r="21">
      <c r="A21" s="34">
        <v>46193.0</v>
      </c>
      <c r="B21" s="35" t="s">
        <v>48</v>
      </c>
      <c r="C21" s="39">
        <v>5.0</v>
      </c>
      <c r="D21" s="37" t="s">
        <v>43</v>
      </c>
      <c r="E21" s="37">
        <v>1600.0</v>
      </c>
      <c r="F21" s="37">
        <v>3200.0</v>
      </c>
      <c r="G21" s="37">
        <v>0.0</v>
      </c>
      <c r="H21" s="37">
        <v>425.0</v>
      </c>
      <c r="I21" s="37">
        <f t="shared" si="4"/>
        <v>5225</v>
      </c>
      <c r="J21" s="38">
        <f t="shared" si="2"/>
        <v>91.4375</v>
      </c>
      <c r="K21" s="37">
        <f t="shared" si="3"/>
        <v>5133.5625</v>
      </c>
    </row>
    <row r="22">
      <c r="A22" s="34">
        <v>46194.0</v>
      </c>
      <c r="B22" s="35" t="s">
        <v>49</v>
      </c>
      <c r="C22" s="39">
        <v>6.5</v>
      </c>
      <c r="D22" s="37" t="s">
        <v>43</v>
      </c>
      <c r="E22" s="37">
        <f>1160+560</f>
        <v>1720</v>
      </c>
      <c r="F22" s="37">
        <f>2560+3200+2247</f>
        <v>8007</v>
      </c>
      <c r="G22" s="37">
        <v>0.0</v>
      </c>
      <c r="H22" s="40">
        <v>0.0</v>
      </c>
      <c r="I22" s="37">
        <f>sum(E22:H22)</f>
        <v>9727</v>
      </c>
      <c r="J22" s="38">
        <f t="shared" si="2"/>
        <v>170.2225</v>
      </c>
      <c r="K22" s="37">
        <f t="shared" si="3"/>
        <v>9556.7775</v>
      </c>
    </row>
    <row r="23">
      <c r="A23" s="34">
        <v>46195.0</v>
      </c>
      <c r="B23" s="35" t="s">
        <v>42</v>
      </c>
      <c r="C23" s="39">
        <v>3.0</v>
      </c>
      <c r="D23" s="37" t="s">
        <v>43</v>
      </c>
      <c r="E23" s="37">
        <v>1280.0</v>
      </c>
      <c r="F23" s="37">
        <v>1000.0</v>
      </c>
      <c r="G23" s="37">
        <v>0.0</v>
      </c>
      <c r="H23" s="37">
        <v>100.0</v>
      </c>
      <c r="I23" s="37">
        <f t="shared" ref="I23:I31" si="5">SUM(E23:H23)</f>
        <v>2380</v>
      </c>
      <c r="J23" s="38">
        <f t="shared" si="2"/>
        <v>41.65</v>
      </c>
      <c r="K23" s="37">
        <f t="shared" si="3"/>
        <v>2338.35</v>
      </c>
    </row>
    <row r="24">
      <c r="A24" s="34">
        <v>46196.0</v>
      </c>
      <c r="B24" s="35" t="s">
        <v>44</v>
      </c>
      <c r="C24" s="39">
        <v>1.0</v>
      </c>
      <c r="D24" s="37" t="s">
        <v>43</v>
      </c>
      <c r="E24" s="37">
        <v>640.0</v>
      </c>
      <c r="F24" s="37">
        <v>0.0</v>
      </c>
      <c r="G24" s="37">
        <v>0.0</v>
      </c>
      <c r="H24" s="37">
        <v>50.0</v>
      </c>
      <c r="I24" s="37">
        <f t="shared" si="5"/>
        <v>690</v>
      </c>
      <c r="J24" s="38">
        <f t="shared" si="2"/>
        <v>12.075</v>
      </c>
      <c r="K24" s="37">
        <f t="shared" si="3"/>
        <v>677.925</v>
      </c>
    </row>
    <row r="25">
      <c r="A25" s="34">
        <v>46197.0</v>
      </c>
      <c r="B25" s="35" t="s">
        <v>45</v>
      </c>
      <c r="C25" s="39">
        <v>1.0</v>
      </c>
      <c r="D25" s="37" t="s">
        <v>43</v>
      </c>
      <c r="E25" s="37">
        <v>640.0</v>
      </c>
      <c r="F25" s="37">
        <v>1920.0</v>
      </c>
      <c r="G25" s="37">
        <v>0.0</v>
      </c>
      <c r="H25" s="37">
        <v>0.0</v>
      </c>
      <c r="I25" s="37">
        <f t="shared" si="5"/>
        <v>2560</v>
      </c>
      <c r="J25" s="38">
        <f t="shared" si="2"/>
        <v>44.8</v>
      </c>
      <c r="K25" s="37">
        <f t="shared" si="3"/>
        <v>2515.2</v>
      </c>
    </row>
    <row r="26">
      <c r="A26" s="34">
        <v>46198.0</v>
      </c>
      <c r="B26" s="35" t="s">
        <v>46</v>
      </c>
      <c r="C26" s="39">
        <v>3.5</v>
      </c>
      <c r="D26" s="37" t="s">
        <v>43</v>
      </c>
      <c r="E26" s="37">
        <v>1600.0</v>
      </c>
      <c r="F26" s="37">
        <v>0.0</v>
      </c>
      <c r="G26" s="37">
        <v>480.0</v>
      </c>
      <c r="H26" s="37">
        <v>200.0</v>
      </c>
      <c r="I26" s="37">
        <f t="shared" si="5"/>
        <v>2280</v>
      </c>
      <c r="J26" s="38">
        <f t="shared" si="2"/>
        <v>39.9</v>
      </c>
      <c r="K26" s="37">
        <f t="shared" si="3"/>
        <v>2240.1</v>
      </c>
    </row>
    <row r="27">
      <c r="A27" s="34">
        <v>46199.0</v>
      </c>
      <c r="B27" s="35" t="s">
        <v>47</v>
      </c>
      <c r="C27" s="39">
        <v>2.0</v>
      </c>
      <c r="D27" s="37" t="s">
        <v>43</v>
      </c>
      <c r="E27" s="37">
        <f>640+640+320</f>
        <v>1600</v>
      </c>
      <c r="F27" s="37">
        <v>0.0</v>
      </c>
      <c r="G27" s="37">
        <v>0.0</v>
      </c>
      <c r="H27" s="37">
        <v>0.0</v>
      </c>
      <c r="I27" s="37">
        <f t="shared" si="5"/>
        <v>1600</v>
      </c>
      <c r="J27" s="38">
        <f t="shared" si="2"/>
        <v>28</v>
      </c>
      <c r="K27" s="37">
        <f t="shared" si="3"/>
        <v>1572</v>
      </c>
    </row>
    <row r="28">
      <c r="A28" s="34">
        <v>46200.0</v>
      </c>
      <c r="B28" s="35" t="s">
        <v>48</v>
      </c>
      <c r="C28" s="39">
        <v>5.0</v>
      </c>
      <c r="D28" s="37" t="s">
        <v>43</v>
      </c>
      <c r="E28" s="37">
        <v>3200.0</v>
      </c>
      <c r="F28" s="37">
        <v>5120.0</v>
      </c>
      <c r="G28" s="37">
        <v>0.0</v>
      </c>
      <c r="H28" s="37">
        <v>300.0</v>
      </c>
      <c r="I28" s="37">
        <f t="shared" si="5"/>
        <v>8620</v>
      </c>
      <c r="J28" s="38">
        <f t="shared" si="2"/>
        <v>150.85</v>
      </c>
      <c r="K28" s="37">
        <f t="shared" si="3"/>
        <v>8469.15</v>
      </c>
    </row>
    <row r="29">
      <c r="A29" s="34">
        <v>46201.0</v>
      </c>
      <c r="B29" s="35" t="s">
        <v>49</v>
      </c>
      <c r="C29" s="41">
        <v>5.0</v>
      </c>
      <c r="D29" s="37" t="s">
        <v>43</v>
      </c>
      <c r="E29" s="37">
        <f>790+360+1500-100</f>
        <v>2550</v>
      </c>
      <c r="F29" s="37">
        <f>2560*2</f>
        <v>5120</v>
      </c>
      <c r="G29" s="37">
        <v>0.0</v>
      </c>
      <c r="H29" s="37">
        <v>200.0</v>
      </c>
      <c r="I29" s="37">
        <f t="shared" si="5"/>
        <v>7870</v>
      </c>
      <c r="J29" s="38">
        <f t="shared" si="2"/>
        <v>137.725</v>
      </c>
      <c r="K29" s="37">
        <f t="shared" si="3"/>
        <v>7732.275</v>
      </c>
    </row>
    <row r="30">
      <c r="A30" s="34">
        <v>46202.0</v>
      </c>
      <c r="B30" s="35" t="s">
        <v>42</v>
      </c>
      <c r="C30" s="39">
        <v>0.0</v>
      </c>
      <c r="D30" s="37" t="s">
        <v>43</v>
      </c>
      <c r="E30" s="37">
        <v>0.0</v>
      </c>
      <c r="F30" s="37">
        <v>0.0</v>
      </c>
      <c r="G30" s="37">
        <v>0.0</v>
      </c>
      <c r="H30" s="37">
        <v>0.0</v>
      </c>
      <c r="I30" s="37">
        <f t="shared" si="5"/>
        <v>0</v>
      </c>
      <c r="J30" s="38">
        <f t="shared" si="2"/>
        <v>0</v>
      </c>
      <c r="K30" s="37">
        <f t="shared" si="3"/>
        <v>0</v>
      </c>
    </row>
    <row r="31">
      <c r="A31" s="34">
        <v>46203.0</v>
      </c>
      <c r="B31" s="35" t="s">
        <v>44</v>
      </c>
      <c r="C31" s="36">
        <v>1.5</v>
      </c>
      <c r="D31" s="37" t="s">
        <v>43</v>
      </c>
      <c r="E31" s="42">
        <v>960.0</v>
      </c>
      <c r="F31" s="42">
        <v>1280.0</v>
      </c>
      <c r="G31" s="42">
        <v>0.0</v>
      </c>
      <c r="H31" s="42">
        <v>50.0</v>
      </c>
      <c r="I31" s="37">
        <f t="shared" si="5"/>
        <v>2290</v>
      </c>
      <c r="J31" s="38">
        <f t="shared" si="2"/>
        <v>40.075</v>
      </c>
      <c r="K31" s="37">
        <f t="shared" si="3"/>
        <v>2249.925</v>
      </c>
    </row>
    <row r="32">
      <c r="A32" s="43" t="s">
        <v>3</v>
      </c>
      <c r="B32" s="44"/>
      <c r="C32" s="45">
        <f>SUM(C2:C31)</f>
        <v>92.5</v>
      </c>
      <c r="D32" s="44"/>
      <c r="E32" s="28">
        <f t="shared" ref="E32:K32" si="6">sum(E2:E31)</f>
        <v>45330</v>
      </c>
      <c r="F32" s="28">
        <f t="shared" si="6"/>
        <v>59367</v>
      </c>
      <c r="G32" s="28">
        <f t="shared" si="6"/>
        <v>480</v>
      </c>
      <c r="H32" s="28">
        <f t="shared" si="6"/>
        <v>3325</v>
      </c>
      <c r="I32" s="28">
        <f t="shared" si="6"/>
        <v>108502</v>
      </c>
      <c r="J32" s="28">
        <f t="shared" si="6"/>
        <v>1898.785</v>
      </c>
      <c r="K32" s="28">
        <f t="shared" si="6"/>
        <v>106603.215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6" t="s">
        <v>50</v>
      </c>
      <c r="B1" s="47" t="s">
        <v>31</v>
      </c>
      <c r="C1" s="47" t="s">
        <v>51</v>
      </c>
      <c r="D1" s="47" t="s">
        <v>52</v>
      </c>
      <c r="E1" s="48" t="s">
        <v>53</v>
      </c>
      <c r="F1" s="47" t="s">
        <v>41</v>
      </c>
      <c r="G1" s="47" t="s">
        <v>54</v>
      </c>
      <c r="H1" s="47" t="s">
        <v>55</v>
      </c>
      <c r="I1" s="47" t="s">
        <v>56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/>
      <c r="B2" s="51" t="s">
        <v>0</v>
      </c>
      <c r="C2" s="52">
        <v>74190.0</v>
      </c>
      <c r="D2" s="52">
        <v>4877.0</v>
      </c>
      <c r="E2" s="53">
        <v>1755.0</v>
      </c>
      <c r="F2" s="54">
        <f>C2-D2-E2</f>
        <v>67558</v>
      </c>
      <c r="G2" s="52">
        <v>372.0</v>
      </c>
      <c r="H2" s="52">
        <v>74.0</v>
      </c>
      <c r="I2" s="52">
        <f>F2-G2-H2</f>
        <v>67112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5"/>
      <c r="B3" s="43" t="s">
        <v>3</v>
      </c>
      <c r="C3" s="56">
        <f>SUM(C2)</f>
        <v>74190</v>
      </c>
      <c r="D3" s="44"/>
      <c r="E3" s="44"/>
      <c r="F3" s="57">
        <f>SUM(F2)</f>
        <v>67558</v>
      </c>
      <c r="G3" s="44"/>
      <c r="H3" s="44"/>
      <c r="I3" s="56">
        <f>SUM(I2)</f>
        <v>67112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8" t="s">
        <v>4</v>
      </c>
      <c r="B5" s="58">
        <f>C3-B6</f>
        <v>47504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 t="s">
        <v>5</v>
      </c>
      <c r="B6" s="59">
        <v>26686.0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60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5.0"/>
    <col customWidth="1" min="4" max="4" width="8.88"/>
    <col customWidth="1" min="5" max="6" width="15.25"/>
  </cols>
  <sheetData>
    <row r="1">
      <c r="A1" s="47" t="s">
        <v>57</v>
      </c>
      <c r="B1" s="47" t="s">
        <v>58</v>
      </c>
      <c r="C1" s="47" t="s">
        <v>59</v>
      </c>
      <c r="D1" s="47" t="s">
        <v>60</v>
      </c>
      <c r="E1" s="61" t="s">
        <v>61</v>
      </c>
      <c r="F1" s="27" t="s">
        <v>40</v>
      </c>
      <c r="G1" s="27" t="s">
        <v>41</v>
      </c>
    </row>
    <row r="2">
      <c r="A2" s="19" t="s">
        <v>62</v>
      </c>
      <c r="B2" s="51" t="s">
        <v>63</v>
      </c>
      <c r="C2" s="51" t="s">
        <v>64</v>
      </c>
      <c r="D2" s="62">
        <v>46203.0</v>
      </c>
      <c r="E2" s="52">
        <v>12000.0</v>
      </c>
      <c r="F2" s="38">
        <f>E2*1.75%</f>
        <v>210</v>
      </c>
      <c r="G2" s="37">
        <f t="shared" ref="G2:G3" si="1">E2-F2</f>
        <v>11790</v>
      </c>
    </row>
    <row r="3">
      <c r="A3" s="20" t="s">
        <v>65</v>
      </c>
      <c r="B3" s="16" t="s">
        <v>66</v>
      </c>
      <c r="C3" s="16" t="s">
        <v>67</v>
      </c>
      <c r="D3" s="63" t="s">
        <v>68</v>
      </c>
      <c r="E3" s="64">
        <v>18800.0</v>
      </c>
      <c r="F3" s="38">
        <v>0.0</v>
      </c>
      <c r="G3" s="37">
        <f t="shared" si="1"/>
        <v>18800</v>
      </c>
    </row>
    <row r="4">
      <c r="A4" s="65" t="s">
        <v>3</v>
      </c>
      <c r="B4" s="66"/>
      <c r="C4" s="66"/>
      <c r="D4" s="66"/>
      <c r="E4" s="67">
        <f t="shared" ref="E4:G4" si="2">SUM(E2:E3)</f>
        <v>30800</v>
      </c>
      <c r="F4" s="68">
        <f t="shared" si="2"/>
        <v>210</v>
      </c>
      <c r="G4" s="69">
        <f t="shared" si="2"/>
        <v>30590</v>
      </c>
    </row>
  </sheetData>
  <drawing r:id="rId1"/>
</worksheet>
</file>