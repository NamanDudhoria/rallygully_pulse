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District" sheetId="4" r:id="rId8"/>
    <sheet state="visible" name="Misfits" sheetId="5" r:id="rId9"/>
  </sheets>
  <definedNames/>
  <calcPr/>
</workbook>
</file>

<file path=xl/sharedStrings.xml><?xml version="1.0" encoding="utf-8"?>
<sst xmlns="http://schemas.openxmlformats.org/spreadsheetml/2006/main" count="104" uniqueCount="69">
  <si>
    <t>Date: 1 - 28 Feb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</si>
  <si>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</si>
  <si>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</si>
  <si>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</si>
  <si>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</si>
  <si>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</si>
  <si>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</si>
  <si>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</si>
  <si>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</si>
  <si>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</si>
  <si>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</si>
  <si>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</si>
  <si>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</si>
  <si>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</si>
  <si>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</si>
  <si>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</si>
  <si>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</si>
  <si>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</si>
  <si>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</si>
  <si>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</si>
  <si>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</si>
  <si>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</si>
  <si>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</si>
  <si>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</si>
  <si>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</si>
  <si>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</si>
  <si>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</si>
  <si>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Expenses</t>
  </si>
  <si>
    <t>VM Salary</t>
  </si>
  <si>
    <t>Support Staff</t>
  </si>
  <si>
    <t>Marketing, Branding &amp; Community</t>
  </si>
  <si>
    <t xml:space="preserve">Balls </t>
  </si>
  <si>
    <t>Net Profit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</si>
  <si>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</si>
  <si>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</si>
  <si>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</si>
  <si>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</si>
  <si>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</si>
  <si>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</si>
  <si>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</si>
  <si>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</si>
  <si>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Sunday</t>
  </si>
  <si>
    <t>Monday</t>
  </si>
  <si>
    <t>Tuesday</t>
  </si>
  <si>
    <t>Wednesday</t>
  </si>
  <si>
    <t>Thursday</t>
  </si>
  <si>
    <t>Friday</t>
  </si>
  <si>
    <t>Saturday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</si>
  <si>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</si>
  <si>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</si>
  <si>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</si>
  <si>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</si>
  <si>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</si>
  <si>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</si>
  <si>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</si>
  <si>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1 - 9 Feb</t>
  </si>
  <si>
    <t>9 - 16 Feb</t>
  </si>
  <si>
    <t>16 - 23 Feb</t>
  </si>
  <si>
    <t>23 - 28 Feb</t>
  </si>
  <si>
    <t>Paid to District</t>
  </si>
  <si>
    <t>Commissions (₹)</t>
  </si>
  <si>
    <t>GST on Commission</t>
  </si>
  <si>
    <t>Final Amount (₹)</t>
  </si>
  <si>
    <t>1 - 15 Feb</t>
  </si>
  <si>
    <t>16 - 28 Feb</t>
  </si>
  <si>
    <t>Paid to Misfits (₹)</t>
  </si>
  <si>
    <t>Comission (20%)</t>
  </si>
  <si>
    <t xml:space="preserve">TDS </t>
  </si>
  <si>
    <t>1 - 28 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</si>
</sst>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gt;9999999][$₹]##\,##\,##\,##0;[&gt;99999][$₹]##\,##\,##0;[$₹]##,##0"/>
    <numFmt numFmtId="165" formatCode="[$₹]#,##0.00"/>
    <numFmt numFmtId="166" formatCode="[$₹]#,##0"/>
    <numFmt numFmtId="167" formatCode="d mmm"/>
    <numFmt numFmtId="168" formatCode="[&gt;9999999][$₹]##\,##\,##\,##0.00;[&gt;99999][$₹]##\,##\,##0.00;[$₹]##,##0.0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  <name val="Arial"/>
    </font>
    <font>
      <color rgb="FF000000"/>
      <name val="Arial"/>
    </font>
    <font>
      <sz val="10.0"/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readingOrder="0" vertical="bottom"/>
    </xf>
    <xf borderId="3" fillId="0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readingOrder="0" shrinkToFit="0" vertical="bottom" wrapText="1"/>
    </xf>
    <xf borderId="3" fillId="0" fontId="1" numFmtId="165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vertical="bottom"/>
    </xf>
    <xf borderId="3" fillId="0" fontId="3" numFmtId="166" xfId="0" applyAlignment="1" applyBorder="1" applyFont="1" applyNumberFormat="1">
      <alignment horizontal="right" vertical="bottom"/>
    </xf>
    <xf borderId="3" fillId="2" fontId="1" numFmtId="167" xfId="0" applyAlignment="1" applyBorder="1" applyFill="1" applyFont="1" applyNumberForma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2" fontId="1" numFmtId="9" xfId="0" applyAlignment="1" applyBorder="1" applyFill="1" applyFont="1" applyNumberFormat="1">
      <alignment horizontal="center" vertical="bottom"/>
    </xf>
    <xf borderId="3" fillId="2" fontId="1" numFmtId="3" xfId="0" applyAlignment="1" applyBorder="1" applyFill="1" applyFont="1" applyNumberFormat="1">
      <alignment horizontal="center" vertical="bottom"/>
    </xf>
    <xf borderId="3" fillId="2" fontId="1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0" fillId="3" fontId="4" numFmtId="0" xfId="0" applyFill="1" applyFont="1"/>
    <xf borderId="3" fillId="3" fontId="3" numFmtId="167" xfId="0" applyAlignment="1" applyBorder="1" applyFill="1" applyFont="1" applyNumberFormat="1">
      <alignment horizontal="right" vertical="bottom"/>
    </xf>
    <xf borderId="3" fillId="3" fontId="3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horizontal="right" readingOrder="0" vertical="bottom"/>
    </xf>
    <xf borderId="3" fillId="3" fontId="3" numFmtId="9" xfId="0" applyAlignment="1" applyBorder="1" applyFill="1" applyFont="1" applyNumberFormat="1">
      <alignment horizontal="right" readingOrder="0" vertical="bottom"/>
    </xf>
    <xf borderId="3" fillId="3" fontId="3" numFmtId="3" xfId="0" applyAlignment="1" applyBorder="1" applyFill="1" applyFont="1" applyNumberFormat="1">
      <alignment horizontal="right" readingOrder="0" vertical="bottom"/>
    </xf>
    <xf borderId="3" fillId="3" fontId="3" numFmtId="3" xfId="0" applyAlignment="1" applyBorder="1" applyFill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3" fillId="2" fontId="1" numFmtId="167" xfId="0" applyAlignment="1" applyBorder="1" applyFill="1" applyFont="1" applyNumberFormat="1">
      <alignment horizontal="right" vertical="bottom"/>
    </xf>
    <xf borderId="3" fillId="2" fontId="3" numFmtId="0" xfId="0" applyAlignment="1" applyBorder="1" applyFill="1" applyFont="1">
      <alignment vertical="bottom"/>
    </xf>
    <xf borderId="3" fillId="2" fontId="1" numFmtId="0" xfId="0" applyAlignment="1" applyBorder="1" applyFill="1" applyFont="1">
      <alignment horizontal="right" vertical="bottom"/>
    </xf>
    <xf borderId="3" fillId="2" fontId="3" numFmtId="9" xfId="0" applyAlignment="1" applyBorder="1" applyFill="1" applyFont="1" applyNumberFormat="1">
      <alignment vertical="bottom"/>
    </xf>
    <xf borderId="3" fillId="2" fontId="1" numFmtId="3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3" numFmtId="167" xfId="0" applyAlignment="1" applyFill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0" fillId="3" fontId="3" numFmtId="9" xfId="0" applyAlignment="1" applyFill="1" applyFont="1" applyNumberFormat="1">
      <alignment horizontal="right" vertical="bottom"/>
    </xf>
    <xf borderId="0" fillId="3" fontId="3" numFmtId="3" xfId="0" applyAlignment="1" applyFill="1" applyFont="1" applyNumberFormat="1">
      <alignment horizontal="right" vertical="bottom"/>
    </xf>
    <xf borderId="0" fillId="3" fontId="5" numFmtId="0" xfId="0" applyFill="1" applyFont="1"/>
    <xf borderId="3" fillId="2" fontId="6" numFmtId="0" xfId="0" applyAlignment="1" applyBorder="1" applyFill="1" applyFont="1">
      <alignment horizontal="center" readingOrder="0" vertical="bottom"/>
    </xf>
    <xf borderId="3" fillId="2" fontId="1" numFmtId="165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shrinkToFit="0" vertical="bottom" wrapText="0"/>
    </xf>
    <xf borderId="3" fillId="0" fontId="8" numFmtId="165" xfId="0" applyAlignment="1" applyBorder="1" applyFont="1" applyNumberFormat="1">
      <alignment vertical="bottom"/>
    </xf>
    <xf borderId="3" fillId="0" fontId="8" numFmtId="165" xfId="0" applyAlignment="1" applyBorder="1" applyFont="1" applyNumberFormat="1">
      <alignment readingOrder="0" vertical="bottom"/>
    </xf>
    <xf borderId="3" fillId="0" fontId="8" numFmtId="168" xfId="0" applyAlignment="1" applyBorder="1" applyFont="1" applyNumberFormat="1">
      <alignment horizontal="right" readingOrder="0" vertical="bottom"/>
    </xf>
    <xf borderId="3" fillId="0" fontId="8" numFmtId="168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168" xfId="0" applyAlignment="1" applyBorder="1" applyFont="1" applyNumberFormat="1">
      <alignment horizontal="right" readingOrder="0" vertical="bottom"/>
    </xf>
    <xf borderId="3" fillId="2" fontId="1" numFmtId="0" xfId="0" applyAlignment="1" applyBorder="1" applyFill="1" applyFont="1">
      <alignment readingOrder="0" vertical="bottom"/>
    </xf>
    <xf borderId="3" fillId="2" fontId="1" numFmtId="168" xfId="0" applyAlignment="1" applyBorder="1" applyFill="1" applyFont="1" applyNumberFormat="1">
      <alignment horizontal="right" vertical="bottom"/>
    </xf>
    <xf borderId="3" fillId="2" fontId="1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0" fontId="1" numFmtId="168" xfId="0" applyAlignment="1" applyFont="1" applyNumberFormat="1">
      <alignment horizontal="right" vertical="bottom"/>
    </xf>
    <xf borderId="0" fillId="2" fontId="9" numFmtId="165" xfId="0" applyAlignment="1" applyFill="1" applyFont="1" applyNumberFormat="1">
      <alignment horizontal="center" readingOrder="0" vertical="bottom"/>
    </xf>
    <xf borderId="0" fillId="2" fontId="10" numFmtId="165" xfId="0" applyAlignment="1" applyFill="1" applyFont="1" applyNumberFormat="1">
      <alignment vertical="bottom"/>
    </xf>
    <xf borderId="0" fillId="2" fontId="1" numFmtId="165" xfId="0" applyAlignment="1" applyFill="1" applyFont="1" applyNumberFormat="1">
      <alignment horizontal="center" vertical="bottom"/>
    </xf>
    <xf borderId="0" fillId="0" fontId="3" numFmtId="167" xfId="0" applyAlignment="1" applyFont="1" applyNumberFormat="1">
      <alignment vertical="bottom"/>
    </xf>
    <xf borderId="3" fillId="0" fontId="3" numFmtId="168" xfId="0" applyAlignment="1" applyBorder="1" applyFont="1" applyNumberFormat="1">
      <alignment readingOrder="0" vertical="bottom"/>
    </xf>
    <xf borderId="3" fillId="0" fontId="3" numFmtId="168" xfId="0" applyAlignment="1" applyBorder="1" applyFont="1" applyNumberFormat="1">
      <alignment vertical="bottom"/>
    </xf>
    <xf borderId="3" fillId="2" fontId="1" numFmtId="165" xfId="0" applyAlignment="1" applyBorder="1" applyFill="1" applyFont="1" applyNumberFormat="1">
      <alignment horizontal="right" vertical="bottom"/>
    </xf>
    <xf borderId="3" fillId="2" fontId="1" numFmtId="168" xfId="0" applyAlignment="1" applyBorder="1" applyFill="1" applyFont="1" applyNumberFormat="1">
      <alignment vertical="bottom"/>
    </xf>
    <xf borderId="3" fillId="2" fontId="1" numFmtId="165" xfId="0" applyAlignment="1" applyBorder="1" applyFill="1" applyFont="1" applyNumberFormat="1">
      <alignment vertical="bottom"/>
    </xf>
    <xf borderId="3" fillId="0" fontId="1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k7gy76L2v7KKZ6RRsTl84ZzxWBkrlqRhMb17IrlM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j_T_3MCIe8POWPi3gjtCqbSy5rI8PZ8wj-nh5nqC4k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1" t="s">
        <v>0</v>
      </c>
      <c r="C2" s="2"/>
    </row>
    <row r="3">
      <c r="B3" s="3" t="s">
        <v>1</v>
      </c>
      <c r="C3" s="3" t="s">
        <v>2</v>
      </c>
    </row>
    <row r="4">
      <c r="B4" s="4" t="s">
        <v>3</v>
      </c>
      <c r="C4" s="5">
        <f>SUM(C5,C6,C7,C8)</f>
        <v>16510</v>
      </c>
    </row>
    <row r="5" outlineLevel="1">
      <c r="B5" s="6" t="s">
        <v>4</v>
      </c>
      <c r="C5" s="7">
        <f>'Offline &amp; RG Community'!G30</f>
        <v>4600</v>
      </c>
    </row>
    <row r="6" outlineLevel="1">
      <c r="B6" s="6" t="s">
        <v>5</v>
      </c>
      <c r="C6" s="8">
        <v>0.0</v>
      </c>
    </row>
    <row r="7" outlineLevel="1">
      <c r="B7" s="6" t="s">
        <v>6</v>
      </c>
      <c r="C7" s="8">
        <v>0.0</v>
      </c>
    </row>
    <row r="8" outlineLevel="1">
      <c r="B8" s="6" t="s">
        <v>7</v>
      </c>
      <c r="C8" s="7">
        <f>'Offline &amp; RG Community'!E30</f>
        <v>11910</v>
      </c>
    </row>
    <row r="9">
      <c r="B9" s="4" t="s">
        <v>8</v>
      </c>
      <c r="C9" s="5">
        <f>SUM(C10:C14)</f>
        <v>63000</v>
      </c>
    </row>
    <row r="10" outlineLevel="1">
      <c r="B10" s="6" t="s">
        <v>9</v>
      </c>
      <c r="C10" s="7">
        <f>Hudle!C6</f>
        <v>48600</v>
      </c>
    </row>
    <row r="11" outlineLevel="1">
      <c r="B11" s="6" t="s">
        <v>10</v>
      </c>
      <c r="C11" s="8">
        <v>0.0</v>
      </c>
    </row>
    <row r="12" outlineLevel="1">
      <c r="B12" s="6" t="s">
        <v>11</v>
      </c>
      <c r="C12" s="8">
        <f>District!C4</f>
        <v>14400</v>
      </c>
    </row>
    <row r="13" outlineLevel="1">
      <c r="B13" s="6" t="s">
        <v>12</v>
      </c>
      <c r="C13" s="8">
        <v>0.0</v>
      </c>
    </row>
    <row r="14">
      <c r="B14" s="9" t="s">
        <v>13</v>
      </c>
      <c r="C14" s="8">
        <v>0.0</v>
      </c>
    </row>
    <row r="15">
      <c r="B15" s="10" t="s">
        <v>14</v>
      </c>
      <c r="C15" s="5">
        <f>SUM(C17,C16,C18,C19)</f>
        <v>9460</v>
      </c>
    </row>
    <row r="16" outlineLevel="1">
      <c r="B16" s="11" t="s">
        <v>15</v>
      </c>
      <c r="C16" s="8">
        <v>0.0</v>
      </c>
    </row>
    <row r="17" outlineLevel="1">
      <c r="B17" s="11" t="s">
        <v>16</v>
      </c>
      <c r="C17" s="8">
        <v>0.0</v>
      </c>
    </row>
    <row r="18" outlineLevel="1">
      <c r="B18" s="11" t="s">
        <v>17</v>
      </c>
      <c r="C18" s="8">
        <v>0.0</v>
      </c>
    </row>
    <row r="19" outlineLevel="1">
      <c r="B19" s="6" t="s">
        <v>18</v>
      </c>
      <c r="C19" s="8">
        <f>Misfits!C2</f>
        <v>9460</v>
      </c>
    </row>
    <row r="20">
      <c r="B20" s="4" t="s">
        <v>19</v>
      </c>
      <c r="C20" s="12">
        <v>0.0</v>
      </c>
    </row>
    <row r="21">
      <c r="B21" s="11" t="s">
        <v>20</v>
      </c>
      <c r="C21" s="8">
        <v>0.0</v>
      </c>
    </row>
    <row r="22">
      <c r="B22" s="6" t="s">
        <v>21</v>
      </c>
      <c r="C22" s="8">
        <v>0.0</v>
      </c>
    </row>
    <row r="23">
      <c r="B23" s="6" t="s">
        <v>22</v>
      </c>
      <c r="C23" s="8">
        <v>0.0</v>
      </c>
    </row>
    <row r="24">
      <c r="B24" s="13" t="s">
        <v>23</v>
      </c>
      <c r="C24" s="14">
        <v>0.0</v>
      </c>
    </row>
    <row r="25">
      <c r="B25" s="4" t="s">
        <v>24</v>
      </c>
      <c r="C25" s="5">
        <f>sum(C4,C9,C20,C22,C23,C24,C15, C21)</f>
        <v>88970</v>
      </c>
    </row>
    <row r="26">
      <c r="B26" s="15" t="s">
        <v>25</v>
      </c>
      <c r="C26" s="16">
        <f>'Offline &amp; RG Community'!I30+Hudle!E6+District!F4 + Misfits!E2</f>
        <v>80551.94</v>
      </c>
    </row>
    <row r="27">
      <c r="B27" s="4" t="s">
        <v>26</v>
      </c>
      <c r="C27" s="5">
        <f>C26/1.18</f>
        <v>68264.35593</v>
      </c>
    </row>
    <row r="28">
      <c r="B28" s="6"/>
      <c r="C28" s="17"/>
    </row>
    <row r="29">
      <c r="B29" s="4" t="s">
        <v>27</v>
      </c>
      <c r="C29" s="17"/>
    </row>
    <row r="30">
      <c r="B30" s="6" t="s">
        <v>28</v>
      </c>
      <c r="C30" s="7">
        <v>20000.0</v>
      </c>
    </row>
    <row r="31">
      <c r="B31" s="6" t="s">
        <v>29</v>
      </c>
      <c r="C31" s="7">
        <v>10000.0</v>
      </c>
    </row>
    <row r="32">
      <c r="B32" s="6" t="s">
        <v>30</v>
      </c>
      <c r="C32" s="18">
        <v>10000.0</v>
      </c>
    </row>
    <row r="33">
      <c r="B33" s="6" t="s">
        <v>31</v>
      </c>
      <c r="C33" s="18">
        <v>4500.0</v>
      </c>
    </row>
    <row r="34">
      <c r="B34" s="6"/>
      <c r="C34" s="6"/>
    </row>
    <row r="35">
      <c r="B35" s="4" t="s">
        <v>32</v>
      </c>
      <c r="C35" s="5">
        <f>C27-(sum(C30:C33))</f>
        <v>23764.35593</v>
      </c>
    </row>
    <row r="36">
      <c r="B36" s="6"/>
      <c r="C36" s="6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9" t="s">
        <v>33</v>
      </c>
      <c r="B1" s="20" t="s">
        <v>34</v>
      </c>
      <c r="C1" s="20" t="s">
        <v>35</v>
      </c>
      <c r="D1" s="21" t="s">
        <v>36</v>
      </c>
      <c r="E1" s="22" t="s">
        <v>37</v>
      </c>
      <c r="F1" s="20" t="s">
        <v>38</v>
      </c>
      <c r="G1" s="22" t="s">
        <v>39</v>
      </c>
      <c r="H1" s="23" t="s">
        <v>5</v>
      </c>
      <c r="I1" s="24" t="s">
        <v>40</v>
      </c>
      <c r="J1" s="25"/>
      <c r="K1" s="25"/>
      <c r="L1" s="25"/>
      <c r="M1" s="25"/>
      <c r="N1" s="25"/>
      <c r="O1" s="25"/>
      <c r="P1" s="25"/>
      <c r="Q1" s="25"/>
    </row>
    <row r="2">
      <c r="A2" s="26">
        <v>46054.0</v>
      </c>
      <c r="B2" s="27" t="s">
        <v>41</v>
      </c>
      <c r="C2" s="28">
        <v>2.5</v>
      </c>
      <c r="D2" s="29">
        <v>0.2</v>
      </c>
      <c r="E2" s="30">
        <v>2460.0</v>
      </c>
      <c r="F2" s="28">
        <v>0.0</v>
      </c>
      <c r="G2" s="28">
        <v>750.0</v>
      </c>
      <c r="H2" s="30">
        <v>0.0</v>
      </c>
      <c r="I2" s="31">
        <f t="shared" ref="I2:I29" si="1">SUM(D2:H2)</f>
        <v>3210.2</v>
      </c>
      <c r="J2" s="32"/>
      <c r="K2" s="32"/>
      <c r="L2" s="25"/>
      <c r="M2" s="25"/>
      <c r="N2" s="25"/>
      <c r="O2" s="25"/>
      <c r="P2" s="25"/>
      <c r="Q2" s="25"/>
    </row>
    <row r="3">
      <c r="A3" s="26">
        <v>46055.0</v>
      </c>
      <c r="B3" s="27" t="s">
        <v>42</v>
      </c>
      <c r="C3" s="28">
        <v>1.5</v>
      </c>
      <c r="D3" s="29">
        <v>0.2</v>
      </c>
      <c r="E3" s="30">
        <v>1560.0</v>
      </c>
      <c r="F3" s="28">
        <v>0.0</v>
      </c>
      <c r="G3" s="30">
        <v>0.0</v>
      </c>
      <c r="H3" s="30">
        <v>0.0</v>
      </c>
      <c r="I3" s="31">
        <f t="shared" si="1"/>
        <v>1560.2</v>
      </c>
      <c r="J3" s="32"/>
      <c r="K3" s="32"/>
      <c r="L3" s="25"/>
      <c r="M3" s="25"/>
      <c r="N3" s="25"/>
      <c r="O3" s="25"/>
      <c r="P3" s="25"/>
      <c r="Q3" s="25"/>
    </row>
    <row r="4">
      <c r="A4" s="26">
        <v>46056.0</v>
      </c>
      <c r="B4" s="27" t="s">
        <v>43</v>
      </c>
      <c r="C4" s="28">
        <v>0.0</v>
      </c>
      <c r="D4" s="29">
        <v>0.2</v>
      </c>
      <c r="E4" s="30">
        <v>0.0</v>
      </c>
      <c r="F4" s="28">
        <v>0.0</v>
      </c>
      <c r="G4" s="30">
        <v>150.0</v>
      </c>
      <c r="H4" s="30">
        <v>0.0</v>
      </c>
      <c r="I4" s="31">
        <f t="shared" si="1"/>
        <v>150.2</v>
      </c>
      <c r="J4" s="32"/>
      <c r="K4" s="32"/>
      <c r="L4" s="25"/>
      <c r="M4" s="25"/>
      <c r="N4" s="25"/>
      <c r="O4" s="25"/>
      <c r="P4" s="25"/>
      <c r="Q4" s="25"/>
    </row>
    <row r="5">
      <c r="A5" s="26">
        <v>46057.0</v>
      </c>
      <c r="B5" s="27" t="s">
        <v>44</v>
      </c>
      <c r="C5" s="28">
        <v>1.5</v>
      </c>
      <c r="D5" s="29">
        <v>0.2</v>
      </c>
      <c r="E5" s="30">
        <v>1440.0</v>
      </c>
      <c r="F5" s="28">
        <v>0.0</v>
      </c>
      <c r="G5" s="30">
        <v>0.0</v>
      </c>
      <c r="H5" s="30">
        <v>0.0</v>
      </c>
      <c r="I5" s="31">
        <f t="shared" si="1"/>
        <v>1440.2</v>
      </c>
      <c r="J5" s="32"/>
      <c r="K5" s="32"/>
      <c r="L5" s="25"/>
      <c r="M5" s="25"/>
      <c r="N5" s="25"/>
      <c r="O5" s="25"/>
      <c r="P5" s="25"/>
      <c r="Q5" s="25"/>
    </row>
    <row r="6">
      <c r="A6" s="26">
        <v>46058.0</v>
      </c>
      <c r="B6" s="27" t="s">
        <v>45</v>
      </c>
      <c r="C6" s="28">
        <v>0.0</v>
      </c>
      <c r="D6" s="29">
        <v>0.2</v>
      </c>
      <c r="E6" s="30">
        <v>0.0</v>
      </c>
      <c r="F6" s="28">
        <v>0.0</v>
      </c>
      <c r="G6" s="30">
        <v>0.0</v>
      </c>
      <c r="H6" s="30">
        <v>0.0</v>
      </c>
      <c r="I6" s="31">
        <f t="shared" si="1"/>
        <v>0.2</v>
      </c>
      <c r="J6" s="32"/>
      <c r="K6" s="32"/>
      <c r="L6" s="25"/>
      <c r="M6" s="25"/>
      <c r="N6" s="25"/>
      <c r="O6" s="25"/>
      <c r="P6" s="25"/>
      <c r="Q6" s="25"/>
    </row>
    <row r="7">
      <c r="A7" s="26">
        <v>46059.0</v>
      </c>
      <c r="B7" s="27" t="s">
        <v>46</v>
      </c>
      <c r="C7" s="28">
        <v>0.0</v>
      </c>
      <c r="D7" s="29">
        <v>0.2</v>
      </c>
      <c r="E7" s="28">
        <v>0.0</v>
      </c>
      <c r="F7" s="28">
        <v>0.0</v>
      </c>
      <c r="G7" s="28">
        <v>150.0</v>
      </c>
      <c r="H7" s="30">
        <v>0.0</v>
      </c>
      <c r="I7" s="31">
        <f t="shared" si="1"/>
        <v>150.2</v>
      </c>
      <c r="J7" s="32"/>
      <c r="K7" s="32"/>
      <c r="L7" s="25"/>
      <c r="M7" s="25"/>
      <c r="N7" s="25"/>
      <c r="O7" s="25"/>
      <c r="P7" s="25"/>
      <c r="Q7" s="25"/>
    </row>
    <row r="8">
      <c r="A8" s="26">
        <v>46060.0</v>
      </c>
      <c r="B8" s="27" t="s">
        <v>47</v>
      </c>
      <c r="C8" s="28">
        <v>0.0</v>
      </c>
      <c r="D8" s="29">
        <v>0.2</v>
      </c>
      <c r="E8" s="30">
        <v>0.0</v>
      </c>
      <c r="F8" s="28"/>
      <c r="G8" s="30">
        <v>250.0</v>
      </c>
      <c r="H8" s="30">
        <v>0.0</v>
      </c>
      <c r="I8" s="31">
        <f t="shared" si="1"/>
        <v>250.2</v>
      </c>
      <c r="J8" s="25"/>
      <c r="K8" s="25"/>
      <c r="L8" s="25"/>
      <c r="M8" s="25"/>
      <c r="N8" s="25"/>
      <c r="O8" s="25"/>
      <c r="P8" s="25"/>
      <c r="Q8" s="25"/>
    </row>
    <row r="9">
      <c r="A9" s="26">
        <v>46061.0</v>
      </c>
      <c r="B9" s="27" t="s">
        <v>41</v>
      </c>
      <c r="C9" s="28">
        <v>1.0</v>
      </c>
      <c r="D9" s="29">
        <v>0.2</v>
      </c>
      <c r="E9" s="30">
        <v>960.0</v>
      </c>
      <c r="F9" s="28">
        <v>0.0</v>
      </c>
      <c r="G9" s="30">
        <v>650.0</v>
      </c>
      <c r="H9" s="30">
        <v>0.0</v>
      </c>
      <c r="I9" s="31">
        <f t="shared" si="1"/>
        <v>1610.2</v>
      </c>
      <c r="J9" s="25"/>
      <c r="K9" s="25"/>
      <c r="L9" s="25"/>
      <c r="M9" s="25"/>
      <c r="N9" s="25"/>
      <c r="O9" s="25"/>
      <c r="P9" s="25"/>
      <c r="Q9" s="25"/>
    </row>
    <row r="10">
      <c r="A10" s="26">
        <v>46062.0</v>
      </c>
      <c r="B10" s="27" t="s">
        <v>42</v>
      </c>
      <c r="C10" s="28">
        <v>0.0</v>
      </c>
      <c r="D10" s="29">
        <v>0.2</v>
      </c>
      <c r="E10" s="30">
        <v>0.0</v>
      </c>
      <c r="F10" s="28">
        <v>0.0</v>
      </c>
      <c r="G10" s="30">
        <v>100.0</v>
      </c>
      <c r="H10" s="30">
        <v>0.0</v>
      </c>
      <c r="I10" s="31">
        <f t="shared" si="1"/>
        <v>100.2</v>
      </c>
      <c r="J10" s="25"/>
      <c r="K10" s="25"/>
      <c r="L10" s="25"/>
      <c r="M10" s="25"/>
      <c r="N10" s="25"/>
      <c r="O10" s="25"/>
      <c r="P10" s="25"/>
      <c r="Q10" s="25"/>
    </row>
    <row r="11">
      <c r="A11" s="26">
        <v>46063.0</v>
      </c>
      <c r="B11" s="27" t="s">
        <v>43</v>
      </c>
      <c r="C11" s="28">
        <v>0.0</v>
      </c>
      <c r="D11" s="29">
        <v>0.2</v>
      </c>
      <c r="E11" s="30">
        <v>0.0</v>
      </c>
      <c r="F11" s="28">
        <v>0.0</v>
      </c>
      <c r="G11" s="28">
        <v>0.0</v>
      </c>
      <c r="H11" s="30">
        <v>0.0</v>
      </c>
      <c r="I11" s="31">
        <f t="shared" si="1"/>
        <v>0.2</v>
      </c>
      <c r="J11" s="25"/>
      <c r="K11" s="25"/>
      <c r="L11" s="25"/>
      <c r="M11" s="25"/>
      <c r="N11" s="25"/>
      <c r="O11" s="25"/>
      <c r="P11" s="25"/>
      <c r="Q11" s="25"/>
    </row>
    <row r="12">
      <c r="A12" s="26">
        <v>46064.0</v>
      </c>
      <c r="B12" s="27" t="s">
        <v>44</v>
      </c>
      <c r="C12" s="28">
        <v>0.0</v>
      </c>
      <c r="D12" s="29">
        <v>0.2</v>
      </c>
      <c r="E12" s="28">
        <v>0.0</v>
      </c>
      <c r="F12" s="28">
        <v>0.0</v>
      </c>
      <c r="G12" s="30">
        <v>0.0</v>
      </c>
      <c r="H12" s="30">
        <v>0.0</v>
      </c>
      <c r="I12" s="31">
        <f t="shared" si="1"/>
        <v>0.2</v>
      </c>
      <c r="J12" s="25"/>
      <c r="K12" s="25"/>
      <c r="L12" s="25"/>
      <c r="M12" s="25"/>
      <c r="N12" s="25"/>
      <c r="O12" s="25"/>
      <c r="P12" s="25"/>
      <c r="Q12" s="25"/>
    </row>
    <row r="13">
      <c r="A13" s="26">
        <v>46065.0</v>
      </c>
      <c r="B13" s="27" t="s">
        <v>45</v>
      </c>
      <c r="C13" s="28">
        <v>0.0</v>
      </c>
      <c r="D13" s="29">
        <v>0.2</v>
      </c>
      <c r="E13" s="30">
        <v>0.0</v>
      </c>
      <c r="F13" s="28">
        <v>0.0</v>
      </c>
      <c r="G13" s="30">
        <v>100.0</v>
      </c>
      <c r="H13" s="30">
        <v>0.0</v>
      </c>
      <c r="I13" s="31">
        <f t="shared" si="1"/>
        <v>100.2</v>
      </c>
      <c r="J13" s="25"/>
      <c r="K13" s="25"/>
      <c r="L13" s="25"/>
      <c r="M13" s="25"/>
      <c r="N13" s="25"/>
      <c r="O13" s="25"/>
      <c r="P13" s="25"/>
      <c r="Q13" s="25"/>
    </row>
    <row r="14">
      <c r="A14" s="26">
        <v>46066.0</v>
      </c>
      <c r="B14" s="27" t="s">
        <v>46</v>
      </c>
      <c r="C14" s="28">
        <v>0.0</v>
      </c>
      <c r="D14" s="29">
        <v>0.2</v>
      </c>
      <c r="E14" s="28">
        <v>0.0</v>
      </c>
      <c r="F14" s="28">
        <v>0.0</v>
      </c>
      <c r="G14" s="28">
        <v>0.0</v>
      </c>
      <c r="H14" s="30">
        <v>0.0</v>
      </c>
      <c r="I14" s="31">
        <f t="shared" si="1"/>
        <v>0.2</v>
      </c>
      <c r="J14" s="25"/>
      <c r="K14" s="25"/>
      <c r="L14" s="25"/>
      <c r="M14" s="25"/>
      <c r="N14" s="25"/>
      <c r="O14" s="25"/>
      <c r="P14" s="25"/>
      <c r="Q14" s="25"/>
    </row>
    <row r="15">
      <c r="A15" s="26">
        <v>46067.0</v>
      </c>
      <c r="B15" s="27" t="s">
        <v>47</v>
      </c>
      <c r="C15" s="28">
        <v>0.0</v>
      </c>
      <c r="D15" s="29">
        <v>0.2</v>
      </c>
      <c r="E15" s="28">
        <v>0.0</v>
      </c>
      <c r="F15" s="28">
        <v>0.0</v>
      </c>
      <c r="G15" s="28">
        <v>100.0</v>
      </c>
      <c r="H15" s="30">
        <v>0.0</v>
      </c>
      <c r="I15" s="31">
        <f t="shared" si="1"/>
        <v>100.2</v>
      </c>
      <c r="J15" s="25"/>
      <c r="K15" s="25"/>
      <c r="L15" s="25"/>
      <c r="M15" s="25"/>
      <c r="N15" s="25"/>
      <c r="O15" s="25"/>
      <c r="P15" s="25"/>
      <c r="Q15" s="25"/>
    </row>
    <row r="16">
      <c r="A16" s="26">
        <v>46068.0</v>
      </c>
      <c r="B16" s="27" t="s">
        <v>41</v>
      </c>
      <c r="C16" s="28">
        <v>0.0</v>
      </c>
      <c r="D16" s="29">
        <v>0.2</v>
      </c>
      <c r="E16" s="28">
        <v>0.0</v>
      </c>
      <c r="F16" s="28">
        <v>0.0</v>
      </c>
      <c r="G16" s="28">
        <v>400.0</v>
      </c>
      <c r="H16" s="30">
        <v>0.0</v>
      </c>
      <c r="I16" s="31">
        <f t="shared" si="1"/>
        <v>400.2</v>
      </c>
      <c r="J16" s="25"/>
      <c r="K16" s="25"/>
      <c r="L16" s="25"/>
      <c r="M16" s="25"/>
      <c r="N16" s="25"/>
      <c r="O16" s="25"/>
      <c r="P16" s="25"/>
      <c r="Q16" s="25"/>
    </row>
    <row r="17">
      <c r="A17" s="26">
        <v>46069.0</v>
      </c>
      <c r="B17" s="27" t="s">
        <v>42</v>
      </c>
      <c r="C17" s="28">
        <v>0.0</v>
      </c>
      <c r="D17" s="29">
        <v>0.2</v>
      </c>
      <c r="E17" s="28">
        <v>0.0</v>
      </c>
      <c r="F17" s="28">
        <v>0.0</v>
      </c>
      <c r="G17" s="28">
        <v>200.0</v>
      </c>
      <c r="H17" s="30">
        <v>0.0</v>
      </c>
      <c r="I17" s="31">
        <f t="shared" si="1"/>
        <v>200.2</v>
      </c>
      <c r="J17" s="25"/>
      <c r="K17" s="25"/>
      <c r="L17" s="25"/>
      <c r="M17" s="25"/>
      <c r="N17" s="25"/>
      <c r="O17" s="25"/>
      <c r="P17" s="25"/>
      <c r="Q17" s="25"/>
    </row>
    <row r="18">
      <c r="A18" s="26">
        <v>46070.0</v>
      </c>
      <c r="B18" s="27" t="s">
        <v>43</v>
      </c>
      <c r="C18" s="28">
        <v>0.0</v>
      </c>
      <c r="D18" s="29">
        <v>0.2</v>
      </c>
      <c r="E18" s="28">
        <v>0.0</v>
      </c>
      <c r="F18" s="28">
        <v>0.0</v>
      </c>
      <c r="G18" s="28">
        <v>0.0</v>
      </c>
      <c r="H18" s="30">
        <v>0.0</v>
      </c>
      <c r="I18" s="31">
        <f t="shared" si="1"/>
        <v>0.2</v>
      </c>
      <c r="J18" s="25"/>
      <c r="K18" s="25"/>
      <c r="L18" s="25"/>
      <c r="M18" s="25"/>
      <c r="N18" s="25"/>
      <c r="O18" s="25"/>
      <c r="P18" s="25"/>
      <c r="Q18" s="25"/>
    </row>
    <row r="19">
      <c r="A19" s="26">
        <v>46071.0</v>
      </c>
      <c r="B19" s="27" t="s">
        <v>44</v>
      </c>
      <c r="C19" s="28">
        <v>0.0</v>
      </c>
      <c r="D19" s="29">
        <v>0.2</v>
      </c>
      <c r="E19" s="28">
        <v>0.0</v>
      </c>
      <c r="F19" s="28">
        <v>0.0</v>
      </c>
      <c r="G19" s="28">
        <v>100.0</v>
      </c>
      <c r="H19" s="30">
        <v>0.0</v>
      </c>
      <c r="I19" s="31">
        <f t="shared" si="1"/>
        <v>100.2</v>
      </c>
      <c r="J19" s="25"/>
      <c r="K19" s="25"/>
      <c r="L19" s="25"/>
      <c r="M19" s="25"/>
      <c r="N19" s="25"/>
      <c r="O19" s="25"/>
      <c r="P19" s="25"/>
      <c r="Q19" s="25"/>
    </row>
    <row r="20">
      <c r="A20" s="26">
        <v>46072.0</v>
      </c>
      <c r="B20" s="27" t="s">
        <v>45</v>
      </c>
      <c r="C20" s="28">
        <v>0.0</v>
      </c>
      <c r="D20" s="29">
        <v>0.2</v>
      </c>
      <c r="E20" s="30">
        <v>0.0</v>
      </c>
      <c r="F20" s="28">
        <v>0.0</v>
      </c>
      <c r="G20" s="28">
        <v>100.0</v>
      </c>
      <c r="H20" s="30">
        <v>0.0</v>
      </c>
      <c r="I20" s="31">
        <f t="shared" si="1"/>
        <v>100.2</v>
      </c>
      <c r="J20" s="25"/>
      <c r="K20" s="25"/>
      <c r="L20" s="25"/>
      <c r="M20" s="25"/>
      <c r="N20" s="25"/>
      <c r="O20" s="25"/>
      <c r="P20" s="25"/>
      <c r="Q20" s="25"/>
    </row>
    <row r="21">
      <c r="A21" s="26">
        <v>46073.0</v>
      </c>
      <c r="B21" s="27" t="s">
        <v>46</v>
      </c>
      <c r="C21" s="28">
        <v>0.0</v>
      </c>
      <c r="D21" s="29">
        <v>0.2</v>
      </c>
      <c r="E21" s="30">
        <v>0.0</v>
      </c>
      <c r="F21" s="28">
        <v>0.0</v>
      </c>
      <c r="G21" s="28">
        <v>0.0</v>
      </c>
      <c r="H21" s="30">
        <v>0.0</v>
      </c>
      <c r="I21" s="31">
        <f t="shared" si="1"/>
        <v>0.2</v>
      </c>
      <c r="J21" s="25"/>
      <c r="K21" s="25"/>
      <c r="L21" s="25"/>
      <c r="M21" s="25"/>
      <c r="N21" s="25"/>
      <c r="O21" s="25"/>
      <c r="P21" s="25"/>
      <c r="Q21" s="25"/>
    </row>
    <row r="22">
      <c r="A22" s="26">
        <v>46074.0</v>
      </c>
      <c r="B22" s="27" t="s">
        <v>47</v>
      </c>
      <c r="C22" s="28">
        <v>1.0</v>
      </c>
      <c r="D22" s="29">
        <v>0.2</v>
      </c>
      <c r="E22" s="28">
        <v>950.0</v>
      </c>
      <c r="F22" s="28">
        <v>0.0</v>
      </c>
      <c r="G22" s="28">
        <v>100.0</v>
      </c>
      <c r="H22" s="30">
        <v>0.0</v>
      </c>
      <c r="I22" s="31">
        <f t="shared" si="1"/>
        <v>1050.2</v>
      </c>
      <c r="J22" s="25"/>
      <c r="K22" s="25"/>
      <c r="L22" s="25"/>
      <c r="M22" s="25"/>
      <c r="N22" s="25"/>
      <c r="O22" s="25"/>
      <c r="P22" s="25"/>
      <c r="Q22" s="25"/>
    </row>
    <row r="23">
      <c r="A23" s="26">
        <v>46075.0</v>
      </c>
      <c r="B23" s="27" t="s">
        <v>41</v>
      </c>
      <c r="C23" s="28">
        <v>0.0</v>
      </c>
      <c r="D23" s="29">
        <v>0.2</v>
      </c>
      <c r="E23" s="28">
        <v>0.0</v>
      </c>
      <c r="F23" s="28">
        <v>0.0</v>
      </c>
      <c r="G23" s="28">
        <v>100.0</v>
      </c>
      <c r="H23" s="30">
        <v>0.0</v>
      </c>
      <c r="I23" s="31">
        <f t="shared" si="1"/>
        <v>100.2</v>
      </c>
      <c r="J23" s="25"/>
      <c r="K23" s="25"/>
      <c r="L23" s="25"/>
      <c r="M23" s="25"/>
      <c r="N23" s="25"/>
      <c r="O23" s="25"/>
      <c r="P23" s="25"/>
      <c r="Q23" s="25"/>
    </row>
    <row r="24">
      <c r="A24" s="26">
        <v>46076.0</v>
      </c>
      <c r="B24" s="27" t="s">
        <v>42</v>
      </c>
      <c r="C24" s="28">
        <v>0.0</v>
      </c>
      <c r="D24" s="29">
        <v>0.2</v>
      </c>
      <c r="E24" s="30">
        <v>0.0</v>
      </c>
      <c r="F24" s="28">
        <v>0.0</v>
      </c>
      <c r="G24" s="28">
        <v>100.0</v>
      </c>
      <c r="H24" s="30">
        <v>0.0</v>
      </c>
      <c r="I24" s="31">
        <f t="shared" si="1"/>
        <v>100.2</v>
      </c>
      <c r="J24" s="25"/>
      <c r="K24" s="25"/>
      <c r="L24" s="25"/>
      <c r="M24" s="25"/>
      <c r="N24" s="25"/>
      <c r="O24" s="25"/>
      <c r="P24" s="25"/>
      <c r="Q24" s="25"/>
    </row>
    <row r="25">
      <c r="A25" s="26">
        <v>46077.0</v>
      </c>
      <c r="B25" s="27" t="s">
        <v>43</v>
      </c>
      <c r="C25" s="28">
        <v>0.5</v>
      </c>
      <c r="D25" s="29">
        <v>0.2</v>
      </c>
      <c r="E25" s="30">
        <v>600.0</v>
      </c>
      <c r="F25" s="28">
        <v>0.0</v>
      </c>
      <c r="G25" s="28">
        <v>200.0</v>
      </c>
      <c r="H25" s="30">
        <v>0.0</v>
      </c>
      <c r="I25" s="31">
        <f t="shared" si="1"/>
        <v>800.2</v>
      </c>
      <c r="J25" s="25"/>
      <c r="K25" s="25"/>
      <c r="L25" s="25"/>
      <c r="M25" s="25"/>
      <c r="N25" s="25"/>
      <c r="O25" s="25"/>
      <c r="P25" s="25"/>
      <c r="Q25" s="25"/>
    </row>
    <row r="26">
      <c r="A26" s="26">
        <v>46078.0</v>
      </c>
      <c r="B26" s="27" t="s">
        <v>44</v>
      </c>
      <c r="C26" s="28">
        <v>1.0</v>
      </c>
      <c r="D26" s="29">
        <v>0.2</v>
      </c>
      <c r="E26" s="28">
        <v>950.0</v>
      </c>
      <c r="F26" s="28">
        <v>0.0</v>
      </c>
      <c r="G26" s="28">
        <v>200.0</v>
      </c>
      <c r="H26" s="28">
        <v>0.0</v>
      </c>
      <c r="I26" s="31">
        <f t="shared" si="1"/>
        <v>1150.2</v>
      </c>
      <c r="J26" s="25"/>
      <c r="K26" s="25"/>
      <c r="L26" s="25"/>
      <c r="M26" s="25"/>
      <c r="N26" s="25"/>
      <c r="O26" s="25"/>
      <c r="P26" s="25"/>
      <c r="Q26" s="25"/>
    </row>
    <row r="27">
      <c r="A27" s="26">
        <v>46079.0</v>
      </c>
      <c r="B27" s="27" t="s">
        <v>45</v>
      </c>
      <c r="C27" s="28">
        <v>0.0</v>
      </c>
      <c r="D27" s="29">
        <v>0.2</v>
      </c>
      <c r="E27" s="28">
        <v>0.0</v>
      </c>
      <c r="F27" s="28">
        <v>0.0</v>
      </c>
      <c r="G27" s="28">
        <v>0.0</v>
      </c>
      <c r="H27" s="30">
        <v>0.0</v>
      </c>
      <c r="I27" s="31">
        <f t="shared" si="1"/>
        <v>0.2</v>
      </c>
      <c r="J27" s="25"/>
      <c r="K27" s="25"/>
      <c r="L27" s="25"/>
      <c r="M27" s="25"/>
      <c r="N27" s="25"/>
      <c r="O27" s="25"/>
      <c r="P27" s="25"/>
      <c r="Q27" s="25"/>
    </row>
    <row r="28">
      <c r="A28" s="26">
        <v>46080.0</v>
      </c>
      <c r="B28" s="27" t="s">
        <v>46</v>
      </c>
      <c r="C28" s="28">
        <v>2.0</v>
      </c>
      <c r="D28" s="29">
        <v>0.2</v>
      </c>
      <c r="E28" s="28">
        <v>2040.0</v>
      </c>
      <c r="F28" s="28">
        <v>0.0</v>
      </c>
      <c r="G28" s="28">
        <v>400.0</v>
      </c>
      <c r="H28" s="30">
        <v>0.0</v>
      </c>
      <c r="I28" s="31">
        <f t="shared" si="1"/>
        <v>2440.2</v>
      </c>
      <c r="J28" s="25"/>
      <c r="K28" s="25"/>
      <c r="L28" s="25"/>
      <c r="M28" s="25"/>
      <c r="N28" s="25"/>
      <c r="O28" s="25"/>
      <c r="P28" s="25"/>
      <c r="Q28" s="25"/>
    </row>
    <row r="29">
      <c r="A29" s="26">
        <v>46081.0</v>
      </c>
      <c r="B29" s="27" t="s">
        <v>47</v>
      </c>
      <c r="C29" s="28">
        <v>1.0</v>
      </c>
      <c r="D29" s="29">
        <v>0.2</v>
      </c>
      <c r="E29" s="28">
        <v>950.0</v>
      </c>
      <c r="F29" s="28">
        <v>0.0</v>
      </c>
      <c r="G29" s="28">
        <v>450.0</v>
      </c>
      <c r="H29" s="30">
        <v>0.0</v>
      </c>
      <c r="I29" s="31">
        <f t="shared" si="1"/>
        <v>1400.2</v>
      </c>
      <c r="J29" s="25"/>
      <c r="K29" s="25"/>
      <c r="L29" s="25"/>
      <c r="M29" s="25"/>
      <c r="N29" s="25"/>
      <c r="O29" s="25"/>
      <c r="P29" s="25"/>
      <c r="Q29" s="25"/>
    </row>
    <row r="30">
      <c r="A30" s="33" t="s">
        <v>48</v>
      </c>
      <c r="B30" s="34"/>
      <c r="C30" s="35">
        <f>SUM(C2:C29)</f>
        <v>12</v>
      </c>
      <c r="D30" s="36"/>
      <c r="E30" s="37">
        <f t="shared" ref="E30:I30" si="2">SUM(E2:E29)</f>
        <v>11910</v>
      </c>
      <c r="F30" s="35">
        <f t="shared" si="2"/>
        <v>0</v>
      </c>
      <c r="G30" s="35">
        <f t="shared" si="2"/>
        <v>4600</v>
      </c>
      <c r="H30" s="37">
        <f t="shared" si="2"/>
        <v>0</v>
      </c>
      <c r="I30" s="37">
        <f t="shared" si="2"/>
        <v>16515.6</v>
      </c>
      <c r="J30" s="38"/>
      <c r="K30" s="38"/>
      <c r="L30" s="38"/>
      <c r="M30" s="38"/>
      <c r="N30" s="38"/>
      <c r="O30" s="38"/>
      <c r="P30" s="38"/>
      <c r="Q30" s="25"/>
    </row>
    <row r="31">
      <c r="A31" s="39"/>
      <c r="B31" s="40"/>
      <c r="C31" s="41"/>
      <c r="D31" s="42"/>
      <c r="E31" s="41"/>
      <c r="F31" s="41"/>
      <c r="G31" s="41"/>
      <c r="H31" s="43"/>
      <c r="I31" s="43"/>
      <c r="J31" s="25"/>
      <c r="K31" s="25"/>
      <c r="L31" s="25"/>
      <c r="M31" s="25"/>
      <c r="N31" s="25"/>
      <c r="O31" s="25"/>
      <c r="P31" s="25"/>
      <c r="Q31" s="25"/>
    </row>
    <row r="32">
      <c r="A32" s="39"/>
      <c r="B32" s="40"/>
      <c r="C32" s="41"/>
      <c r="D32" s="42"/>
      <c r="E32" s="41"/>
      <c r="F32" s="41"/>
      <c r="G32" s="41"/>
      <c r="H32" s="43"/>
      <c r="I32" s="43"/>
      <c r="J32" s="44"/>
      <c r="K32" s="44"/>
      <c r="L32" s="44"/>
      <c r="M32" s="44"/>
      <c r="N32" s="44"/>
      <c r="O32" s="44"/>
      <c r="P32" s="44"/>
      <c r="Q32" s="44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4" max="4" width="23.88"/>
    <col customWidth="1" min="5" max="5" width="11.13"/>
  </cols>
  <sheetData>
    <row r="1">
      <c r="A1" s="45" t="s">
        <v>49</v>
      </c>
      <c r="B1" s="20" t="s">
        <v>33</v>
      </c>
      <c r="C1" s="20" t="s">
        <v>50</v>
      </c>
      <c r="D1" s="20" t="s">
        <v>51</v>
      </c>
      <c r="E1" s="20" t="s">
        <v>52</v>
      </c>
      <c r="F1" s="20" t="s">
        <v>53</v>
      </c>
      <c r="G1" s="20" t="s">
        <v>54</v>
      </c>
      <c r="H1" s="46" t="s">
        <v>2</v>
      </c>
      <c r="I1" s="47"/>
    </row>
    <row r="2">
      <c r="A2" s="48"/>
      <c r="B2" s="49" t="s">
        <v>55</v>
      </c>
      <c r="C2" s="50">
        <v>15120.0</v>
      </c>
      <c r="D2" s="50">
        <v>1965.6</v>
      </c>
      <c r="E2" s="51">
        <f t="shared" ref="E2:E5" si="1">C2-D2</f>
        <v>13154.4</v>
      </c>
      <c r="F2" s="50">
        <v>13.83</v>
      </c>
      <c r="G2" s="50">
        <v>69.15</v>
      </c>
      <c r="H2" s="52">
        <v>14115.4</v>
      </c>
    </row>
    <row r="3">
      <c r="A3" s="53"/>
      <c r="B3" s="9" t="s">
        <v>56</v>
      </c>
      <c r="C3" s="9">
        <v>11040.0</v>
      </c>
      <c r="D3" s="9">
        <v>1435.2</v>
      </c>
      <c r="E3" s="51">
        <f t="shared" si="1"/>
        <v>9604.8</v>
      </c>
      <c r="F3" s="9">
        <v>9.35</v>
      </c>
      <c r="G3" s="9">
        <v>46.77</v>
      </c>
      <c r="H3" s="9">
        <v>9548.68</v>
      </c>
    </row>
    <row r="4">
      <c r="A4" s="9"/>
      <c r="B4" s="9" t="s">
        <v>57</v>
      </c>
      <c r="C4" s="54">
        <v>15840.0</v>
      </c>
      <c r="D4" s="9">
        <v>2059.2</v>
      </c>
      <c r="E4" s="51">
        <f t="shared" si="1"/>
        <v>13780.8</v>
      </c>
      <c r="F4" s="9">
        <v>13.42</v>
      </c>
      <c r="G4" s="9">
        <v>67.11</v>
      </c>
      <c r="H4" s="54">
        <v>13700.28</v>
      </c>
    </row>
    <row r="5">
      <c r="A5" s="6"/>
      <c r="B5" s="11" t="s">
        <v>58</v>
      </c>
      <c r="C5" s="55">
        <v>6600.0</v>
      </c>
      <c r="D5" s="9">
        <v>748.8</v>
      </c>
      <c r="E5" s="51">
        <f t="shared" si="1"/>
        <v>5851.2</v>
      </c>
      <c r="F5" s="9">
        <v>4.88</v>
      </c>
      <c r="G5" s="9">
        <v>24.4</v>
      </c>
      <c r="H5" s="54">
        <v>4981.92</v>
      </c>
    </row>
    <row r="6">
      <c r="A6" s="6"/>
      <c r="B6" s="56" t="s">
        <v>48</v>
      </c>
      <c r="C6" s="57">
        <f>SUM(C2:C5)</f>
        <v>48600</v>
      </c>
      <c r="D6" s="58"/>
      <c r="E6" s="57">
        <f>SUM(E2:E5)</f>
        <v>42391.2</v>
      </c>
      <c r="F6" s="59"/>
      <c r="G6" s="59"/>
      <c r="H6" s="57">
        <f>SUM(H2:H5)</f>
        <v>42346.28</v>
      </c>
    </row>
    <row r="7">
      <c r="E7" s="60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75"/>
    <col customWidth="1" min="4" max="4" width="14.38"/>
    <col customWidth="1" min="5" max="6" width="16.0"/>
    <col customWidth="1" min="9" max="9" width="14.13"/>
  </cols>
  <sheetData>
    <row r="1">
      <c r="A1" s="61" t="s">
        <v>49</v>
      </c>
      <c r="B1" s="46" t="s">
        <v>33</v>
      </c>
      <c r="C1" s="46" t="s">
        <v>59</v>
      </c>
      <c r="D1" s="46" t="s">
        <v>60</v>
      </c>
      <c r="E1" s="62" t="s">
        <v>61</v>
      </c>
      <c r="F1" s="46" t="s">
        <v>52</v>
      </c>
      <c r="G1" s="63" t="s">
        <v>54</v>
      </c>
      <c r="H1" s="63" t="s">
        <v>53</v>
      </c>
      <c r="I1" s="46" t="s">
        <v>62</v>
      </c>
    </row>
    <row r="2">
      <c r="A2" s="64"/>
      <c r="B2" s="9" t="s">
        <v>63</v>
      </c>
      <c r="C2" s="54">
        <v>9600.0</v>
      </c>
      <c r="D2" s="9">
        <v>177.6</v>
      </c>
      <c r="E2" s="65">
        <v>31.98</v>
      </c>
      <c r="F2" s="66">
        <f t="shared" ref="F2:F3" si="1">C2-D2-E2</f>
        <v>9390.42</v>
      </c>
      <c r="G2" s="9">
        <v>44.4</v>
      </c>
      <c r="H2" s="9">
        <v>8.88</v>
      </c>
      <c r="I2" s="9">
        <v>8617.14</v>
      </c>
    </row>
    <row r="3">
      <c r="A3" s="38"/>
      <c r="B3" s="11" t="s">
        <v>64</v>
      </c>
      <c r="C3" s="54">
        <v>4800.0</v>
      </c>
      <c r="D3" s="9">
        <v>96.0</v>
      </c>
      <c r="E3" s="65">
        <v>17.28</v>
      </c>
      <c r="F3" s="66">
        <f t="shared" si="1"/>
        <v>4686.72</v>
      </c>
      <c r="G3" s="9">
        <v>24.0</v>
      </c>
      <c r="H3" s="9">
        <v>4.8</v>
      </c>
      <c r="I3" s="9">
        <v>4657.92</v>
      </c>
    </row>
    <row r="4">
      <c r="A4" s="38"/>
      <c r="B4" s="58" t="s">
        <v>48</v>
      </c>
      <c r="C4" s="67">
        <f>SUM(C2:C3)</f>
        <v>14400</v>
      </c>
      <c r="D4" s="59"/>
      <c r="E4" s="58"/>
      <c r="F4" s="68">
        <f>SUM(F2:F3)</f>
        <v>14077.14</v>
      </c>
      <c r="G4" s="35"/>
      <c r="H4" s="59"/>
      <c r="I4" s="69">
        <f>SUM(I2:I3)</f>
        <v>13275.06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8.5"/>
    <col customWidth="1" min="7" max="7" width="14.13"/>
  </cols>
  <sheetData>
    <row r="1">
      <c r="A1" s="45" t="s">
        <v>49</v>
      </c>
      <c r="B1" s="20" t="s">
        <v>33</v>
      </c>
      <c r="C1" s="20" t="s">
        <v>65</v>
      </c>
      <c r="D1" s="23" t="s">
        <v>66</v>
      </c>
      <c r="E1" s="20" t="s">
        <v>52</v>
      </c>
      <c r="F1" s="20" t="s">
        <v>67</v>
      </c>
      <c r="G1" s="20" t="s">
        <v>62</v>
      </c>
    </row>
    <row r="2">
      <c r="A2" s="6"/>
      <c r="B2" s="53" t="s">
        <v>68</v>
      </c>
      <c r="C2" s="12">
        <v>9460.0</v>
      </c>
      <c r="D2" s="11">
        <v>1892.0</v>
      </c>
      <c r="E2" s="5">
        <f>C2-D2</f>
        <v>7568</v>
      </c>
      <c r="F2" s="11">
        <v>189.2</v>
      </c>
      <c r="G2" s="70">
        <f>E2-F2</f>
        <v>7378.8</v>
      </c>
    </row>
  </sheetData>
  <hyperlinks>
    <hyperlink r:id="rId1" ref="A1"/>
  </hyperlinks>
  <drawing r:id="rId2"/>
</worksheet>
</file>