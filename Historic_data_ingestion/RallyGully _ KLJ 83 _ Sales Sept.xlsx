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Memberships" sheetId="4" r:id="rId8"/>
    <sheet state="visible" name="Corporate Events" sheetId="5" r:id="rId9"/>
  </sheets>
  <definedNames/>
  <calcPr/>
</workbook>
</file>

<file path=xl/sharedStrings.xml><?xml version="1.0" encoding="utf-8"?>
<sst xmlns="http://schemas.openxmlformats.org/spreadsheetml/2006/main" count="113" uniqueCount="78">
  <si>
    <t>Date</t>
  </si>
  <si>
    <t>Member Name</t>
  </si>
  <si>
    <t>Link</t>
  </si>
  <si>
    <t>1 - 30 Sept</t>
  </si>
  <si>
    <t>Sports Type</t>
  </si>
  <si>
    <t>Day</t>
  </si>
  <si>
    <t>Membership Type</t>
  </si>
  <si>
    <t>Offline booking hours</t>
  </si>
  <si>
    <t>Amount Collected</t>
  </si>
  <si>
    <t>Booking Revenue</t>
  </si>
  <si>
    <t>Particulars</t>
  </si>
  <si>
    <t>Booking Revenue (Turf)</t>
  </si>
  <si>
    <t>Payment Gateway</t>
  </si>
  <si>
    <t>Community Revenue</t>
  </si>
  <si>
    <t>Amount</t>
  </si>
  <si>
    <t xml:space="preserve">Paddle Rental </t>
  </si>
  <si>
    <t>Net Revenue</t>
  </si>
  <si>
    <t>Total Revenue</t>
  </si>
  <si>
    <t>Karan</t>
  </si>
  <si>
    <t>Box Cricket</t>
  </si>
  <si>
    <t>12 Hours</t>
  </si>
  <si>
    <t>Total</t>
  </si>
  <si>
    <t>Pickleball</t>
  </si>
  <si>
    <t>Turf</t>
  </si>
  <si>
    <t>Pay &amp; Play</t>
  </si>
  <si>
    <t>Tuesday</t>
  </si>
  <si>
    <t>ISH</t>
  </si>
  <si>
    <t>Paid to District</t>
  </si>
  <si>
    <t>Turf and Pickleball</t>
  </si>
  <si>
    <t>Custom</t>
  </si>
  <si>
    <t xml:space="preserve">Online </t>
  </si>
  <si>
    <t>Commissions (₹)</t>
  </si>
  <si>
    <t>GST on Commission</t>
  </si>
  <si>
    <t>TCS</t>
  </si>
  <si>
    <t>TDS</t>
  </si>
  <si>
    <t>Final Amount (₹)</t>
  </si>
  <si>
    <t>District</t>
  </si>
  <si>
    <t>Wednesday</t>
  </si>
  <si>
    <t>Thursday</t>
  </si>
  <si>
    <t>Friday</t>
  </si>
  <si>
    <t>Hudle</t>
  </si>
  <si>
    <t>Saturday</t>
  </si>
  <si>
    <t>Playo</t>
  </si>
  <si>
    <t>Khelomore</t>
  </si>
  <si>
    <t>Zplys</t>
  </si>
  <si>
    <t>Sunday</t>
  </si>
  <si>
    <t>Offline</t>
  </si>
  <si>
    <t>Monday</t>
  </si>
  <si>
    <t>Bookings</t>
  </si>
  <si>
    <t>Memberships</t>
  </si>
  <si>
    <t>Community</t>
  </si>
  <si>
    <t>Report Not received</t>
  </si>
  <si>
    <t>Pickup games</t>
  </si>
  <si>
    <t>Social Events/Tournaments</t>
  </si>
  <si>
    <t>Community Partnerships</t>
  </si>
  <si>
    <t>Academy</t>
  </si>
  <si>
    <t>Events &amp; Partnership</t>
  </si>
  <si>
    <t>Start Month</t>
  </si>
  <si>
    <t>Partnership Type</t>
  </si>
  <si>
    <t>Name of Brand/Person</t>
  </si>
  <si>
    <t>Deliverables</t>
  </si>
  <si>
    <t>Amount (₹)</t>
  </si>
  <si>
    <t>Corporate events</t>
  </si>
  <si>
    <t>24 Sept</t>
  </si>
  <si>
    <t>Team Event</t>
  </si>
  <si>
    <t>Bio Gas KLJ</t>
  </si>
  <si>
    <t>1.5 hours of Turf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</si>
  <si>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</si>
  <si>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</si>
  <si>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</si>
  <si>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</si>
  <si>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</si>
  <si>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</si>
  <si>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</si>
  <si>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>GST (B)</t>
  </si>
  <si>
    <t>Net Revenue Post GST</t>
  </si>
  <si>
    <t>Commissions, Payment gateway &amp; Event Expense(C)</t>
  </si>
  <si>
    <t>Net Revenue (A-B-C)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</si>
</sst>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0"/>
    <numFmt numFmtId="165" formatCode="[$₹]#,##0"/>
    <numFmt numFmtId="166" formatCode="[$₹]#,##0.0"/>
    <numFmt numFmtId="167" formatCode="[&gt;9999999][$₹]##\,##\,##\,##0;[&gt;99999][$₹]##\,##\,##0;[$₹]##,##0"/>
    <numFmt numFmtId="168" formatCode="d mmmm"/>
    <numFmt numFmtId="169" formatCode="d mmm"/>
    <numFmt numFmtId="170" formatCode="[&gt;9999999][$₹]##\,##\,##\,##0.00;[&gt;99999][$₹]##\,##\,##0.00;[$₹]#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1" fillId="2" fontId="2" numFmtId="165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4" numFmtId="0" xfId="0" applyBorder="1" applyFill="1" applyFont="1"/>
    <xf borderId="1" fillId="2" fontId="2" numFmtId="3" xfId="0" applyAlignment="1" applyBorder="1" applyFill="1" applyFont="1" applyNumberFormat="1">
      <alignment horizontal="center" vertical="bottom"/>
    </xf>
    <xf borderId="1" fillId="2" fontId="2" numFmtId="0" xfId="0" applyAlignment="1" applyBorder="1" applyFill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0" fontId="4" numFmtId="0" xfId="0" applyBorder="1" applyFont="1"/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164" xfId="0" applyAlignment="1" applyBorder="1" applyFont="1" applyNumberForma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166" xfId="0" applyAlignment="1" applyBorder="1" applyFill="1" applyFont="1" applyNumberFormat="1">
      <alignment vertical="bottom"/>
    </xf>
    <xf borderId="1" fillId="0" fontId="5" numFmtId="165" xfId="0" applyAlignment="1" applyBorder="1" applyFont="1" applyNumberFormat="1">
      <alignment horizontal="right" vertical="bottom"/>
    </xf>
    <xf borderId="1" fillId="2" fontId="2" numFmtId="167" xfId="0" applyAlignment="1" applyBorder="1" applyFill="1" applyFont="1" applyNumberFormat="1">
      <alignment horizontal="center" readingOrder="0" vertical="bottom"/>
    </xf>
    <xf borderId="1" fillId="2" fontId="1" numFmtId="0" xfId="0" applyAlignment="1" applyBorder="1" applyFill="1" applyFont="1">
      <alignment horizontal="center" readingOrder="0"/>
    </xf>
    <xf borderId="1" fillId="0" fontId="5" numFmtId="164" xfId="0" applyAlignment="1" applyBorder="1" applyFont="1" applyNumberFormat="1">
      <alignment horizontal="right" vertical="bottom"/>
    </xf>
    <xf borderId="1" fillId="2" fontId="2" numFmtId="0" xfId="0" applyAlignment="1" applyBorder="1" applyFill="1" applyFont="1">
      <alignment horizontal="center" readingOrder="0" vertical="bottom"/>
    </xf>
    <xf borderId="1" fillId="3" fontId="5" numFmtId="168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3" fontId="5" numFmtId="165" xfId="0" applyAlignment="1" applyBorder="1" applyFill="1" applyFont="1" applyNumberFormat="1">
      <alignment vertical="bottom"/>
    </xf>
    <xf borderId="1" fillId="3" fontId="5" numFmtId="4" xfId="0" applyAlignment="1" applyBorder="1" applyFill="1" applyFont="1" applyNumberFormat="1">
      <alignment horizontal="right" vertical="bottom"/>
    </xf>
    <xf borderId="1" fillId="0" fontId="5" numFmtId="165" xfId="0" applyAlignment="1" applyBorder="1" applyFont="1" applyNumberFormat="1">
      <alignment horizontal="right" vertical="bottom"/>
    </xf>
    <xf borderId="1" fillId="0" fontId="2" numFmtId="167" xfId="0" applyAlignment="1" applyBorder="1" applyFont="1" applyNumberFormat="1">
      <alignment horizontal="right" vertical="bottom"/>
    </xf>
    <xf borderId="1" fillId="2" fontId="6" numFmtId="164" xfId="0" applyAlignment="1" applyBorder="1" applyFill="1" applyFont="1" applyNumberFormat="1">
      <alignment horizontal="center" readingOrder="0" vertical="bottom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vertical="bottom"/>
    </xf>
    <xf borderId="1" fillId="0" fontId="1" numFmtId="0" xfId="0" applyAlignment="1" applyBorder="1" applyFont="1">
      <alignment readingOrder="0"/>
    </xf>
    <xf borderId="1" fillId="2" fontId="7" numFmtId="164" xfId="0" applyAlignment="1" applyBorder="1" applyFill="1" applyFont="1" applyNumberFormat="1">
      <alignment vertical="bottom"/>
    </xf>
    <xf borderId="1" fillId="0" fontId="1" numFmtId="0" xfId="0" applyBorder="1" applyFont="1"/>
    <xf borderId="0" fillId="0" fontId="5" numFmtId="0" xfId="0" applyAlignment="1" applyFont="1">
      <alignment vertical="bottom"/>
    </xf>
    <xf borderId="1" fillId="0" fontId="1" numFmtId="164" xfId="0" applyBorder="1" applyFont="1" applyNumberFormat="1"/>
    <xf borderId="1" fillId="0" fontId="1" numFmtId="165" xfId="0" applyBorder="1" applyFont="1" applyNumberFormat="1"/>
    <xf borderId="1" fillId="0" fontId="1" numFmtId="165" xfId="0" applyBorder="1" applyFont="1" applyNumberFormat="1"/>
    <xf borderId="1" fillId="0" fontId="5" numFmtId="167" xfId="0" applyAlignment="1" applyBorder="1" applyFont="1" applyNumberFormat="1">
      <alignment vertical="bottom"/>
    </xf>
    <xf borderId="1" fillId="0" fontId="5" numFmtId="169" xfId="0" applyAlignment="1" applyBorder="1" applyFont="1" applyNumberFormat="1">
      <alignment vertical="bottom"/>
    </xf>
    <xf borderId="1" fillId="0" fontId="5" numFmtId="4" xfId="0" applyAlignment="1" applyBorder="1" applyFont="1" applyNumberFormat="1">
      <alignment horizontal="right" vertical="bottom"/>
    </xf>
    <xf borderId="1" fillId="0" fontId="4" numFmtId="166" xfId="0" applyBorder="1" applyFont="1" applyNumberFormat="1"/>
    <xf borderId="1" fillId="0" fontId="5" numFmtId="164" xfId="0" applyAlignment="1" applyBorder="1" applyFont="1" applyNumberFormat="1">
      <alignment horizontal="right" readingOrder="0" vertical="bottom"/>
    </xf>
    <xf borderId="1" fillId="0" fontId="5" numFmtId="170" xfId="0" applyAlignment="1" applyBorder="1" applyFont="1" applyNumberFormat="1">
      <alignment horizontal="right" readingOrder="0" vertical="bottom"/>
    </xf>
    <xf borderId="1" fillId="0" fontId="5" numFmtId="167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/>
    </xf>
    <xf borderId="1" fillId="0" fontId="5" numFmtId="170" xfId="0" applyAlignment="1" applyBorder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5" numFmtId="165" xfId="0" applyAlignment="1" applyBorder="1" applyFont="1" applyNumberFormat="1">
      <alignment vertical="bottom"/>
    </xf>
    <xf borderId="1" fillId="2" fontId="2" numFmtId="165" xfId="0" applyAlignment="1" applyBorder="1" applyFill="1" applyFont="1" applyNumberFormat="1">
      <alignment vertical="bottom"/>
    </xf>
    <xf borderId="1" fillId="2" fontId="2" numFmtId="164" xfId="0" applyAlignment="1" applyBorder="1" applyFill="1" applyFont="1" applyNumberFormat="1">
      <alignment horizontal="right" vertical="bottom"/>
    </xf>
    <xf borderId="1" fillId="2" fontId="2" numFmtId="170" xfId="0" applyAlignment="1" applyBorder="1" applyFill="1" applyFont="1" applyNumberFormat="1">
      <alignment horizontal="right" vertical="bottom"/>
    </xf>
    <xf borderId="1" fillId="2" fontId="5" numFmtId="165" xfId="0" applyAlignment="1" applyBorder="1" applyFill="1" applyFont="1" applyNumberFormat="1">
      <alignment vertical="bottom"/>
    </xf>
    <xf borderId="1" fillId="0" fontId="4" numFmtId="165" xfId="0" applyBorder="1" applyFont="1" applyNumberFormat="1"/>
    <xf borderId="1" fillId="0" fontId="1" numFmtId="166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1" fillId="3" fontId="5" numFmtId="4" xfId="0" applyAlignment="1" applyBorder="1" applyFill="1" applyFont="1" applyNumberFormat="1">
      <alignment readingOrder="0" vertical="bottom"/>
    </xf>
    <xf borderId="1" fillId="0" fontId="2" numFmtId="164" xfId="0" applyAlignment="1" applyBorder="1" applyFont="1" applyNumberFormat="1">
      <alignment readingOrder="0" vertical="bottom"/>
    </xf>
    <xf borderId="1" fillId="3" fontId="5" numFmtId="165" xfId="0" applyAlignment="1" applyBorder="1" applyFill="1" applyFont="1" applyNumberFormat="1">
      <alignment readingOrder="0" vertical="bottom"/>
    </xf>
    <xf borderId="1" fillId="3" fontId="5" numFmtId="165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1" fillId="3" fontId="5" numFmtId="165" xfId="0" applyAlignment="1" applyBorder="1" applyFill="1" applyFont="1" applyNumberFormat="1">
      <alignment horizontal="right" vertical="bottom"/>
    </xf>
    <xf borderId="0" fillId="3" fontId="5" numFmtId="165" xfId="0" applyAlignment="1" applyFill="1" applyFont="1" applyNumberForma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2" numFmtId="167" xfId="0" applyAlignment="1" applyBorder="1" applyFont="1" applyNumberFormat="1">
      <alignment horizontal="right" readingOrder="0" vertical="bottom"/>
    </xf>
    <xf borderId="1" fillId="0" fontId="5" numFmtId="167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readingOrder="0"/>
    </xf>
    <xf borderId="1" fillId="0" fontId="5" numFmtId="167" xfId="0" applyAlignment="1" applyBorder="1" applyFont="1" applyNumberFormat="1">
      <alignment horizontal="right" vertical="bottom"/>
    </xf>
    <xf borderId="1" fillId="2" fontId="2" numFmtId="4" xfId="0" applyAlignment="1" applyBorder="1" applyFill="1" applyFont="1" applyNumberFormat="1">
      <alignment vertical="bottom"/>
    </xf>
    <xf borderId="1" fillId="2" fontId="2" numFmtId="165" xfId="0" applyAlignment="1" applyBorder="1" applyFill="1" applyFont="1" applyNumberFormat="1">
      <alignment horizontal="right" vertical="bottom"/>
    </xf>
    <xf borderId="1" fillId="0" fontId="5" numFmtId="165" xfId="0" applyAlignment="1" applyBorder="1" applyFont="1" applyNumberFormat="1">
      <alignment shrinkToFit="0" vertical="bottom" wrapText="1"/>
    </xf>
    <xf borderId="1" fillId="0" fontId="2" numFmtId="165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4" t="s">
        <v>3</v>
      </c>
      <c r="C2" s="5"/>
      <c r="D2" s="6"/>
      <c r="E2" s="6"/>
    </row>
    <row r="3">
      <c r="B3" s="9" t="s">
        <v>10</v>
      </c>
      <c r="C3" s="9" t="s">
        <v>14</v>
      </c>
      <c r="D3" s="11"/>
      <c r="E3" s="12"/>
    </row>
    <row r="4">
      <c r="B4" s="15"/>
      <c r="C4" s="18" t="s">
        <v>21</v>
      </c>
      <c r="D4" s="19" t="s">
        <v>22</v>
      </c>
      <c r="E4" s="21" t="s">
        <v>23</v>
      </c>
    </row>
    <row r="5">
      <c r="B5" s="23" t="s">
        <v>24</v>
      </c>
      <c r="C5" s="27">
        <f t="shared" ref="C5:E5" si="1">sum(C6,C12)</f>
        <v>183664</v>
      </c>
      <c r="D5" s="27">
        <f t="shared" si="1"/>
        <v>100870</v>
      </c>
      <c r="E5" s="27">
        <f t="shared" si="1"/>
        <v>82794</v>
      </c>
    </row>
    <row r="6">
      <c r="B6" s="23" t="s">
        <v>30</v>
      </c>
      <c r="C6" s="27">
        <f t="shared" ref="C6:E6" si="2">sum(C7:C11)</f>
        <v>85044</v>
      </c>
      <c r="D6" s="27">
        <f t="shared" si="2"/>
        <v>50150</v>
      </c>
      <c r="E6" s="27">
        <f t="shared" si="2"/>
        <v>34894</v>
      </c>
    </row>
    <row r="7" outlineLevel="1">
      <c r="B7" s="12" t="s">
        <v>36</v>
      </c>
      <c r="C7" s="38">
        <f>District!C3</f>
        <v>85044</v>
      </c>
      <c r="D7" s="41">
        <f>District!B5</f>
        <v>50150</v>
      </c>
      <c r="E7" s="30">
        <f>District!B6</f>
        <v>34894</v>
      </c>
    </row>
    <row r="8" outlineLevel="1">
      <c r="B8" s="12" t="s">
        <v>40</v>
      </c>
      <c r="C8" s="44">
        <v>0.0</v>
      </c>
      <c r="D8" s="45">
        <v>0.0</v>
      </c>
      <c r="E8" s="13">
        <v>0.0</v>
      </c>
    </row>
    <row r="9" outlineLevel="1">
      <c r="B9" s="12" t="s">
        <v>42</v>
      </c>
      <c r="C9" s="44">
        <v>0.0</v>
      </c>
      <c r="D9" s="45">
        <v>0.0</v>
      </c>
      <c r="E9" s="13">
        <v>0.0</v>
      </c>
    </row>
    <row r="10" outlineLevel="1">
      <c r="B10" s="29" t="s">
        <v>43</v>
      </c>
      <c r="C10" s="44">
        <v>0.0</v>
      </c>
      <c r="D10" s="45">
        <v>0.0</v>
      </c>
      <c r="E10" s="13">
        <v>0.0</v>
      </c>
    </row>
    <row r="11" outlineLevel="1">
      <c r="B11" s="12" t="s">
        <v>44</v>
      </c>
      <c r="C11" s="44">
        <v>0.0</v>
      </c>
      <c r="D11" s="45">
        <v>0.0</v>
      </c>
      <c r="E11" s="13">
        <v>0.0</v>
      </c>
    </row>
    <row r="12">
      <c r="B12" s="48" t="s">
        <v>46</v>
      </c>
      <c r="C12" s="27">
        <f t="shared" ref="C12:E12" si="3">sum(C13:C14)</f>
        <v>98620</v>
      </c>
      <c r="D12" s="27">
        <f t="shared" si="3"/>
        <v>50720</v>
      </c>
      <c r="E12" s="27">
        <f t="shared" si="3"/>
        <v>47900</v>
      </c>
    </row>
    <row r="13" outlineLevel="1">
      <c r="B13" s="12" t="s">
        <v>48</v>
      </c>
      <c r="C13" s="38">
        <f>'Offline &amp; RG Community'!D32+'Offline &amp; RG Community'!E32</f>
        <v>63020</v>
      </c>
      <c r="D13" s="54">
        <f>'Offline &amp; RG Community'!D32</f>
        <v>41320</v>
      </c>
      <c r="E13" s="54">
        <f>'Offline &amp; RG Community'!E32</f>
        <v>21700</v>
      </c>
    </row>
    <row r="14" outlineLevel="1">
      <c r="B14" s="30" t="s">
        <v>49</v>
      </c>
      <c r="C14" s="44">
        <f>Memberships!D4</f>
        <v>35600</v>
      </c>
      <c r="D14" s="56">
        <f>Memberships!D3/2</f>
        <v>9400</v>
      </c>
      <c r="E14" s="56">
        <f>Memberships!D3/2+Memberships!D2</f>
        <v>26200</v>
      </c>
    </row>
    <row r="15">
      <c r="B15" s="48" t="s">
        <v>50</v>
      </c>
      <c r="C15" s="27">
        <f t="shared" ref="C15:E15" si="4">sum(C16:C18)</f>
        <v>1710</v>
      </c>
      <c r="D15" s="27">
        <f t="shared" si="4"/>
        <v>1710</v>
      </c>
      <c r="E15" s="27">
        <f t="shared" si="4"/>
        <v>0</v>
      </c>
    </row>
    <row r="16" outlineLevel="1">
      <c r="B16" s="29" t="s">
        <v>52</v>
      </c>
      <c r="C16" s="44">
        <f>'Offline &amp; RG Community'!F32</f>
        <v>1710</v>
      </c>
      <c r="D16" s="56">
        <f>'Offline &amp; RG Community'!F32</f>
        <v>1710</v>
      </c>
      <c r="E16" s="13">
        <v>0.0</v>
      </c>
    </row>
    <row r="17" outlineLevel="1">
      <c r="B17" s="29" t="s">
        <v>53</v>
      </c>
      <c r="C17" s="44">
        <v>0.0</v>
      </c>
      <c r="D17" s="45">
        <v>0.0</v>
      </c>
      <c r="E17" s="45">
        <v>0.0</v>
      </c>
    </row>
    <row r="18">
      <c r="B18" s="64" t="s">
        <v>54</v>
      </c>
      <c r="C18" s="44">
        <v>0.0</v>
      </c>
      <c r="D18" s="44">
        <v>0.0</v>
      </c>
      <c r="E18" s="44">
        <v>0.0</v>
      </c>
    </row>
    <row r="19">
      <c r="B19" s="48" t="s">
        <v>55</v>
      </c>
      <c r="C19" s="65">
        <v>0.0</v>
      </c>
      <c r="D19" s="65">
        <v>0.0</v>
      </c>
      <c r="E19" s="65">
        <v>0.0</v>
      </c>
    </row>
    <row r="20">
      <c r="B20" s="23" t="s">
        <v>56</v>
      </c>
      <c r="C20" s="27">
        <f t="shared" ref="C20:E20" si="5">sum(C21,C22)</f>
        <v>1920</v>
      </c>
      <c r="D20" s="27">
        <f t="shared" si="5"/>
        <v>0</v>
      </c>
      <c r="E20" s="27">
        <f t="shared" si="5"/>
        <v>1920</v>
      </c>
    </row>
    <row r="21" outlineLevel="1">
      <c r="B21" s="12" t="s">
        <v>62</v>
      </c>
      <c r="C21" s="66">
        <f>'Corporate Events'!E2</f>
        <v>1920</v>
      </c>
      <c r="D21" s="45">
        <v>0.0</v>
      </c>
      <c r="E21" s="67">
        <f>'Corporate Events'!E2</f>
        <v>1920</v>
      </c>
    </row>
    <row r="22" outlineLevel="1">
      <c r="B22" s="29" t="s">
        <v>67</v>
      </c>
      <c r="C22" s="66">
        <v>0.0</v>
      </c>
      <c r="D22" s="45">
        <v>0.0</v>
      </c>
      <c r="E22" s="45">
        <v>0.0</v>
      </c>
    </row>
    <row r="23">
      <c r="B23" s="23" t="s">
        <v>68</v>
      </c>
      <c r="C23" s="27">
        <f t="shared" ref="C23:E23" si="6">sum(C24:C26)</f>
        <v>175</v>
      </c>
      <c r="D23" s="27">
        <f t="shared" si="6"/>
        <v>175</v>
      </c>
      <c r="E23" s="27">
        <f t="shared" si="6"/>
        <v>0</v>
      </c>
    </row>
    <row r="24" outlineLevel="1">
      <c r="B24" s="12" t="s">
        <v>69</v>
      </c>
      <c r="C24" s="68">
        <f>'Offline &amp; RG Community'!G32</f>
        <v>175</v>
      </c>
      <c r="D24" s="54">
        <f>'Offline &amp; RG Community'!G32</f>
        <v>175</v>
      </c>
      <c r="E24" s="45">
        <v>0.0</v>
      </c>
    </row>
    <row r="25" outlineLevel="1">
      <c r="B25" s="12" t="s">
        <v>70</v>
      </c>
      <c r="C25" s="44">
        <v>0.0</v>
      </c>
      <c r="D25" s="45">
        <v>0.0</v>
      </c>
      <c r="E25" s="45">
        <v>0.0</v>
      </c>
    </row>
    <row r="26" outlineLevel="1">
      <c r="B26" s="12" t="s">
        <v>71</v>
      </c>
      <c r="C26" s="66">
        <v>0.0</v>
      </c>
      <c r="D26" s="45">
        <v>0.0</v>
      </c>
      <c r="E26" s="45">
        <v>0.0</v>
      </c>
    </row>
    <row r="27">
      <c r="B27" s="23" t="s">
        <v>72</v>
      </c>
      <c r="C27" s="27">
        <v>0.0</v>
      </c>
      <c r="D27" s="27">
        <v>0.0</v>
      </c>
      <c r="E27" s="27">
        <v>0.0</v>
      </c>
    </row>
    <row r="28">
      <c r="B28" s="10" t="s">
        <v>73</v>
      </c>
      <c r="C28" s="70">
        <f t="shared" ref="C28:E28" si="7">C6+C12+C15+C19+C20+C23+C27</f>
        <v>187469</v>
      </c>
      <c r="D28" s="70">
        <f t="shared" si="7"/>
        <v>102755</v>
      </c>
      <c r="E28" s="70">
        <f t="shared" si="7"/>
        <v>84714</v>
      </c>
    </row>
    <row r="29">
      <c r="B29" s="71" t="s">
        <v>74</v>
      </c>
      <c r="C29" s="72">
        <f>C28-(C28/1.18)</f>
        <v>28596.9661</v>
      </c>
      <c r="D29" s="11"/>
      <c r="E29" s="11"/>
    </row>
    <row r="30">
      <c r="B30" s="71" t="s">
        <v>75</v>
      </c>
      <c r="C30" s="72">
        <f>C28-C29</f>
        <v>158872.0339</v>
      </c>
      <c r="D30" s="11"/>
      <c r="E30" s="11"/>
    </row>
    <row r="31">
      <c r="B31" s="71" t="s">
        <v>76</v>
      </c>
      <c r="C31" s="73">
        <f>'Offline &amp; RG Community'!I32+District!E3+District!D3+Memberships!E4+'Corporate Events'!F2</f>
        <v>7499.4375</v>
      </c>
      <c r="D31" s="11"/>
      <c r="E31" s="11"/>
    </row>
    <row r="32">
      <c r="B32" s="73" t="s">
        <v>77</v>
      </c>
      <c r="C32" s="72">
        <f>C28-C29-C31</f>
        <v>151372.5964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2" width="16.13"/>
    <col customWidth="1" min="3" max="3" width="18.25"/>
    <col customWidth="1" min="4" max="4" width="15.13"/>
    <col customWidth="1" min="5" max="6" width="19.75"/>
    <col customWidth="1" min="8" max="9" width="15.25"/>
    <col customWidth="1" min="11" max="11" width="16.88"/>
  </cols>
  <sheetData>
    <row r="1">
      <c r="A1" s="3" t="s">
        <v>0</v>
      </c>
      <c r="B1" s="3" t="s">
        <v>5</v>
      </c>
      <c r="C1" s="7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16" t="s">
        <v>12</v>
      </c>
      <c r="J1" s="10" t="s">
        <v>16</v>
      </c>
    </row>
    <row r="2">
      <c r="A2" s="22">
        <v>46266.0</v>
      </c>
      <c r="B2" s="24" t="s">
        <v>25</v>
      </c>
      <c r="C2" s="25">
        <v>6.5</v>
      </c>
      <c r="D2" s="26">
        <v>2325.0</v>
      </c>
      <c r="E2" s="26">
        <v>3600.0</v>
      </c>
      <c r="F2" s="26">
        <v>0.0</v>
      </c>
      <c r="G2" s="26">
        <v>0.0</v>
      </c>
      <c r="H2" s="26">
        <f t="shared" ref="H2:H31" si="1">sum(D2:G2)</f>
        <v>5925</v>
      </c>
      <c r="I2" s="17">
        <f t="shared" ref="I2:I31" si="2">H2*1.75%</f>
        <v>103.6875</v>
      </c>
      <c r="J2" s="26">
        <f t="shared" ref="J2:J31" si="3">H2-I2</f>
        <v>5821.3125</v>
      </c>
    </row>
    <row r="3">
      <c r="A3" s="22">
        <v>46267.0</v>
      </c>
      <c r="B3" s="24" t="s">
        <v>37</v>
      </c>
      <c r="C3" s="25">
        <v>2.0</v>
      </c>
      <c r="D3" s="26">
        <v>1400.0</v>
      </c>
      <c r="E3" s="26">
        <v>0.0</v>
      </c>
      <c r="F3" s="26">
        <v>0.0</v>
      </c>
      <c r="G3" s="26">
        <v>0.0</v>
      </c>
      <c r="H3" s="26">
        <f t="shared" si="1"/>
        <v>1400</v>
      </c>
      <c r="I3" s="17">
        <f t="shared" si="2"/>
        <v>24.5</v>
      </c>
      <c r="J3" s="26">
        <f t="shared" si="3"/>
        <v>1375.5</v>
      </c>
    </row>
    <row r="4">
      <c r="A4" s="22">
        <v>46268.0</v>
      </c>
      <c r="B4" s="24" t="s">
        <v>38</v>
      </c>
      <c r="C4" s="40">
        <v>5.0</v>
      </c>
      <c r="D4" s="26">
        <v>700.0</v>
      </c>
      <c r="E4" s="26">
        <v>4800.0</v>
      </c>
      <c r="F4" s="26">
        <v>0.0</v>
      </c>
      <c r="G4" s="26">
        <v>0.0</v>
      </c>
      <c r="H4" s="26">
        <f t="shared" si="1"/>
        <v>5500</v>
      </c>
      <c r="I4" s="17">
        <f t="shared" si="2"/>
        <v>96.25</v>
      </c>
      <c r="J4" s="26">
        <f t="shared" si="3"/>
        <v>5403.75</v>
      </c>
    </row>
    <row r="5">
      <c r="A5" s="22">
        <v>46269.0</v>
      </c>
      <c r="B5" s="24" t="s">
        <v>39</v>
      </c>
      <c r="C5" s="40">
        <v>0.0</v>
      </c>
      <c r="D5" s="26">
        <v>0.0</v>
      </c>
      <c r="E5" s="26">
        <v>0.0</v>
      </c>
      <c r="F5" s="26">
        <v>0.0</v>
      </c>
      <c r="G5" s="26">
        <v>0.0</v>
      </c>
      <c r="H5" s="26">
        <f t="shared" si="1"/>
        <v>0</v>
      </c>
      <c r="I5" s="17">
        <f t="shared" si="2"/>
        <v>0</v>
      </c>
      <c r="J5" s="26">
        <f t="shared" si="3"/>
        <v>0</v>
      </c>
    </row>
    <row r="6">
      <c r="A6" s="22">
        <v>46270.0</v>
      </c>
      <c r="B6" s="24" t="s">
        <v>41</v>
      </c>
      <c r="C6" s="40">
        <v>7.0</v>
      </c>
      <c r="D6" s="26">
        <v>2600.0</v>
      </c>
      <c r="E6" s="26">
        <v>3600.0</v>
      </c>
      <c r="F6" s="26">
        <v>0.0</v>
      </c>
      <c r="G6" s="26">
        <v>0.0</v>
      </c>
      <c r="H6" s="26">
        <f t="shared" si="1"/>
        <v>6200</v>
      </c>
      <c r="I6" s="17">
        <f t="shared" si="2"/>
        <v>108.5</v>
      </c>
      <c r="J6" s="26">
        <f t="shared" si="3"/>
        <v>6091.5</v>
      </c>
    </row>
    <row r="7">
      <c r="A7" s="22">
        <v>46271.0</v>
      </c>
      <c r="B7" s="24" t="s">
        <v>45</v>
      </c>
      <c r="C7" s="40">
        <v>3.5</v>
      </c>
      <c r="D7" s="26">
        <v>2950.0</v>
      </c>
      <c r="E7" s="26">
        <v>0.0</v>
      </c>
      <c r="F7" s="26">
        <v>0.0</v>
      </c>
      <c r="G7" s="47">
        <v>0.0</v>
      </c>
      <c r="H7" s="26">
        <f t="shared" si="1"/>
        <v>2950</v>
      </c>
      <c r="I7" s="17">
        <f t="shared" si="2"/>
        <v>51.625</v>
      </c>
      <c r="J7" s="26">
        <f t="shared" si="3"/>
        <v>2898.375</v>
      </c>
    </row>
    <row r="8">
      <c r="A8" s="22">
        <v>46272.0</v>
      </c>
      <c r="B8" s="24" t="s">
        <v>47</v>
      </c>
      <c r="C8" s="40">
        <v>0.5</v>
      </c>
      <c r="D8" s="26">
        <v>325.0</v>
      </c>
      <c r="E8" s="26">
        <v>0.0</v>
      </c>
      <c r="F8" s="26">
        <v>0.0</v>
      </c>
      <c r="G8" s="26">
        <v>0.0</v>
      </c>
      <c r="H8" s="26">
        <f t="shared" si="1"/>
        <v>325</v>
      </c>
      <c r="I8" s="17">
        <f t="shared" si="2"/>
        <v>5.6875</v>
      </c>
      <c r="J8" s="26">
        <f t="shared" si="3"/>
        <v>319.3125</v>
      </c>
    </row>
    <row r="9">
      <c r="A9" s="22">
        <v>46273.0</v>
      </c>
      <c r="B9" s="24" t="s">
        <v>25</v>
      </c>
      <c r="C9" s="40">
        <v>2.0</v>
      </c>
      <c r="D9" s="26">
        <v>975.0</v>
      </c>
      <c r="E9" s="26">
        <v>0.0</v>
      </c>
      <c r="F9" s="26">
        <v>0.0</v>
      </c>
      <c r="G9" s="47">
        <v>0.0</v>
      </c>
      <c r="H9" s="26">
        <f t="shared" si="1"/>
        <v>975</v>
      </c>
      <c r="I9" s="17">
        <f t="shared" si="2"/>
        <v>17.0625</v>
      </c>
      <c r="J9" s="26">
        <f t="shared" si="3"/>
        <v>957.9375</v>
      </c>
    </row>
    <row r="10">
      <c r="A10" s="22">
        <v>46274.0</v>
      </c>
      <c r="B10" s="24" t="s">
        <v>37</v>
      </c>
      <c r="C10" s="40">
        <v>1.5</v>
      </c>
      <c r="D10" s="26">
        <v>975.0</v>
      </c>
      <c r="E10" s="26">
        <v>0.0</v>
      </c>
      <c r="F10" s="26">
        <v>0.0</v>
      </c>
      <c r="G10" s="26">
        <v>0.0</v>
      </c>
      <c r="H10" s="26">
        <f t="shared" si="1"/>
        <v>975</v>
      </c>
      <c r="I10" s="17">
        <f t="shared" si="2"/>
        <v>17.0625</v>
      </c>
      <c r="J10" s="26">
        <f t="shared" si="3"/>
        <v>957.9375</v>
      </c>
    </row>
    <row r="11">
      <c r="A11" s="22">
        <v>46275.0</v>
      </c>
      <c r="B11" s="24" t="s">
        <v>38</v>
      </c>
      <c r="C11" s="40">
        <v>2.5</v>
      </c>
      <c r="D11" s="26">
        <v>1625.0</v>
      </c>
      <c r="E11" s="26">
        <v>0.0</v>
      </c>
      <c r="F11" s="26">
        <v>0.0</v>
      </c>
      <c r="G11" s="26">
        <v>0.0</v>
      </c>
      <c r="H11" s="26">
        <f t="shared" si="1"/>
        <v>1625</v>
      </c>
      <c r="I11" s="17">
        <f t="shared" si="2"/>
        <v>28.4375</v>
      </c>
      <c r="J11" s="26">
        <f t="shared" si="3"/>
        <v>1596.5625</v>
      </c>
    </row>
    <row r="12">
      <c r="A12" s="22">
        <v>46276.0</v>
      </c>
      <c r="B12" s="24" t="s">
        <v>39</v>
      </c>
      <c r="C12" s="40">
        <v>1.0</v>
      </c>
      <c r="D12" s="26">
        <v>1200.0</v>
      </c>
      <c r="E12" s="26">
        <v>0.0</v>
      </c>
      <c r="F12" s="26">
        <v>0.0</v>
      </c>
      <c r="G12" s="26">
        <v>0.0</v>
      </c>
      <c r="H12" s="26">
        <f t="shared" si="1"/>
        <v>1200</v>
      </c>
      <c r="I12" s="17">
        <f t="shared" si="2"/>
        <v>21</v>
      </c>
      <c r="J12" s="26">
        <f t="shared" si="3"/>
        <v>1179</v>
      </c>
    </row>
    <row r="13">
      <c r="A13" s="22">
        <v>46277.0</v>
      </c>
      <c r="B13" s="24" t="s">
        <v>41</v>
      </c>
      <c r="C13" s="40">
        <v>8.5</v>
      </c>
      <c r="D13" s="26">
        <v>3575.0</v>
      </c>
      <c r="E13" s="26">
        <v>4800.0</v>
      </c>
      <c r="F13" s="26">
        <v>0.0</v>
      </c>
      <c r="G13" s="26">
        <v>0.0</v>
      </c>
      <c r="H13" s="26">
        <f t="shared" si="1"/>
        <v>8375</v>
      </c>
      <c r="I13" s="17">
        <f t="shared" si="2"/>
        <v>146.5625</v>
      </c>
      <c r="J13" s="26">
        <f t="shared" si="3"/>
        <v>8228.4375</v>
      </c>
    </row>
    <row r="14">
      <c r="A14" s="22">
        <v>46278.0</v>
      </c>
      <c r="B14" s="24" t="s">
        <v>45</v>
      </c>
      <c r="C14" s="40">
        <v>4.0</v>
      </c>
      <c r="D14" s="26">
        <v>2900.0</v>
      </c>
      <c r="E14" s="26">
        <v>0.0</v>
      </c>
      <c r="F14" s="26">
        <v>0.0</v>
      </c>
      <c r="G14" s="26">
        <v>0.0</v>
      </c>
      <c r="H14" s="26">
        <f t="shared" si="1"/>
        <v>2900</v>
      </c>
      <c r="I14" s="17">
        <f t="shared" si="2"/>
        <v>50.75</v>
      </c>
      <c r="J14" s="26">
        <f t="shared" si="3"/>
        <v>2849.25</v>
      </c>
    </row>
    <row r="15">
      <c r="A15" s="22">
        <v>46279.0</v>
      </c>
      <c r="B15" s="24" t="s">
        <v>47</v>
      </c>
      <c r="C15" s="40">
        <v>1.0</v>
      </c>
      <c r="D15" s="26">
        <v>650.0</v>
      </c>
      <c r="E15" s="26">
        <v>0.0</v>
      </c>
      <c r="F15" s="26">
        <v>0.0</v>
      </c>
      <c r="G15" s="26">
        <v>0.0</v>
      </c>
      <c r="H15" s="26">
        <f t="shared" si="1"/>
        <v>650</v>
      </c>
      <c r="I15" s="17">
        <f t="shared" si="2"/>
        <v>11.375</v>
      </c>
      <c r="J15" s="26">
        <f t="shared" si="3"/>
        <v>638.625</v>
      </c>
    </row>
    <row r="16">
      <c r="A16" s="22">
        <v>46280.0</v>
      </c>
      <c r="B16" s="24" t="s">
        <v>25</v>
      </c>
      <c r="C16" s="57">
        <v>0.0</v>
      </c>
      <c r="D16" s="59">
        <v>0.0</v>
      </c>
      <c r="E16" s="59">
        <v>0.0</v>
      </c>
      <c r="F16" s="59">
        <v>0.0</v>
      </c>
      <c r="G16" s="59">
        <v>0.0</v>
      </c>
      <c r="H16" s="60">
        <f t="shared" si="1"/>
        <v>0</v>
      </c>
      <c r="I16" s="62">
        <f t="shared" si="2"/>
        <v>0</v>
      </c>
      <c r="J16" s="60">
        <f t="shared" si="3"/>
        <v>0</v>
      </c>
      <c r="K16" s="1" t="s">
        <v>51</v>
      </c>
    </row>
    <row r="17">
      <c r="A17" s="22">
        <v>46281.0</v>
      </c>
      <c r="B17" s="24" t="s">
        <v>37</v>
      </c>
      <c r="C17" s="25">
        <v>1.5</v>
      </c>
      <c r="D17" s="60">
        <v>1025.0</v>
      </c>
      <c r="E17" s="63">
        <v>0.0</v>
      </c>
      <c r="F17" s="60">
        <v>640.0</v>
      </c>
      <c r="G17" s="60">
        <v>0.0</v>
      </c>
      <c r="H17" s="60">
        <f t="shared" si="1"/>
        <v>1665</v>
      </c>
      <c r="I17" s="62">
        <f t="shared" si="2"/>
        <v>29.1375</v>
      </c>
      <c r="J17" s="60">
        <f t="shared" si="3"/>
        <v>1635.8625</v>
      </c>
    </row>
    <row r="18">
      <c r="A18" s="22">
        <v>46282.0</v>
      </c>
      <c r="B18" s="24" t="s">
        <v>38</v>
      </c>
      <c r="C18" s="40">
        <v>4.0</v>
      </c>
      <c r="D18" s="26">
        <v>2750.0</v>
      </c>
      <c r="E18" s="26">
        <v>0.0</v>
      </c>
      <c r="F18" s="26">
        <v>0.0</v>
      </c>
      <c r="G18" s="26">
        <v>0.0</v>
      </c>
      <c r="H18" s="26">
        <f t="shared" si="1"/>
        <v>2750</v>
      </c>
      <c r="I18" s="17">
        <f t="shared" si="2"/>
        <v>48.125</v>
      </c>
      <c r="J18" s="26">
        <f t="shared" si="3"/>
        <v>2701.875</v>
      </c>
    </row>
    <row r="19">
      <c r="A19" s="22">
        <v>46283.0</v>
      </c>
      <c r="B19" s="24" t="s">
        <v>39</v>
      </c>
      <c r="C19" s="40">
        <v>1.0</v>
      </c>
      <c r="D19" s="26">
        <v>650.0</v>
      </c>
      <c r="E19" s="26">
        <v>0.0</v>
      </c>
      <c r="F19" s="26">
        <v>0.0</v>
      </c>
      <c r="G19" s="26">
        <v>0.0</v>
      </c>
      <c r="H19" s="26">
        <f t="shared" si="1"/>
        <v>650</v>
      </c>
      <c r="I19" s="17">
        <f t="shared" si="2"/>
        <v>11.375</v>
      </c>
      <c r="J19" s="26">
        <f t="shared" si="3"/>
        <v>638.625</v>
      </c>
    </row>
    <row r="20">
      <c r="A20" s="22">
        <v>46284.0</v>
      </c>
      <c r="B20" s="24" t="s">
        <v>41</v>
      </c>
      <c r="C20" s="40">
        <v>2.5</v>
      </c>
      <c r="D20" s="26">
        <v>1725.0</v>
      </c>
      <c r="E20" s="26">
        <v>0.0</v>
      </c>
      <c r="F20" s="26">
        <v>0.0</v>
      </c>
      <c r="G20" s="26">
        <v>0.0</v>
      </c>
      <c r="H20" s="26">
        <f t="shared" si="1"/>
        <v>1725</v>
      </c>
      <c r="I20" s="17">
        <f t="shared" si="2"/>
        <v>30.1875</v>
      </c>
      <c r="J20" s="26">
        <f t="shared" si="3"/>
        <v>1694.8125</v>
      </c>
    </row>
    <row r="21">
      <c r="A21" s="22">
        <v>46285.0</v>
      </c>
      <c r="B21" s="24" t="s">
        <v>45</v>
      </c>
      <c r="C21" s="40">
        <v>1.0</v>
      </c>
      <c r="D21" s="26">
        <v>700.0</v>
      </c>
      <c r="E21" s="26">
        <v>0.0</v>
      </c>
      <c r="F21" s="26">
        <v>320.0</v>
      </c>
      <c r="G21" s="26">
        <v>0.0</v>
      </c>
      <c r="H21" s="26">
        <f t="shared" si="1"/>
        <v>1020</v>
      </c>
      <c r="I21" s="17">
        <f t="shared" si="2"/>
        <v>17.85</v>
      </c>
      <c r="J21" s="26">
        <f t="shared" si="3"/>
        <v>1002.15</v>
      </c>
    </row>
    <row r="22">
      <c r="A22" s="22">
        <v>46286.0</v>
      </c>
      <c r="B22" s="24" t="s">
        <v>47</v>
      </c>
      <c r="C22" s="40">
        <v>1.0</v>
      </c>
      <c r="D22" s="26">
        <v>650.0</v>
      </c>
      <c r="E22" s="26">
        <v>0.0</v>
      </c>
      <c r="F22" s="26">
        <v>0.0</v>
      </c>
      <c r="G22" s="26">
        <v>0.0</v>
      </c>
      <c r="H22" s="26">
        <f t="shared" si="1"/>
        <v>650</v>
      </c>
      <c r="I22" s="17">
        <f t="shared" si="2"/>
        <v>11.375</v>
      </c>
      <c r="J22" s="26">
        <f t="shared" si="3"/>
        <v>638.625</v>
      </c>
    </row>
    <row r="23">
      <c r="A23" s="22">
        <v>46287.0</v>
      </c>
      <c r="B23" s="24" t="s">
        <v>25</v>
      </c>
      <c r="C23" s="40">
        <v>1.5</v>
      </c>
      <c r="D23" s="26">
        <v>975.0</v>
      </c>
      <c r="E23" s="26">
        <v>0.0</v>
      </c>
      <c r="F23" s="26">
        <v>0.0</v>
      </c>
      <c r="G23" s="26">
        <v>0.0</v>
      </c>
      <c r="H23" s="26">
        <f t="shared" si="1"/>
        <v>975</v>
      </c>
      <c r="I23" s="17">
        <f t="shared" si="2"/>
        <v>17.0625</v>
      </c>
      <c r="J23" s="26">
        <f t="shared" si="3"/>
        <v>957.9375</v>
      </c>
    </row>
    <row r="24">
      <c r="A24" s="22">
        <v>46288.0</v>
      </c>
      <c r="B24" s="24" t="s">
        <v>37</v>
      </c>
      <c r="C24" s="40">
        <v>3.5</v>
      </c>
      <c r="D24" s="26">
        <v>2425.0</v>
      </c>
      <c r="E24" s="26">
        <v>0.0</v>
      </c>
      <c r="F24" s="26">
        <v>750.0</v>
      </c>
      <c r="G24" s="26">
        <v>0.0</v>
      </c>
      <c r="H24" s="26">
        <f t="shared" si="1"/>
        <v>3175</v>
      </c>
      <c r="I24" s="17">
        <f t="shared" si="2"/>
        <v>55.5625</v>
      </c>
      <c r="J24" s="26">
        <f t="shared" si="3"/>
        <v>3119.4375</v>
      </c>
    </row>
    <row r="25">
      <c r="A25" s="22">
        <v>46289.0</v>
      </c>
      <c r="B25" s="24" t="s">
        <v>38</v>
      </c>
      <c r="C25" s="40">
        <v>3.0</v>
      </c>
      <c r="D25" s="26">
        <v>1950.0</v>
      </c>
      <c r="E25" s="26">
        <v>0.0</v>
      </c>
      <c r="F25" s="26">
        <v>0.0</v>
      </c>
      <c r="G25" s="26">
        <v>175.0</v>
      </c>
      <c r="H25" s="26">
        <f t="shared" si="1"/>
        <v>2125</v>
      </c>
      <c r="I25" s="17">
        <f t="shared" si="2"/>
        <v>37.1875</v>
      </c>
      <c r="J25" s="26">
        <f t="shared" si="3"/>
        <v>2087.8125</v>
      </c>
    </row>
    <row r="26">
      <c r="A26" s="22">
        <v>46290.0</v>
      </c>
      <c r="B26" s="24" t="s">
        <v>39</v>
      </c>
      <c r="C26" s="40">
        <v>0.5</v>
      </c>
      <c r="D26" s="26">
        <v>375.0</v>
      </c>
      <c r="E26" s="26">
        <v>0.0</v>
      </c>
      <c r="F26" s="26">
        <v>0.0</v>
      </c>
      <c r="G26" s="26">
        <v>0.0</v>
      </c>
      <c r="H26" s="26">
        <f t="shared" si="1"/>
        <v>375</v>
      </c>
      <c r="I26" s="17">
        <f t="shared" si="2"/>
        <v>6.5625</v>
      </c>
      <c r="J26" s="26">
        <f t="shared" si="3"/>
        <v>368.4375</v>
      </c>
    </row>
    <row r="27">
      <c r="A27" s="22">
        <v>46291.0</v>
      </c>
      <c r="B27" s="24" t="s">
        <v>41</v>
      </c>
      <c r="C27" s="40">
        <v>4.5</v>
      </c>
      <c r="D27" s="26">
        <v>2975.0</v>
      </c>
      <c r="E27" s="26">
        <v>0.0</v>
      </c>
      <c r="F27" s="26">
        <v>0.0</v>
      </c>
      <c r="G27" s="26">
        <v>0.0</v>
      </c>
      <c r="H27" s="26">
        <f t="shared" si="1"/>
        <v>2975</v>
      </c>
      <c r="I27" s="17">
        <f t="shared" si="2"/>
        <v>52.0625</v>
      </c>
      <c r="J27" s="26">
        <f t="shared" si="3"/>
        <v>2922.9375</v>
      </c>
    </row>
    <row r="28">
      <c r="A28" s="22">
        <v>46292.0</v>
      </c>
      <c r="B28" s="24" t="s">
        <v>45</v>
      </c>
      <c r="C28" s="40">
        <v>0.0</v>
      </c>
      <c r="D28" s="26">
        <v>0.0</v>
      </c>
      <c r="E28" s="26">
        <v>0.0</v>
      </c>
      <c r="F28" s="26">
        <v>0.0</v>
      </c>
      <c r="G28" s="26">
        <v>0.0</v>
      </c>
      <c r="H28" s="26">
        <f t="shared" si="1"/>
        <v>0</v>
      </c>
      <c r="I28" s="17">
        <f t="shared" si="2"/>
        <v>0</v>
      </c>
      <c r="J28" s="26">
        <f t="shared" si="3"/>
        <v>0</v>
      </c>
    </row>
    <row r="29">
      <c r="A29" s="22">
        <v>46293.0</v>
      </c>
      <c r="B29" s="24" t="s">
        <v>47</v>
      </c>
      <c r="C29" s="40">
        <v>0.5</v>
      </c>
      <c r="D29" s="26">
        <v>325.0</v>
      </c>
      <c r="E29" s="26">
        <v>0.0</v>
      </c>
      <c r="F29" s="26">
        <v>0.0</v>
      </c>
      <c r="G29" s="26">
        <v>0.0</v>
      </c>
      <c r="H29" s="26">
        <f t="shared" si="1"/>
        <v>325</v>
      </c>
      <c r="I29" s="17">
        <f t="shared" si="2"/>
        <v>5.6875</v>
      </c>
      <c r="J29" s="26">
        <f t="shared" si="3"/>
        <v>319.3125</v>
      </c>
    </row>
    <row r="30">
      <c r="A30" s="22">
        <v>46294.0</v>
      </c>
      <c r="B30" s="24" t="s">
        <v>25</v>
      </c>
      <c r="C30" s="40">
        <v>3.0</v>
      </c>
      <c r="D30" s="26">
        <v>320.0</v>
      </c>
      <c r="E30" s="26">
        <v>3600.0</v>
      </c>
      <c r="F30" s="26">
        <v>0.0</v>
      </c>
      <c r="G30" s="26">
        <v>0.0</v>
      </c>
      <c r="H30" s="26">
        <f t="shared" si="1"/>
        <v>3920</v>
      </c>
      <c r="I30" s="17">
        <f t="shared" si="2"/>
        <v>68.6</v>
      </c>
      <c r="J30" s="26">
        <f t="shared" si="3"/>
        <v>3851.4</v>
      </c>
    </row>
    <row r="31">
      <c r="A31" s="22">
        <v>46295.0</v>
      </c>
      <c r="B31" s="24" t="s">
        <v>37</v>
      </c>
      <c r="C31" s="25">
        <v>5.5</v>
      </c>
      <c r="D31" s="60">
        <v>2275.0</v>
      </c>
      <c r="E31" s="60">
        <v>1300.0</v>
      </c>
      <c r="F31" s="60">
        <v>0.0</v>
      </c>
      <c r="G31" s="60">
        <v>0.0</v>
      </c>
      <c r="H31" s="26">
        <f t="shared" si="1"/>
        <v>3575</v>
      </c>
      <c r="I31" s="17">
        <f t="shared" si="2"/>
        <v>62.5625</v>
      </c>
      <c r="J31" s="26">
        <f t="shared" si="3"/>
        <v>3512.4375</v>
      </c>
    </row>
    <row r="32">
      <c r="A32" s="50" t="s">
        <v>21</v>
      </c>
      <c r="B32" s="50"/>
      <c r="C32" s="69"/>
      <c r="D32" s="50">
        <f t="shared" ref="D32:J32" si="4">SUM(D2:D31)</f>
        <v>41320</v>
      </c>
      <c r="E32" s="50">
        <f t="shared" si="4"/>
        <v>21700</v>
      </c>
      <c r="F32" s="50">
        <f t="shared" si="4"/>
        <v>1710</v>
      </c>
      <c r="G32" s="50">
        <f t="shared" si="4"/>
        <v>175</v>
      </c>
      <c r="H32" s="50">
        <f t="shared" si="4"/>
        <v>64905</v>
      </c>
      <c r="I32" s="50">
        <f t="shared" si="4"/>
        <v>1135.8375</v>
      </c>
      <c r="J32" s="50">
        <f t="shared" si="4"/>
        <v>63769.1625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28" t="s">
        <v>2</v>
      </c>
      <c r="B1" s="2" t="s">
        <v>0</v>
      </c>
      <c r="C1" s="2" t="s">
        <v>27</v>
      </c>
      <c r="D1" s="2" t="s">
        <v>31</v>
      </c>
      <c r="E1" s="32" t="s">
        <v>32</v>
      </c>
      <c r="F1" s="2" t="s">
        <v>16</v>
      </c>
      <c r="G1" s="2" t="s">
        <v>33</v>
      </c>
      <c r="H1" s="2" t="s">
        <v>34</v>
      </c>
      <c r="I1" s="2" t="s">
        <v>35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9"/>
      <c r="B2" s="14" t="s">
        <v>3</v>
      </c>
      <c r="C2" s="42">
        <v>85044.0</v>
      </c>
      <c r="D2" s="42">
        <v>5116.0</v>
      </c>
      <c r="E2" s="43">
        <v>920.0</v>
      </c>
      <c r="F2" s="46">
        <f>C2-D2-E2</f>
        <v>79008</v>
      </c>
      <c r="G2" s="42">
        <v>300.0</v>
      </c>
      <c r="H2" s="42">
        <v>60.0</v>
      </c>
      <c r="I2" s="42">
        <f>F2-G2-H2</f>
        <v>78648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49"/>
      <c r="B3" s="50" t="s">
        <v>21</v>
      </c>
      <c r="C3" s="51">
        <f t="shared" ref="C3:F3" si="1">SUM(C2)</f>
        <v>85044</v>
      </c>
      <c r="D3" s="51">
        <f t="shared" si="1"/>
        <v>5116</v>
      </c>
      <c r="E3" s="51">
        <f t="shared" si="1"/>
        <v>920</v>
      </c>
      <c r="F3" s="52">
        <f t="shared" si="1"/>
        <v>79008</v>
      </c>
      <c r="G3" s="53"/>
      <c r="H3" s="53"/>
      <c r="I3" s="51">
        <f>SUM(I2)</f>
        <v>78648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55" t="s">
        <v>22</v>
      </c>
      <c r="B5" s="55">
        <v>50150.0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55" t="s">
        <v>23</v>
      </c>
      <c r="B6" s="58">
        <f>C3-B5</f>
        <v>34894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61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63"/>
    <col customWidth="1" min="3" max="3" width="15.0"/>
    <col customWidth="1" min="4" max="5" width="15.25"/>
  </cols>
  <sheetData>
    <row r="1">
      <c r="A1" s="2" t="s">
        <v>1</v>
      </c>
      <c r="B1" s="2" t="s">
        <v>4</v>
      </c>
      <c r="C1" s="2" t="s">
        <v>6</v>
      </c>
      <c r="D1" s="8" t="s">
        <v>8</v>
      </c>
      <c r="E1" s="10" t="s">
        <v>12</v>
      </c>
      <c r="F1" s="10" t="s">
        <v>16</v>
      </c>
    </row>
    <row r="2">
      <c r="A2" s="13" t="s">
        <v>18</v>
      </c>
      <c r="B2" s="14" t="s">
        <v>19</v>
      </c>
      <c r="C2" s="17" t="s">
        <v>20</v>
      </c>
      <c r="D2" s="20">
        <v>16800.0</v>
      </c>
      <c r="E2" s="17">
        <f>D2*1.75%</f>
        <v>294</v>
      </c>
      <c r="F2" s="26">
        <f t="shared" ref="F2:F3" si="1">D2-E2</f>
        <v>16506</v>
      </c>
    </row>
    <row r="3">
      <c r="A3" s="29" t="s">
        <v>26</v>
      </c>
      <c r="B3" s="30" t="s">
        <v>28</v>
      </c>
      <c r="C3" s="20" t="s">
        <v>29</v>
      </c>
      <c r="D3" s="20">
        <v>18800.0</v>
      </c>
      <c r="E3" s="17">
        <v>0.0</v>
      </c>
      <c r="F3" s="26">
        <f t="shared" si="1"/>
        <v>18800</v>
      </c>
    </row>
    <row r="4">
      <c r="A4" s="31" t="s">
        <v>21</v>
      </c>
      <c r="B4" s="33"/>
      <c r="C4" s="33"/>
      <c r="D4" s="35">
        <f t="shared" ref="D4:F4" si="2">SUM(D2:D3)</f>
        <v>35600</v>
      </c>
      <c r="E4" s="36">
        <f t="shared" si="2"/>
        <v>294</v>
      </c>
      <c r="F4" s="37">
        <f t="shared" si="2"/>
        <v>35306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4.5"/>
    <col customWidth="1" min="3" max="3" width="19.0"/>
    <col customWidth="1" min="4" max="4" width="13.13"/>
    <col customWidth="1" min="6" max="6" width="15.25"/>
  </cols>
  <sheetData>
    <row r="1">
      <c r="A1" s="15" t="s">
        <v>57</v>
      </c>
      <c r="B1" s="15" t="s">
        <v>58</v>
      </c>
      <c r="C1" s="15" t="s">
        <v>59</v>
      </c>
      <c r="D1" s="15" t="s">
        <v>60</v>
      </c>
      <c r="E1" s="2" t="s">
        <v>61</v>
      </c>
      <c r="F1" s="16" t="s">
        <v>12</v>
      </c>
      <c r="G1" s="10" t="s">
        <v>16</v>
      </c>
    </row>
    <row r="2">
      <c r="A2" s="13" t="s">
        <v>63</v>
      </c>
      <c r="B2" s="12" t="s">
        <v>64</v>
      </c>
      <c r="C2" s="12" t="s">
        <v>65</v>
      </c>
      <c r="D2" s="13" t="s">
        <v>66</v>
      </c>
      <c r="E2" s="42">
        <v>1920.0</v>
      </c>
      <c r="F2" s="17">
        <f>E2*1.75%</f>
        <v>33.6</v>
      </c>
      <c r="G2" s="26">
        <f>E2-F2</f>
        <v>1886.4</v>
      </c>
    </row>
  </sheetData>
  <drawing r:id="rId1"/>
</worksheet>
</file>