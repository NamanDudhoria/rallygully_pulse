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Khelomore" sheetId="5" r:id="rId9"/>
    <sheet state="visible" name="Misfits" sheetId="6" r:id="rId10"/>
    <sheet state="visible" name="Corporate Event" sheetId="7" r:id="rId11"/>
    <sheet state="visible" name="Memberships" sheetId="8" r:id="rId12"/>
  </sheets>
  <definedNames/>
  <calcPr/>
</workbook>
</file>

<file path=xl/sharedStrings.xml><?xml version="1.0" encoding="utf-8"?>
<sst xmlns="http://schemas.openxmlformats.org/spreadsheetml/2006/main" count="150" uniqueCount="80">
  <si>
    <t>Link</t>
  </si>
  <si>
    <t>Date</t>
  </si>
  <si>
    <t>Date: 1st - 30th Nov</t>
  </si>
  <si>
    <t>Day</t>
  </si>
  <si>
    <t>Offline booking hours</t>
  </si>
  <si>
    <t>Discount Given</t>
  </si>
  <si>
    <t>Booking Revenue</t>
  </si>
  <si>
    <t>Community Revenue</t>
  </si>
  <si>
    <t xml:space="preserve">Paddle Rental </t>
  </si>
  <si>
    <t>Drinks Revenue</t>
  </si>
  <si>
    <t>Total Revenue</t>
  </si>
  <si>
    <t>Particulars</t>
  </si>
  <si>
    <t>Saturday</t>
  </si>
  <si>
    <t>Amount</t>
  </si>
  <si>
    <t>0% and 10%</t>
  </si>
  <si>
    <t>Offline</t>
  </si>
  <si>
    <t>Paid to Playo (₹)</t>
  </si>
  <si>
    <t>Commissions (₹)</t>
  </si>
  <si>
    <t>GST (₹)</t>
  </si>
  <si>
    <t>Net Revenue</t>
  </si>
  <si>
    <t>Paid to Hudle</t>
  </si>
  <si>
    <t>Sunday</t>
  </si>
  <si>
    <t>TDS (₹)</t>
  </si>
  <si>
    <t>Commisions (Including GST)</t>
  </si>
  <si>
    <t>TCS (₹)</t>
  </si>
  <si>
    <t>Final Amount (₹)</t>
  </si>
  <si>
    <t>1 - 10 Nov</t>
  </si>
  <si>
    <t>TDS</t>
  </si>
  <si>
    <t>TCS</t>
  </si>
  <si>
    <t>Rentals</t>
  </si>
  <si>
    <t>Monday</t>
  </si>
  <si>
    <t>Tuesday</t>
  </si>
  <si>
    <t>11 -16 Nov</t>
  </si>
  <si>
    <t>17 - 23 Nov</t>
  </si>
  <si>
    <t>Wednesday</t>
  </si>
  <si>
    <t>Thursday</t>
  </si>
  <si>
    <t>24 - 30 Nov</t>
  </si>
  <si>
    <t>F&amp;B</t>
  </si>
  <si>
    <t>10 - 18 Nov</t>
  </si>
  <si>
    <t>Friday</t>
  </si>
  <si>
    <t>Product Sales</t>
  </si>
  <si>
    <t>18 - 25 Nov</t>
  </si>
  <si>
    <t>Bookings</t>
  </si>
  <si>
    <t>25 - 30 Nov</t>
  </si>
  <si>
    <t>Online: Third Party Platform</t>
  </si>
  <si>
    <t>Hudle</t>
  </si>
  <si>
    <t>Playo</t>
  </si>
  <si>
    <t>District</t>
  </si>
  <si>
    <t>Khelomore</t>
  </si>
  <si>
    <t>Community</t>
  </si>
  <si>
    <t>Rallygully Community games</t>
  </si>
  <si>
    <t>Misfits Community</t>
  </si>
  <si>
    <t>Courtly</t>
  </si>
  <si>
    <t>Memberships</t>
  </si>
  <si>
    <t>Corporate Events</t>
  </si>
  <si>
    <t>Brand Activation</t>
  </si>
  <si>
    <t>Other Income</t>
  </si>
  <si>
    <t>Total Gross Revenue</t>
  </si>
  <si>
    <t>Total Net Revenue (Post Commissions)</t>
  </si>
  <si>
    <t>Total Revenue post GST</t>
  </si>
  <si>
    <t>Venue Closed</t>
  </si>
  <si>
    <t>Total</t>
  </si>
  <si>
    <t>Paid to Khelomore (₹)</t>
  </si>
  <si>
    <t>Paid to Misfits (₹)</t>
  </si>
  <si>
    <t>Post Comission (20%)</t>
  </si>
  <si>
    <t xml:space="preserve">TDS </t>
  </si>
  <si>
    <t>1 - 30 NOV</t>
  </si>
  <si>
    <t>11 - 16 Nov</t>
  </si>
  <si>
    <t>Date &amp; Day</t>
  </si>
  <si>
    <t>Brand Name</t>
  </si>
  <si>
    <t>Timings</t>
  </si>
  <si>
    <t>Type of collab</t>
  </si>
  <si>
    <t>Member Name</t>
  </si>
  <si>
    <t>Sports Type</t>
  </si>
  <si>
    <t>Membership Type</t>
  </si>
  <si>
    <t>Start Date</t>
  </si>
  <si>
    <t>Amount Collected</t>
  </si>
  <si>
    <t>Sahil Gupta</t>
  </si>
  <si>
    <t>Pickleball</t>
  </si>
  <si>
    <t>Grand slam (90)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</si>
</sst>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"/>
    <numFmt numFmtId="165" formatCode="[$₹]#,##0.00"/>
    <numFmt numFmtId="166" formatCode="[&gt;9999999][$₹]##\,##\,##\,##0;[&gt;99999][$₹]##\,##\,##0;[$₹]##,##0"/>
    <numFmt numFmtId="167" formatCode="[&gt;9999999][$₹]##\,##\,##\,##0.00;[&gt;99999][$₹]##\,##\,##0.00;[$₹]##,##0.00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u/>
      <color rgb="FF0000FF"/>
      <name val="Arial"/>
    </font>
    <font>
      <color theme="1"/>
      <name val="Arial"/>
      <scheme val="minor"/>
    </font>
    <font>
      <sz val="10.0"/>
      <color theme="1"/>
      <name val="Arial"/>
    </font>
    <font>
      <b/>
      <u/>
      <sz val="10.0"/>
      <color rgb="FF0000FF"/>
      <name val="Arial"/>
    </font>
    <font>
      <b/>
      <sz val="10.0"/>
      <color theme="1"/>
      <name val="Arial"/>
    </font>
    <font>
      <b/>
      <u/>
      <color rgb="FF0000FF"/>
      <name val="Arial"/>
    </font>
    <font>
      <b/>
      <sz val="11.0"/>
      <color theme="1"/>
      <name val="Calibri"/>
    </font>
    <font>
      <b/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0" fillId="2" fontId="2" numFmtId="0" xfId="0" applyAlignment="1" applyFill="1" applyFont="1">
      <alignment horizontal="center" readingOrder="0" vertical="bottom"/>
    </xf>
    <xf borderId="0" fillId="0" fontId="4" numFmtId="164" xfId="0" applyAlignment="1" applyFont="1" applyNumberFormat="1">
      <alignment horizontal="right" vertical="bottom"/>
    </xf>
    <xf borderId="3" fillId="0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9" xfId="0" applyAlignment="1" applyFont="1" applyNumberFormat="1">
      <alignment vertical="bottom"/>
    </xf>
    <xf borderId="0" fillId="0" fontId="4" numFmtId="0" xfId="0" applyAlignment="1" applyFont="1">
      <alignment readingOrder="0" vertical="bottom"/>
    </xf>
    <xf borderId="0" fillId="2" fontId="5" numFmtId="165" xfId="0" applyAlignment="1" applyFill="1" applyFont="1" applyNumberFormat="1">
      <alignment readingOrder="0" vertical="bottom"/>
    </xf>
    <xf borderId="0" fillId="2" fontId="6" numFmtId="165" xfId="0" applyAlignment="1" applyFill="1" applyFont="1" applyNumberFormat="1">
      <alignment horizontal="center" readingOrder="0" vertical="bottom"/>
    </xf>
    <xf borderId="3" fillId="0" fontId="2" numFmtId="0" xfId="0" applyAlignment="1" applyBorder="1" applyFont="1">
      <alignment vertical="bottom"/>
    </xf>
    <xf borderId="3" fillId="2" fontId="2" numFmtId="165" xfId="0" applyAlignment="1" applyBorder="1" applyFill="1" applyFont="1" applyNumberFormat="1">
      <alignment horizontal="center" vertical="bottom"/>
    </xf>
    <xf borderId="3" fillId="2" fontId="2" numFmtId="165" xfId="0" applyAlignment="1" applyBorder="1" applyFill="1" applyFont="1" applyNumberFormat="1">
      <alignment vertical="bottom"/>
    </xf>
    <xf borderId="0" fillId="0" fontId="4" numFmtId="165" xfId="0" applyAlignment="1" applyFont="1" applyNumberFormat="1">
      <alignment readingOrder="0" vertical="bottom"/>
    </xf>
    <xf borderId="3" fillId="0" fontId="4" numFmtId="165" xfId="0" applyAlignment="1" applyBorder="1" applyFont="1" applyNumberFormat="1">
      <alignment readingOrder="0" vertical="bottom"/>
    </xf>
    <xf borderId="0" fillId="0" fontId="4" numFmtId="0" xfId="0" applyAlignment="1" applyFont="1">
      <alignment horizontal="right" vertical="bottom"/>
    </xf>
    <xf borderId="3" fillId="0" fontId="2" numFmtId="166" xfId="0" applyAlignment="1" applyBorder="1" applyFont="1" applyNumberFormat="1">
      <alignment horizontal="right" vertical="bottom"/>
    </xf>
    <xf borderId="0" fillId="0" fontId="4" numFmtId="165" xfId="0" applyAlignment="1" applyFont="1" applyNumberFormat="1">
      <alignment vertical="bottom"/>
    </xf>
    <xf borderId="3" fillId="0" fontId="4" numFmtId="0" xfId="0" applyAlignment="1" applyBorder="1" applyFont="1">
      <alignment vertical="bottom"/>
    </xf>
    <xf borderId="3" fillId="0" fontId="4" numFmtId="165" xfId="0" applyAlignment="1" applyBorder="1" applyFont="1" applyNumberFormat="1">
      <alignment horizontal="right" vertical="bottom"/>
    </xf>
    <xf borderId="3" fillId="0" fontId="4" numFmtId="165" xfId="0" applyAlignment="1" applyBorder="1" applyFont="1" applyNumberFormat="1">
      <alignment horizontal="right" readingOrder="0" vertical="bottom"/>
    </xf>
    <xf borderId="3" fillId="0" fontId="7" numFmtId="165" xfId="0" applyAlignment="1" applyBorder="1" applyFont="1" applyNumberFormat="1">
      <alignment readingOrder="0"/>
    </xf>
    <xf borderId="3" fillId="0" fontId="4" numFmtId="166" xfId="0" applyAlignment="1" applyBorder="1" applyFont="1" applyNumberFormat="1">
      <alignment horizontal="right" vertical="bottom"/>
    </xf>
    <xf borderId="3" fillId="0" fontId="8" numFmtId="165" xfId="0" applyAlignment="1" applyBorder="1" applyFont="1" applyNumberFormat="1">
      <alignment readingOrder="0" shrinkToFit="0" vertical="bottom" wrapText="0"/>
    </xf>
    <xf borderId="3" fillId="0" fontId="8" numFmtId="165" xfId="0" applyAlignment="1" applyBorder="1" applyFont="1" applyNumberFormat="1">
      <alignment shrinkToFit="0" vertical="bottom" wrapText="0"/>
    </xf>
    <xf borderId="3" fillId="0" fontId="4" numFmtId="0" xfId="0" applyAlignment="1" applyBorder="1" applyFont="1">
      <alignment readingOrder="0" vertical="bottom"/>
    </xf>
    <xf borderId="3" fillId="0" fontId="4" numFmtId="4" xfId="0" applyAlignment="1" applyBorder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 vertical="bottom"/>
    </xf>
    <xf borderId="3" fillId="0" fontId="4" numFmtId="167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vertical="bottom"/>
    </xf>
    <xf borderId="3" fillId="0" fontId="4" numFmtId="165" xfId="0" applyAlignment="1" applyBorder="1" applyFont="1" applyNumberFormat="1">
      <alignment vertical="bottom"/>
    </xf>
    <xf borderId="3" fillId="0" fontId="2" numFmtId="4" xfId="0" applyAlignment="1" applyBorder="1" applyFont="1" applyNumberFormat="1">
      <alignment horizontal="right" vertical="bottom"/>
    </xf>
    <xf borderId="0" fillId="0" fontId="2" numFmtId="0" xfId="0" applyAlignment="1" applyFont="1">
      <alignment vertical="bottom"/>
    </xf>
    <xf borderId="3" fillId="0" fontId="4" numFmtId="4" xfId="0" applyAlignment="1" applyBorder="1" applyFont="1" applyNumberFormat="1">
      <alignment vertical="bottom"/>
    </xf>
    <xf borderId="3" fillId="0" fontId="4" numFmtId="166" xfId="0" applyAlignment="1" applyBorder="1" applyFont="1" applyNumberFormat="1">
      <alignment horizontal="right" readingOrder="0" vertical="bottom"/>
    </xf>
    <xf borderId="3" fillId="0" fontId="2" numFmtId="165" xfId="0" applyAlignment="1" applyBorder="1" applyFont="1" applyNumberFormat="1">
      <alignment horizontal="right" vertical="bottom"/>
    </xf>
    <xf borderId="3" fillId="0" fontId="2" numFmtId="167" xfId="0" applyAlignment="1" applyBorder="1" applyFont="1" applyNumberFormat="1">
      <alignment horizontal="right" vertical="bottom"/>
    </xf>
    <xf borderId="3" fillId="0" fontId="2" numFmtId="0" xfId="0" applyAlignment="1" applyBorder="1" applyFont="1">
      <alignment readingOrder="0" vertical="bottom"/>
    </xf>
    <xf borderId="3" fillId="0" fontId="2" numFmtId="166" xfId="0" applyAlignment="1" applyBorder="1" applyFont="1" applyNumberFormat="1">
      <alignment horizontal="right" readingOrder="0" vertical="bottom"/>
    </xf>
    <xf borderId="4" fillId="0" fontId="2" numFmtId="0" xfId="0" applyAlignment="1" applyBorder="1" applyFont="1">
      <alignment vertical="bottom"/>
    </xf>
    <xf borderId="4" fillId="0" fontId="4" numFmtId="166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shrinkToFit="0" vertical="bottom" wrapText="1"/>
    </xf>
    <xf borderId="3" fillId="0" fontId="2" numFmtId="165" xfId="0" applyAlignment="1" applyBorder="1" applyFont="1" applyNumberFormat="1">
      <alignment horizontal="right" readingOrder="0" vertical="bottom"/>
    </xf>
    <xf borderId="0" fillId="2" fontId="2" numFmtId="0" xfId="0" applyAlignment="1" applyFill="1" applyFont="1">
      <alignment horizontal="right" vertical="bottom"/>
    </xf>
    <xf borderId="0" fillId="2" fontId="4" numFmtId="0" xfId="0" applyAlignment="1" applyFill="1" applyFont="1">
      <alignment horizontal="right" vertical="bottom"/>
    </xf>
    <xf borderId="0" fillId="2" fontId="4" numFmtId="9" xfId="0" applyAlignment="1" applyFill="1" applyFont="1" applyNumberFormat="1">
      <alignment horizontal="right" vertical="bottom"/>
    </xf>
    <xf borderId="0" fillId="2" fontId="1" numFmtId="0" xfId="0" applyAlignment="1" applyFill="1" applyFont="1">
      <alignment horizontal="right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2" fontId="9" numFmtId="0" xfId="0" applyAlignment="1" applyFill="1" applyFont="1">
      <alignment horizontal="center" readingOrder="0" vertical="bottom"/>
    </xf>
    <xf borderId="3" fillId="2" fontId="10" numFmtId="0" xfId="0" applyAlignment="1" applyBorder="1" applyFill="1" applyFont="1">
      <alignment horizontal="center" vertical="bottom"/>
    </xf>
    <xf borderId="0" fillId="2" fontId="11" numFmtId="0" xfId="0" applyAlignment="1" applyFill="1" applyFont="1">
      <alignment horizontal="center" readingOrder="0" vertical="bottom"/>
    </xf>
    <xf borderId="0" fillId="0" fontId="8" numFmtId="0" xfId="0" applyAlignment="1" applyFont="1">
      <alignment readingOrder="0" vertical="bottom"/>
    </xf>
    <xf borderId="3" fillId="2" fontId="2" numFmtId="0" xfId="0" applyAlignment="1" applyBorder="1" applyFill="1" applyFont="1">
      <alignment horizontal="center" vertical="bottom"/>
    </xf>
    <xf borderId="3" fillId="2" fontId="2" numFmtId="0" xfId="0" applyAlignment="1" applyBorder="1" applyFill="1" applyFont="1">
      <alignment horizontal="center" vertical="bottom"/>
    </xf>
    <xf borderId="3" fillId="0" fontId="8" numFmtId="0" xfId="0" applyAlignment="1" applyBorder="1" applyFont="1">
      <alignment readingOrder="0" vertical="bottom"/>
    </xf>
    <xf borderId="3" fillId="0" fontId="8" numFmtId="0" xfId="0" applyAlignment="1" applyBorder="1" applyFont="1">
      <alignment horizontal="right" vertical="bottom"/>
    </xf>
    <xf borderId="3" fillId="0" fontId="8" numFmtId="1" xfId="0" applyAlignment="1" applyBorder="1" applyFont="1" applyNumberFormat="1">
      <alignment horizontal="right" vertical="bottom"/>
    </xf>
    <xf borderId="3" fillId="0" fontId="7" numFmtId="0" xfId="0" applyAlignment="1" applyBorder="1" applyFont="1">
      <alignment readingOrder="0"/>
    </xf>
    <xf borderId="3" fillId="0" fontId="12" numFmtId="1" xfId="0" applyAlignment="1" applyBorder="1" applyFont="1" applyNumberFormat="1">
      <alignment horizontal="right" vertical="bottom"/>
    </xf>
    <xf borderId="3" fillId="0" fontId="4" numFmtId="9" xfId="0" applyAlignment="1" applyBorder="1" applyFont="1" applyNumberFormat="1">
      <alignment readingOrder="0" vertical="bottom"/>
    </xf>
    <xf borderId="0" fillId="0" fontId="8" numFmtId="0" xfId="0" applyAlignment="1" applyFont="1">
      <alignment vertical="bottom"/>
    </xf>
    <xf borderId="3" fillId="0" fontId="13" numFmtId="1" xfId="0" applyAlignment="1" applyBorder="1" applyFont="1" applyNumberFormat="1">
      <alignment horizontal="right" vertical="bottom"/>
    </xf>
    <xf borderId="0" fillId="0" fontId="8" numFmtId="0" xfId="0" applyAlignment="1" applyFont="1">
      <alignment vertical="bottom"/>
    </xf>
    <xf borderId="3" fillId="0" fontId="8" numFmtId="0" xfId="0" applyAlignment="1" applyBorder="1" applyFont="1">
      <alignment horizontal="right" readingOrder="0" vertical="bottom"/>
    </xf>
    <xf borderId="3" fillId="0" fontId="8" numFmtId="0" xfId="0" applyAlignment="1" applyBorder="1" applyFont="1">
      <alignment vertical="bottom"/>
    </xf>
    <xf borderId="3" fillId="0" fontId="10" numFmtId="0" xfId="0" applyAlignment="1" applyBorder="1" applyFont="1">
      <alignment horizontal="right" vertical="bottom"/>
    </xf>
    <xf borderId="0" fillId="0" fontId="7" numFmtId="0" xfId="0" applyAlignment="1" applyFont="1">
      <alignment horizontal="right" readingOrder="0"/>
    </xf>
    <xf borderId="0" fillId="0" fontId="7" numFmtId="3" xfId="0" applyAlignment="1" applyFont="1" applyNumberFormat="1">
      <alignment horizontal="right" readingOrder="0"/>
    </xf>
    <xf borderId="3" fillId="2" fontId="2" numFmtId="0" xfId="0" applyAlignment="1" applyBorder="1" applyFill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3" xfId="0" applyAlignment="1" applyFont="1" applyNumberFormat="1">
      <alignment vertical="bottom"/>
    </xf>
    <xf borderId="0" fillId="0" fontId="4" numFmtId="3" xfId="0" applyAlignment="1" applyFont="1" applyNumberFormat="1">
      <alignment horizontal="right" vertical="bottom"/>
    </xf>
    <xf borderId="3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cOmxwwsynRu2D6yOxCEl0-u_xBGbHjb2dvqz-i-zpI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KU1ST88wC7Rvh2DmccLuArchm6aZ5NOnNP50kPnRl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TuehxdrFefz4thu9FABYNNpgdR2FtazkF17pkMUNvYU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ZiuaQr3AqSPWde5JLHiGxekgGL-TebZjDM00yuw_KY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3" t="s">
        <v>2</v>
      </c>
      <c r="C2" s="4"/>
    </row>
    <row r="3">
      <c r="B3" s="7" t="s">
        <v>11</v>
      </c>
      <c r="C3" s="7" t="s">
        <v>13</v>
      </c>
      <c r="E3" s="11"/>
      <c r="F3" s="8"/>
    </row>
    <row r="4">
      <c r="B4" s="14" t="s">
        <v>15</v>
      </c>
      <c r="C4" s="20">
        <f>SUM(C5,C6,C7,, C8)</f>
        <v>21000</v>
      </c>
      <c r="E4" s="11"/>
      <c r="F4" s="8"/>
    </row>
    <row r="5" outlineLevel="1">
      <c r="B5" s="22" t="s">
        <v>29</v>
      </c>
      <c r="C5" s="26">
        <f>'Offline &amp; RG Community'!G32</f>
        <v>4790</v>
      </c>
      <c r="E5" s="11"/>
      <c r="F5" s="8"/>
    </row>
    <row r="6" outlineLevel="1">
      <c r="B6" s="22" t="s">
        <v>37</v>
      </c>
      <c r="C6" s="26">
        <f>'Offline &amp; RG Community'!H32</f>
        <v>1890</v>
      </c>
      <c r="E6" s="11"/>
      <c r="F6" s="8"/>
    </row>
    <row r="7" outlineLevel="1">
      <c r="B7" s="22" t="s">
        <v>40</v>
      </c>
      <c r="C7" s="26">
        <v>0.0</v>
      </c>
      <c r="E7" s="11"/>
      <c r="F7" s="8"/>
    </row>
    <row r="8" outlineLevel="1">
      <c r="B8" s="22" t="s">
        <v>42</v>
      </c>
      <c r="C8" s="26">
        <f>'Offline &amp; RG Community'!E32</f>
        <v>14320</v>
      </c>
      <c r="E8" s="11"/>
      <c r="F8" s="8"/>
    </row>
    <row r="9">
      <c r="B9" s="14" t="s">
        <v>44</v>
      </c>
      <c r="C9" s="20">
        <f>sum(C10,C11,C12,C13,)</f>
        <v>96029</v>
      </c>
      <c r="E9" s="11"/>
      <c r="F9" s="8"/>
    </row>
    <row r="10" outlineLevel="1">
      <c r="B10" s="33" t="s">
        <v>45</v>
      </c>
      <c r="C10" s="26">
        <f>Hudle!C7</f>
        <v>65915</v>
      </c>
      <c r="E10" s="11"/>
      <c r="F10" s="36"/>
    </row>
    <row r="11" outlineLevel="1">
      <c r="B11" s="22" t="s">
        <v>46</v>
      </c>
      <c r="C11" s="26">
        <f>Playo!C8</f>
        <v>11080</v>
      </c>
      <c r="E11" s="11"/>
      <c r="F11" s="36"/>
    </row>
    <row r="12" outlineLevel="1">
      <c r="B12" s="33" t="s">
        <v>47</v>
      </c>
      <c r="C12" s="38">
        <v>0.0</v>
      </c>
    </row>
    <row r="13" outlineLevel="1">
      <c r="B13" s="22" t="s">
        <v>48</v>
      </c>
      <c r="C13" s="26">
        <f>Khelomore!C6</f>
        <v>19034</v>
      </c>
    </row>
    <row r="14">
      <c r="B14" s="41" t="s">
        <v>49</v>
      </c>
      <c r="C14" s="20">
        <f>SUM(C15,C16)</f>
        <v>1100</v>
      </c>
      <c r="E14" s="11"/>
      <c r="F14" s="8"/>
    </row>
    <row r="15" outlineLevel="1">
      <c r="B15" s="33" t="s">
        <v>50</v>
      </c>
      <c r="C15" s="26">
        <f>'Offline &amp; RG Community'!F32</f>
        <v>1100</v>
      </c>
      <c r="E15" s="11"/>
      <c r="F15" s="8"/>
    </row>
    <row r="16" outlineLevel="1">
      <c r="B16" s="22" t="s">
        <v>51</v>
      </c>
      <c r="C16" s="38">
        <v>0.0</v>
      </c>
    </row>
    <row r="17" outlineLevel="1">
      <c r="B17" s="29" t="s">
        <v>52</v>
      </c>
      <c r="C17" s="42">
        <v>0.0</v>
      </c>
    </row>
    <row r="18">
      <c r="B18" s="14" t="s">
        <v>53</v>
      </c>
      <c r="C18" s="20">
        <f>Memberships!E2</f>
        <v>50000</v>
      </c>
    </row>
    <row r="19">
      <c r="B19" s="14" t="s">
        <v>54</v>
      </c>
      <c r="C19" s="38">
        <v>0.0</v>
      </c>
    </row>
    <row r="20">
      <c r="B20" s="14" t="s">
        <v>55</v>
      </c>
      <c r="C20" s="38">
        <f>0</f>
        <v>0</v>
      </c>
    </row>
    <row r="21">
      <c r="B21" s="43" t="s">
        <v>56</v>
      </c>
      <c r="C21" s="44">
        <v>0.0</v>
      </c>
    </row>
    <row r="22">
      <c r="B22" s="14" t="s">
        <v>57</v>
      </c>
      <c r="C22" s="20">
        <f>sum(C4,C9,C18,C19,C20,C21,C14)</f>
        <v>168129</v>
      </c>
    </row>
    <row r="23">
      <c r="B23" s="45" t="s">
        <v>58</v>
      </c>
      <c r="C23" s="46">
        <f>SUM('Offline &amp; RG Community'!I32,Hudle!E7,Playo!F8,Khelomore!E6,Misfits!D2,Memberships!E2)</f>
        <v>153608.68</v>
      </c>
    </row>
    <row r="24">
      <c r="B24" s="14" t="s">
        <v>59</v>
      </c>
      <c r="C24" s="20">
        <f>C23/1.18</f>
        <v>130176.8475</v>
      </c>
    </row>
    <row r="25">
      <c r="B25" s="14"/>
      <c r="C25" s="20"/>
    </row>
    <row r="26">
      <c r="B26" s="14"/>
      <c r="C26" s="20"/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8.25"/>
    <col customWidth="1" min="5" max="5" width="15.13"/>
    <col customWidth="1" min="6" max="6" width="17.63"/>
    <col customWidth="1" min="8" max="8" width="13.63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5" t="s">
        <v>9</v>
      </c>
      <c r="I1" s="2" t="s">
        <v>10</v>
      </c>
    </row>
    <row r="2">
      <c r="A2" s="6">
        <v>45962.0</v>
      </c>
      <c r="B2" s="8" t="s">
        <v>12</v>
      </c>
      <c r="C2" s="9">
        <v>0.0</v>
      </c>
      <c r="D2" s="10" t="s">
        <v>14</v>
      </c>
      <c r="E2" s="9">
        <v>0.0</v>
      </c>
      <c r="F2" s="9">
        <v>0.0</v>
      </c>
      <c r="G2" s="9">
        <v>175.0</v>
      </c>
      <c r="H2" s="9">
        <v>150.0</v>
      </c>
      <c r="I2" s="9">
        <f t="shared" ref="I2:I29" si="1">SUM(E2:H2)</f>
        <v>325</v>
      </c>
    </row>
    <row r="3">
      <c r="A3" s="6">
        <v>45963.0</v>
      </c>
      <c r="B3" s="8" t="s">
        <v>21</v>
      </c>
      <c r="C3" s="19">
        <v>0.0</v>
      </c>
      <c r="D3" s="10" t="s">
        <v>14</v>
      </c>
      <c r="E3" s="19">
        <v>0.0</v>
      </c>
      <c r="F3" s="19">
        <v>0.0</v>
      </c>
      <c r="G3" s="19">
        <v>50.0</v>
      </c>
      <c r="H3" s="9">
        <v>60.0</v>
      </c>
      <c r="I3" s="9">
        <f t="shared" si="1"/>
        <v>110</v>
      </c>
    </row>
    <row r="4">
      <c r="A4" s="6">
        <v>45964.0</v>
      </c>
      <c r="B4" s="8" t="s">
        <v>30</v>
      </c>
      <c r="C4" s="9">
        <v>0.0</v>
      </c>
      <c r="D4" s="10" t="s">
        <v>14</v>
      </c>
      <c r="E4" s="9">
        <v>0.0</v>
      </c>
      <c r="F4" s="9">
        <v>0.0</v>
      </c>
      <c r="G4" s="9">
        <v>0.0</v>
      </c>
      <c r="H4" s="9">
        <v>0.0</v>
      </c>
      <c r="I4" s="9">
        <f t="shared" si="1"/>
        <v>0</v>
      </c>
    </row>
    <row r="5">
      <c r="A5" s="6">
        <v>45965.0</v>
      </c>
      <c r="B5" s="8" t="s">
        <v>31</v>
      </c>
      <c r="C5" s="9">
        <v>1.0</v>
      </c>
      <c r="D5" s="10" t="s">
        <v>14</v>
      </c>
      <c r="E5" s="9">
        <v>720.0</v>
      </c>
      <c r="F5" s="9">
        <v>0.0</v>
      </c>
      <c r="G5" s="9">
        <v>100.0</v>
      </c>
      <c r="H5" s="9">
        <v>30.0</v>
      </c>
      <c r="I5" s="9">
        <f t="shared" si="1"/>
        <v>850</v>
      </c>
    </row>
    <row r="6">
      <c r="A6" s="6">
        <v>45966.0</v>
      </c>
      <c r="B6" s="8" t="s">
        <v>34</v>
      </c>
      <c r="C6" s="9">
        <v>1.0</v>
      </c>
      <c r="D6" s="10" t="s">
        <v>14</v>
      </c>
      <c r="E6" s="9">
        <v>800.0</v>
      </c>
      <c r="F6" s="9">
        <v>50.0</v>
      </c>
      <c r="G6" s="9">
        <v>180.0</v>
      </c>
      <c r="H6" s="19">
        <v>0.0</v>
      </c>
      <c r="I6" s="9">
        <f t="shared" si="1"/>
        <v>1030</v>
      </c>
    </row>
    <row r="7">
      <c r="A7" s="6">
        <v>45967.0</v>
      </c>
      <c r="B7" s="8" t="s">
        <v>35</v>
      </c>
      <c r="C7" s="19">
        <v>1.0</v>
      </c>
      <c r="D7" s="10" t="s">
        <v>14</v>
      </c>
      <c r="E7" s="19">
        <v>720.0</v>
      </c>
      <c r="F7" s="19">
        <v>250.0</v>
      </c>
      <c r="G7" s="19">
        <v>60.0</v>
      </c>
      <c r="H7" s="19">
        <v>60.0</v>
      </c>
      <c r="I7" s="9">
        <f t="shared" si="1"/>
        <v>1090</v>
      </c>
    </row>
    <row r="8">
      <c r="A8" s="6">
        <v>45968.0</v>
      </c>
      <c r="B8" s="8" t="s">
        <v>39</v>
      </c>
      <c r="C8" s="19">
        <v>0.0</v>
      </c>
      <c r="D8" s="10" t="s">
        <v>14</v>
      </c>
      <c r="E8" s="19">
        <v>0.0</v>
      </c>
      <c r="F8" s="19">
        <v>0.0</v>
      </c>
      <c r="G8" s="19">
        <v>100.0</v>
      </c>
      <c r="H8" s="19">
        <v>60.0</v>
      </c>
      <c r="I8" s="9">
        <f t="shared" si="1"/>
        <v>160</v>
      </c>
    </row>
    <row r="9">
      <c r="A9" s="6">
        <v>45969.0</v>
      </c>
      <c r="B9" s="8" t="s">
        <v>12</v>
      </c>
      <c r="C9" s="9">
        <v>1.0</v>
      </c>
      <c r="D9" s="10" t="s">
        <v>14</v>
      </c>
      <c r="E9" s="9">
        <v>800.0</v>
      </c>
      <c r="F9" s="9">
        <v>800.0</v>
      </c>
      <c r="G9" s="9">
        <v>300.0</v>
      </c>
      <c r="H9" s="9">
        <v>0.0</v>
      </c>
      <c r="I9" s="9">
        <f t="shared" si="1"/>
        <v>1900</v>
      </c>
    </row>
    <row r="10">
      <c r="A10" s="6">
        <v>45970.0</v>
      </c>
      <c r="B10" s="8" t="s">
        <v>21</v>
      </c>
      <c r="C10" s="19">
        <v>0.0</v>
      </c>
      <c r="D10" s="10" t="s">
        <v>14</v>
      </c>
      <c r="E10" s="19">
        <v>0.0</v>
      </c>
      <c r="F10" s="19">
        <v>0.0</v>
      </c>
      <c r="G10" s="19">
        <v>150.0</v>
      </c>
      <c r="H10" s="9">
        <v>210.0</v>
      </c>
      <c r="I10" s="9">
        <f t="shared" si="1"/>
        <v>360</v>
      </c>
    </row>
    <row r="11">
      <c r="A11" s="6">
        <v>45971.0</v>
      </c>
      <c r="B11" s="8" t="s">
        <v>30</v>
      </c>
      <c r="C11" s="9">
        <v>0.0</v>
      </c>
      <c r="D11" s="10" t="s">
        <v>14</v>
      </c>
      <c r="E11" s="9">
        <v>0.0</v>
      </c>
      <c r="F11" s="9">
        <v>0.0</v>
      </c>
      <c r="G11" s="9">
        <v>100.0</v>
      </c>
      <c r="H11" s="9">
        <v>0.0</v>
      </c>
      <c r="I11" s="9">
        <f t="shared" si="1"/>
        <v>100</v>
      </c>
    </row>
    <row r="12">
      <c r="A12" s="6">
        <v>45972.0</v>
      </c>
      <c r="B12" s="8" t="s">
        <v>31</v>
      </c>
      <c r="C12" s="9">
        <v>0.0</v>
      </c>
      <c r="D12" s="10" t="s">
        <v>14</v>
      </c>
      <c r="E12" s="9">
        <v>0.0</v>
      </c>
      <c r="F12" s="9">
        <v>0.0</v>
      </c>
      <c r="G12" s="9">
        <v>0.0</v>
      </c>
      <c r="H12" s="9">
        <v>120.0</v>
      </c>
      <c r="I12" s="9">
        <f t="shared" si="1"/>
        <v>120</v>
      </c>
    </row>
    <row r="13">
      <c r="A13" s="6">
        <v>45973.0</v>
      </c>
      <c r="B13" s="8" t="s">
        <v>34</v>
      </c>
      <c r="C13" s="9">
        <v>0.0</v>
      </c>
      <c r="D13" s="10" t="s">
        <v>14</v>
      </c>
      <c r="E13" s="9">
        <v>0.0</v>
      </c>
      <c r="F13" s="9">
        <v>0.0</v>
      </c>
      <c r="G13" s="9">
        <v>100.0</v>
      </c>
      <c r="H13" s="9">
        <v>0.0</v>
      </c>
      <c r="I13" s="9">
        <f t="shared" si="1"/>
        <v>100</v>
      </c>
    </row>
    <row r="14">
      <c r="A14" s="6">
        <v>45974.0</v>
      </c>
      <c r="B14" s="8" t="s">
        <v>35</v>
      </c>
      <c r="C14" s="9">
        <v>0.5</v>
      </c>
      <c r="D14" s="10" t="s">
        <v>14</v>
      </c>
      <c r="E14" s="9">
        <v>400.0</v>
      </c>
      <c r="F14" s="9">
        <v>0.0</v>
      </c>
      <c r="G14" s="9">
        <v>100.0</v>
      </c>
      <c r="H14" s="9">
        <v>0.0</v>
      </c>
      <c r="I14" s="9">
        <f t="shared" si="1"/>
        <v>500</v>
      </c>
    </row>
    <row r="15">
      <c r="A15" s="6">
        <v>45975.0</v>
      </c>
      <c r="B15" s="8" t="s">
        <v>39</v>
      </c>
      <c r="C15" s="9">
        <v>0.0</v>
      </c>
      <c r="D15" s="10" t="s">
        <v>14</v>
      </c>
      <c r="E15" s="9">
        <v>0.0</v>
      </c>
      <c r="F15" s="9">
        <v>0.0</v>
      </c>
      <c r="G15" s="9">
        <v>100.0</v>
      </c>
      <c r="H15" s="9">
        <v>60.0</v>
      </c>
      <c r="I15" s="9">
        <f t="shared" si="1"/>
        <v>160</v>
      </c>
    </row>
    <row r="16">
      <c r="A16" s="6">
        <v>45976.0</v>
      </c>
      <c r="B16" s="8" t="s">
        <v>12</v>
      </c>
      <c r="C16" s="9">
        <v>0.0</v>
      </c>
      <c r="D16" s="10" t="s">
        <v>14</v>
      </c>
      <c r="E16" s="9">
        <v>0.0</v>
      </c>
      <c r="F16" s="9">
        <v>0.0</v>
      </c>
      <c r="G16" s="9">
        <v>50.0</v>
      </c>
      <c r="H16" s="9">
        <v>0.0</v>
      </c>
      <c r="I16" s="9">
        <f t="shared" si="1"/>
        <v>50</v>
      </c>
    </row>
    <row r="17">
      <c r="A17" s="6">
        <v>45977.0</v>
      </c>
      <c r="B17" s="8" t="s">
        <v>21</v>
      </c>
      <c r="C17" s="9">
        <v>0.0</v>
      </c>
      <c r="D17" s="10" t="s">
        <v>14</v>
      </c>
      <c r="E17" s="9">
        <v>0.0</v>
      </c>
      <c r="F17" s="9">
        <v>0.0</v>
      </c>
      <c r="G17" s="9">
        <v>350.0</v>
      </c>
      <c r="H17" s="9">
        <v>0.0</v>
      </c>
      <c r="I17" s="9">
        <f t="shared" si="1"/>
        <v>350</v>
      </c>
    </row>
    <row r="18">
      <c r="A18" s="6">
        <v>45978.0</v>
      </c>
      <c r="B18" s="8" t="s">
        <v>30</v>
      </c>
      <c r="C18" s="19">
        <v>1.0</v>
      </c>
      <c r="D18" s="10" t="s">
        <v>14</v>
      </c>
      <c r="E18" s="19">
        <v>800.0</v>
      </c>
      <c r="F18" s="19">
        <v>0.0</v>
      </c>
      <c r="G18" s="19">
        <v>100.0</v>
      </c>
      <c r="H18" s="9">
        <v>60.0</v>
      </c>
      <c r="I18" s="9">
        <f t="shared" si="1"/>
        <v>960</v>
      </c>
      <c r="J18" s="8"/>
    </row>
    <row r="19">
      <c r="A19" s="6">
        <v>45979.0</v>
      </c>
      <c r="B19" s="8" t="s">
        <v>31</v>
      </c>
      <c r="C19" s="9">
        <v>0.0</v>
      </c>
      <c r="D19" s="10" t="s">
        <v>14</v>
      </c>
      <c r="E19" s="9">
        <v>0.0</v>
      </c>
      <c r="F19" s="9">
        <v>0.0</v>
      </c>
      <c r="G19" s="9">
        <v>0.0</v>
      </c>
      <c r="H19" s="9">
        <v>30.0</v>
      </c>
      <c r="I19" s="9">
        <f t="shared" si="1"/>
        <v>30</v>
      </c>
    </row>
    <row r="20">
      <c r="A20" s="6">
        <v>45980.0</v>
      </c>
      <c r="B20" s="8" t="s">
        <v>34</v>
      </c>
      <c r="C20" s="9">
        <v>0.5</v>
      </c>
      <c r="D20" s="10" t="s">
        <v>14</v>
      </c>
      <c r="E20" s="9">
        <v>400.0</v>
      </c>
      <c r="F20" s="9">
        <v>0.0</v>
      </c>
      <c r="G20" s="9">
        <v>50.0</v>
      </c>
      <c r="H20" s="9">
        <v>90.0</v>
      </c>
      <c r="I20" s="9">
        <f t="shared" si="1"/>
        <v>540</v>
      </c>
    </row>
    <row r="21">
      <c r="A21" s="6">
        <v>45981.0</v>
      </c>
      <c r="B21" s="8" t="s">
        <v>35</v>
      </c>
      <c r="C21" s="9">
        <v>1.0</v>
      </c>
      <c r="D21" s="10" t="s">
        <v>14</v>
      </c>
      <c r="E21" s="9">
        <v>800.0</v>
      </c>
      <c r="F21" s="9">
        <v>0.0</v>
      </c>
      <c r="G21" s="9">
        <v>150.0</v>
      </c>
      <c r="H21" s="9">
        <v>60.0</v>
      </c>
      <c r="I21" s="9">
        <f t="shared" si="1"/>
        <v>1010</v>
      </c>
    </row>
    <row r="22">
      <c r="A22" s="6">
        <v>45982.0</v>
      </c>
      <c r="B22" s="8" t="s">
        <v>39</v>
      </c>
      <c r="C22" s="9">
        <v>3.5</v>
      </c>
      <c r="D22" s="10" t="s">
        <v>14</v>
      </c>
      <c r="E22" s="9">
        <v>2800.0</v>
      </c>
      <c r="F22" s="9">
        <v>0.0</v>
      </c>
      <c r="G22" s="9">
        <v>500.0</v>
      </c>
      <c r="H22" s="9">
        <v>60.0</v>
      </c>
      <c r="I22" s="9">
        <f t="shared" si="1"/>
        <v>3360</v>
      </c>
    </row>
    <row r="23">
      <c r="A23" s="6">
        <v>45983.0</v>
      </c>
      <c r="B23" s="8" t="s">
        <v>12</v>
      </c>
      <c r="C23" s="9">
        <v>1.0</v>
      </c>
      <c r="D23" s="10" t="s">
        <v>14</v>
      </c>
      <c r="E23" s="9">
        <v>800.0</v>
      </c>
      <c r="F23" s="9">
        <v>0.0</v>
      </c>
      <c r="G23" s="9">
        <v>200.0</v>
      </c>
      <c r="H23" s="9">
        <v>0.0</v>
      </c>
      <c r="I23" s="9">
        <f t="shared" si="1"/>
        <v>1000</v>
      </c>
      <c r="J23" s="8"/>
      <c r="K23" s="8"/>
    </row>
    <row r="24">
      <c r="A24" s="6">
        <v>45984.0</v>
      </c>
      <c r="B24" s="8" t="s">
        <v>21</v>
      </c>
      <c r="C24" s="9">
        <v>4.0</v>
      </c>
      <c r="D24" s="10" t="s">
        <v>14</v>
      </c>
      <c r="E24" s="9">
        <v>2880.0</v>
      </c>
      <c r="F24" s="9">
        <v>0.0</v>
      </c>
      <c r="G24" s="9">
        <v>675.0</v>
      </c>
      <c r="H24" s="9">
        <v>150.0</v>
      </c>
      <c r="I24" s="9">
        <f t="shared" si="1"/>
        <v>3705</v>
      </c>
    </row>
    <row r="25">
      <c r="A25" s="6">
        <v>45985.0</v>
      </c>
      <c r="B25" s="8" t="s">
        <v>30</v>
      </c>
      <c r="C25" s="9">
        <v>0.0</v>
      </c>
      <c r="D25" s="10" t="s">
        <v>14</v>
      </c>
      <c r="E25" s="9">
        <v>0.0</v>
      </c>
      <c r="F25" s="9">
        <v>0.0</v>
      </c>
      <c r="G25" s="9">
        <v>50.0</v>
      </c>
      <c r="H25" s="9">
        <v>0.0</v>
      </c>
      <c r="I25" s="9">
        <f t="shared" si="1"/>
        <v>50</v>
      </c>
    </row>
    <row r="26">
      <c r="A26" s="6">
        <v>45986.0</v>
      </c>
      <c r="B26" s="8" t="s">
        <v>31</v>
      </c>
      <c r="C26" s="9">
        <v>0.0</v>
      </c>
      <c r="D26" s="10" t="s">
        <v>14</v>
      </c>
      <c r="E26" s="9">
        <v>0.0</v>
      </c>
      <c r="F26" s="9">
        <v>0.0</v>
      </c>
      <c r="G26" s="9">
        <v>50.0</v>
      </c>
      <c r="H26" s="9">
        <v>90.0</v>
      </c>
      <c r="I26" s="9">
        <f t="shared" si="1"/>
        <v>140</v>
      </c>
    </row>
    <row r="27">
      <c r="A27" s="6">
        <v>45987.0</v>
      </c>
      <c r="B27" s="8" t="s">
        <v>34</v>
      </c>
      <c r="C27" s="9">
        <v>1.5</v>
      </c>
      <c r="D27" s="10" t="s">
        <v>14</v>
      </c>
      <c r="E27" s="9">
        <v>1200.0</v>
      </c>
      <c r="F27" s="9">
        <v>0.0</v>
      </c>
      <c r="G27" s="9">
        <v>200.0</v>
      </c>
      <c r="H27" s="9">
        <v>270.0</v>
      </c>
      <c r="I27" s="9">
        <f t="shared" si="1"/>
        <v>1670</v>
      </c>
    </row>
    <row r="28">
      <c r="A28" s="6">
        <v>45988.0</v>
      </c>
      <c r="B28" s="8" t="s">
        <v>35</v>
      </c>
      <c r="C28" s="9">
        <v>1.5</v>
      </c>
      <c r="D28" s="10" t="s">
        <v>14</v>
      </c>
      <c r="E28" s="9">
        <v>1200.0</v>
      </c>
      <c r="F28" s="9">
        <v>0.0</v>
      </c>
      <c r="G28" s="9">
        <v>550.0</v>
      </c>
      <c r="H28" s="9">
        <v>330.0</v>
      </c>
      <c r="I28" s="9">
        <f t="shared" si="1"/>
        <v>2080</v>
      </c>
    </row>
    <row r="29">
      <c r="A29" s="6">
        <v>45989.0</v>
      </c>
      <c r="B29" s="8" t="s">
        <v>39</v>
      </c>
      <c r="C29" s="9">
        <v>0.0</v>
      </c>
      <c r="D29" s="10" t="s">
        <v>14</v>
      </c>
      <c r="E29" s="9">
        <v>0.0</v>
      </c>
      <c r="F29" s="9">
        <v>0.0</v>
      </c>
      <c r="G29" s="9">
        <v>350.0</v>
      </c>
      <c r="H29" s="9">
        <v>0.0</v>
      </c>
      <c r="I29" s="9">
        <f t="shared" si="1"/>
        <v>350</v>
      </c>
    </row>
    <row r="30">
      <c r="A30" s="6">
        <v>45990.0</v>
      </c>
      <c r="B30" s="8" t="s">
        <v>12</v>
      </c>
      <c r="C30" s="9">
        <v>0.0</v>
      </c>
      <c r="D30" s="10" t="s">
        <v>14</v>
      </c>
      <c r="E30" s="8"/>
      <c r="F30" s="8"/>
      <c r="G30" s="8"/>
      <c r="H30" s="8"/>
      <c r="I30" s="8" t="s">
        <v>60</v>
      </c>
      <c r="J30" s="8"/>
      <c r="K30" s="8"/>
    </row>
    <row r="31">
      <c r="A31" s="6">
        <v>45991.0</v>
      </c>
      <c r="B31" s="8" t="s">
        <v>21</v>
      </c>
      <c r="C31" s="9">
        <v>0.0</v>
      </c>
      <c r="D31" s="10" t="s">
        <v>14</v>
      </c>
      <c r="E31" s="8"/>
      <c r="F31" s="8"/>
      <c r="G31" s="8"/>
      <c r="H31" s="8"/>
      <c r="I31" s="8" t="s">
        <v>60</v>
      </c>
      <c r="K31" s="8"/>
    </row>
    <row r="32">
      <c r="A32" s="47" t="s">
        <v>61</v>
      </c>
      <c r="B32" s="48"/>
      <c r="C32" s="47">
        <f>SUM(C2:C31)</f>
        <v>18.5</v>
      </c>
      <c r="D32" s="49"/>
      <c r="E32" s="47">
        <f t="shared" ref="E32:I32" si="2">SUM(E2:E31)</f>
        <v>14320</v>
      </c>
      <c r="F32" s="47">
        <f t="shared" si="2"/>
        <v>1100</v>
      </c>
      <c r="G32" s="47">
        <f t="shared" si="2"/>
        <v>4790</v>
      </c>
      <c r="H32" s="47">
        <f t="shared" si="2"/>
        <v>1890</v>
      </c>
      <c r="I32" s="47">
        <f t="shared" si="2"/>
        <v>22100</v>
      </c>
      <c r="J32" s="50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75"/>
    <col customWidth="1" min="4" max="4" width="23.88"/>
    <col customWidth="1" min="5" max="5" width="11.13"/>
    <col customWidth="1" min="6" max="6" width="6.13"/>
    <col customWidth="1" min="7" max="7" width="7.0"/>
  </cols>
  <sheetData>
    <row r="1">
      <c r="A1" s="12" t="s">
        <v>0</v>
      </c>
      <c r="B1" s="16" t="s">
        <v>1</v>
      </c>
      <c r="C1" s="16" t="s">
        <v>20</v>
      </c>
      <c r="D1" s="16" t="s">
        <v>23</v>
      </c>
      <c r="E1" s="15" t="s">
        <v>19</v>
      </c>
      <c r="F1" s="16" t="s">
        <v>27</v>
      </c>
      <c r="G1" s="16" t="s">
        <v>28</v>
      </c>
      <c r="H1" s="16" t="s">
        <v>13</v>
      </c>
    </row>
    <row r="2">
      <c r="A2" s="21"/>
      <c r="B2" s="18" t="s">
        <v>26</v>
      </c>
      <c r="C2" s="24">
        <v>29650.0</v>
      </c>
      <c r="D2" s="24">
        <v>3854.5</v>
      </c>
      <c r="E2" s="23">
        <f t="shared" ref="E2:E5" si="1">C2-D2</f>
        <v>25795.5</v>
      </c>
      <c r="F2" s="24">
        <v>25.12</v>
      </c>
      <c r="G2" s="24">
        <v>125.6</v>
      </c>
      <c r="H2" s="24">
        <v>25644.75</v>
      </c>
    </row>
    <row r="3">
      <c r="A3" s="21"/>
      <c r="B3" s="18" t="s">
        <v>38</v>
      </c>
      <c r="C3" s="24">
        <v>14440.0</v>
      </c>
      <c r="D3" s="24">
        <v>1877.2</v>
      </c>
      <c r="E3" s="23">
        <f t="shared" si="1"/>
        <v>12562.8</v>
      </c>
      <c r="F3" s="24">
        <v>12.23</v>
      </c>
      <c r="G3" s="24">
        <v>61.18</v>
      </c>
      <c r="H3" s="24">
        <v>12489.36</v>
      </c>
    </row>
    <row r="4">
      <c r="A4" s="21"/>
      <c r="B4" s="18" t="s">
        <v>41</v>
      </c>
      <c r="C4" s="18">
        <v>11275.0</v>
      </c>
      <c r="D4" s="18">
        <v>1469.0</v>
      </c>
      <c r="E4" s="23">
        <f t="shared" si="1"/>
        <v>9806</v>
      </c>
      <c r="F4" s="18">
        <v>9.5</v>
      </c>
      <c r="G4" s="18">
        <v>47.8</v>
      </c>
      <c r="H4" s="18">
        <v>9773.53</v>
      </c>
    </row>
    <row r="5">
      <c r="A5" s="21"/>
      <c r="B5" s="18" t="s">
        <v>43</v>
      </c>
      <c r="C5" s="18">
        <v>10550.0</v>
      </c>
      <c r="D5" s="18">
        <v>1378.0</v>
      </c>
      <c r="E5" s="23">
        <f t="shared" si="1"/>
        <v>9172</v>
      </c>
      <c r="F5" s="18">
        <v>8.9</v>
      </c>
      <c r="G5" s="18">
        <v>44.91</v>
      </c>
      <c r="H5" s="18">
        <v>9168.08</v>
      </c>
    </row>
    <row r="6">
      <c r="A6" s="17"/>
      <c r="B6" s="18"/>
      <c r="C6" s="24"/>
      <c r="D6" s="18"/>
      <c r="E6" s="23"/>
      <c r="F6" s="18"/>
      <c r="G6" s="18"/>
      <c r="H6" s="24"/>
    </row>
    <row r="7">
      <c r="A7" s="21"/>
      <c r="B7" s="34"/>
      <c r="C7" s="39">
        <f>SUM(C2:C6)</f>
        <v>65915</v>
      </c>
      <c r="D7" s="34"/>
      <c r="E7" s="39">
        <f>SUM(E2:E6)</f>
        <v>57336.3</v>
      </c>
      <c r="F7" s="34"/>
      <c r="G7" s="34"/>
      <c r="H7" s="39">
        <f>SUM(H2:H6)</f>
        <v>57075.72</v>
      </c>
    </row>
    <row r="8">
      <c r="E8" s="40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13" t="s">
        <v>0</v>
      </c>
      <c r="B1" s="15" t="s">
        <v>1</v>
      </c>
      <c r="C1" s="15" t="s">
        <v>16</v>
      </c>
      <c r="D1" s="15" t="s">
        <v>17</v>
      </c>
      <c r="E1" s="15" t="s">
        <v>18</v>
      </c>
      <c r="F1" s="15" t="s">
        <v>19</v>
      </c>
      <c r="G1" s="15" t="s">
        <v>22</v>
      </c>
      <c r="H1" s="15" t="s">
        <v>24</v>
      </c>
      <c r="I1" s="15" t="s">
        <v>25</v>
      </c>
    </row>
    <row r="2">
      <c r="A2" s="17"/>
      <c r="B2" s="18" t="s">
        <v>26</v>
      </c>
      <c r="C2" s="18">
        <v>4600.0</v>
      </c>
      <c r="D2" s="18">
        <v>322.0</v>
      </c>
      <c r="E2" s="18">
        <v>57.96</v>
      </c>
      <c r="F2" s="23">
        <f t="shared" ref="F2:F5" si="1">C2 - D2-E2</f>
        <v>4220.04</v>
      </c>
      <c r="G2" s="18">
        <v>4.6</v>
      </c>
      <c r="H2" s="18">
        <v>23.0</v>
      </c>
      <c r="I2" s="18">
        <v>4192.44</v>
      </c>
    </row>
    <row r="3">
      <c r="A3" s="17"/>
      <c r="B3" s="18" t="s">
        <v>32</v>
      </c>
      <c r="C3" s="18">
        <v>3600.0</v>
      </c>
      <c r="D3" s="18">
        <v>252.0</v>
      </c>
      <c r="E3" s="18">
        <v>45.36</v>
      </c>
      <c r="F3" s="23">
        <f t="shared" si="1"/>
        <v>3302.64</v>
      </c>
      <c r="G3" s="18">
        <v>3.6</v>
      </c>
      <c r="H3" s="18">
        <v>18.0</v>
      </c>
      <c r="I3" s="18">
        <v>3281.04</v>
      </c>
    </row>
    <row r="4">
      <c r="A4" s="17"/>
      <c r="B4" s="18" t="s">
        <v>33</v>
      </c>
      <c r="C4" s="18">
        <v>1600.0</v>
      </c>
      <c r="D4" s="18">
        <v>112.0</v>
      </c>
      <c r="E4" s="18">
        <v>20.6</v>
      </c>
      <c r="F4" s="23">
        <f t="shared" si="1"/>
        <v>1467.4</v>
      </c>
      <c r="G4" s="18">
        <v>1.6</v>
      </c>
      <c r="H4" s="18">
        <v>8.0</v>
      </c>
      <c r="I4" s="25">
        <v>1458.24</v>
      </c>
    </row>
    <row r="5">
      <c r="A5" s="17"/>
      <c r="B5" s="18" t="s">
        <v>36</v>
      </c>
      <c r="C5" s="27">
        <v>1280.0</v>
      </c>
      <c r="D5" s="28"/>
      <c r="E5" s="28"/>
      <c r="F5" s="23">
        <f t="shared" si="1"/>
        <v>1280</v>
      </c>
      <c r="G5" s="27">
        <v>25.6</v>
      </c>
      <c r="H5" s="28"/>
      <c r="I5" s="27">
        <v>1254.4</v>
      </c>
    </row>
    <row r="6">
      <c r="A6" s="17"/>
      <c r="B6" s="18"/>
      <c r="C6" s="24"/>
      <c r="D6" s="18"/>
      <c r="E6" s="18"/>
      <c r="F6" s="23"/>
      <c r="G6" s="18"/>
      <c r="H6" s="18"/>
      <c r="I6" s="24"/>
    </row>
    <row r="7">
      <c r="A7" s="11"/>
      <c r="B7" s="29"/>
      <c r="C7" s="30"/>
      <c r="D7" s="31"/>
      <c r="E7" s="22"/>
      <c r="F7" s="32"/>
      <c r="G7" s="29"/>
      <c r="H7" s="22"/>
      <c r="I7" s="35"/>
    </row>
    <row r="8">
      <c r="A8" s="8"/>
      <c r="B8" s="22"/>
      <c r="C8" s="35">
        <f>SUM(C2:C7)</f>
        <v>11080</v>
      </c>
      <c r="D8" s="37"/>
      <c r="E8" s="22"/>
      <c r="F8" s="40">
        <f>SUM(F2:F7)</f>
        <v>10270.08</v>
      </c>
      <c r="G8" s="29"/>
      <c r="H8" s="22"/>
      <c r="I8" s="35">
        <f>SUM(I2:I6)</f>
        <v>10186.12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25"/>
    <col customWidth="1" min="3" max="3" width="18.25"/>
    <col customWidth="1" min="4" max="4" width="14.38"/>
    <col customWidth="1" min="5" max="5" width="14.13"/>
  </cols>
  <sheetData>
    <row r="1">
      <c r="A1" s="53" t="s">
        <v>0</v>
      </c>
      <c r="B1" s="54" t="s">
        <v>1</v>
      </c>
      <c r="C1" s="54" t="s">
        <v>62</v>
      </c>
      <c r="D1" s="54" t="s">
        <v>17</v>
      </c>
      <c r="E1" s="54" t="s">
        <v>25</v>
      </c>
    </row>
    <row r="2">
      <c r="A2" s="56"/>
      <c r="B2" s="59" t="s">
        <v>26</v>
      </c>
      <c r="C2" s="59">
        <v>2134.0</v>
      </c>
      <c r="D2" s="60">
        <v>106.70000000000002</v>
      </c>
      <c r="E2" s="60">
        <v>2027.3</v>
      </c>
    </row>
    <row r="3">
      <c r="A3" s="56"/>
      <c r="B3" s="59" t="s">
        <v>67</v>
      </c>
      <c r="C3" s="61">
        <v>6000.0</v>
      </c>
      <c r="D3" s="61">
        <v>300.0</v>
      </c>
      <c r="E3" s="61">
        <v>5700.0</v>
      </c>
      <c r="F3" s="8"/>
      <c r="G3" s="8"/>
      <c r="H3" s="8"/>
      <c r="I3" s="8"/>
      <c r="J3" s="8"/>
      <c r="K3" s="63"/>
      <c r="L3" s="22"/>
      <c r="M3" s="63"/>
      <c r="N3" s="63"/>
    </row>
    <row r="4">
      <c r="A4" s="65"/>
      <c r="B4" s="56" t="s">
        <v>33</v>
      </c>
      <c r="C4" s="61">
        <v>6500.0</v>
      </c>
      <c r="D4" s="61">
        <v>325.0</v>
      </c>
      <c r="E4" s="61">
        <v>6175.0</v>
      </c>
      <c r="F4" s="8"/>
      <c r="G4" s="8"/>
      <c r="H4" s="8"/>
      <c r="I4" s="66"/>
      <c r="J4" s="22"/>
      <c r="K4" s="66"/>
      <c r="L4" s="66"/>
    </row>
    <row r="5">
      <c r="A5" s="67"/>
      <c r="B5" s="56" t="s">
        <v>36</v>
      </c>
      <c r="C5" s="68">
        <v>4400.0</v>
      </c>
      <c r="D5" s="69"/>
      <c r="E5" s="70"/>
    </row>
    <row r="6">
      <c r="A6" s="67"/>
      <c r="B6" s="69"/>
      <c r="C6" s="70">
        <f>SUM(C2:C5)</f>
        <v>19034</v>
      </c>
      <c r="D6" s="69"/>
      <c r="E6" s="70">
        <f>SUM(E2:E4)</f>
        <v>13902.3</v>
      </c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88"/>
    <col customWidth="1" min="2" max="2" width="9.38"/>
    <col customWidth="1" min="3" max="3" width="14.75"/>
    <col customWidth="1" min="4" max="4" width="18.5"/>
    <col customWidth="1" min="5" max="5" width="7.0"/>
    <col customWidth="1" min="6" max="6" width="14.13"/>
  </cols>
  <sheetData>
    <row r="1">
      <c r="A1" s="55" t="s">
        <v>0</v>
      </c>
      <c r="B1" s="57" t="s">
        <v>1</v>
      </c>
      <c r="C1" s="57" t="s">
        <v>63</v>
      </c>
      <c r="D1" s="58" t="s">
        <v>64</v>
      </c>
      <c r="E1" s="58" t="s">
        <v>65</v>
      </c>
      <c r="F1" s="57" t="s">
        <v>25</v>
      </c>
    </row>
    <row r="2">
      <c r="A2" s="11"/>
      <c r="B2" s="29" t="s">
        <v>66</v>
      </c>
      <c r="C2" s="62">
        <v>0.0</v>
      </c>
      <c r="D2" s="29"/>
      <c r="E2" s="64"/>
      <c r="F2" s="42"/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2.0"/>
    <col customWidth="1" min="2" max="2" width="10.88"/>
    <col customWidth="1" min="3" max="3" width="7.25"/>
    <col customWidth="1" min="4" max="4" width="7.38"/>
    <col customWidth="1" min="5" max="5" width="25.13"/>
  </cols>
  <sheetData>
    <row r="1">
      <c r="A1" s="2" t="s">
        <v>68</v>
      </c>
      <c r="B1" s="2" t="s">
        <v>69</v>
      </c>
      <c r="C1" s="2" t="s">
        <v>13</v>
      </c>
      <c r="D1" s="2" t="s">
        <v>70</v>
      </c>
      <c r="E1" s="2" t="s">
        <v>71</v>
      </c>
    </row>
    <row r="2">
      <c r="A2" s="71"/>
      <c r="B2" s="71"/>
      <c r="C2" s="72"/>
      <c r="D2" s="71"/>
      <c r="E2" s="7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2.88"/>
    <col customWidth="1" min="3" max="3" width="17.88"/>
    <col customWidth="1" min="4" max="4" width="15.0"/>
    <col customWidth="1" min="5" max="5" width="15.25"/>
  </cols>
  <sheetData>
    <row r="1">
      <c r="A1" s="57" t="s">
        <v>72</v>
      </c>
      <c r="B1" s="57" t="s">
        <v>73</v>
      </c>
      <c r="C1" s="57" t="s">
        <v>74</v>
      </c>
      <c r="D1" s="57" t="s">
        <v>75</v>
      </c>
      <c r="E1" s="73" t="s">
        <v>76</v>
      </c>
    </row>
    <row r="2">
      <c r="A2" s="74" t="s">
        <v>77</v>
      </c>
      <c r="B2" s="74" t="s">
        <v>78</v>
      </c>
      <c r="C2" s="75" t="s">
        <v>79</v>
      </c>
      <c r="D2" s="6">
        <v>45971.0</v>
      </c>
      <c r="E2" s="76">
        <v>50000.0</v>
      </c>
      <c r="F2" s="9"/>
      <c r="G2" s="8"/>
      <c r="H2" s="76"/>
      <c r="I2" s="6"/>
      <c r="J2" s="76"/>
      <c r="K2" s="8"/>
    </row>
    <row r="3">
      <c r="A3" s="77"/>
      <c r="B3" s="77"/>
      <c r="C3" s="77"/>
      <c r="D3" s="77"/>
      <c r="E3" s="77"/>
    </row>
  </sheetData>
  <dataValidations>
    <dataValidation type="list" allowBlank="1" showErrorMessage="1" sqref="B2">
      <formula1>"Pickleball,Padel,Box Cricket,Pickle &amp; Box"</formula1>
    </dataValidation>
    <dataValidation type="list" allowBlank="1" showErrorMessage="1" sqref="C2">
      <formula1>"Kickoff Pack (7),Pro Pack (30),Rally Pack (15),Grand slam (90),Collab"</formula1>
    </dataValidation>
  </dataValidations>
  <drawing r:id="rId1"/>
</worksheet>
</file>