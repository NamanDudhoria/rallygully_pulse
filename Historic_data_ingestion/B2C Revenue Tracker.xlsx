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entral Dashboard" sheetId="1" r:id="rId5"/>
    <sheet state="visible" name="RallyGully I Sector 10 Dwarka" sheetId="2" r:id="rId6"/>
    <sheet state="visible" name="RallyGully I Sector 83 Gurgaon" sheetId="3" r:id="rId7"/>
    <sheet state="visible" name="RallyGully I East of Kailash" sheetId="4" r:id="rId8"/>
    <sheet state="visible" name="RallyGully I Sector 19 Dwarka" sheetId="5" r:id="rId9"/>
    <sheet state="visible" name="RallyGully | DPSG" sheetId="6" r:id="rId10"/>
    <sheet state="visible" name="RallyGully | Panchsheel" sheetId="7" r:id="rId11"/>
    <sheet state="visible" name="RallyGully | LCR Pune" sheetId="8" r:id="rId12"/>
    <sheet state="visible" name="RallyGully | Gandipath" sheetId="9" r:id="rId13"/>
    <sheet state="visible" name="Powerplay Park, Pune" sheetId="10" r:id="rId14"/>
    <sheet state="visible" name="Commons, Noida" sheetId="11" r:id="rId15"/>
    <sheet state="visible" name="Jan Target" sheetId="12" r:id="rId16"/>
    <sheet state="visible" name="Copy of Central Dashboard" sheetId="13" r:id="rId1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tc={c0fb89c8-bf72-4efa-b056-204f84c0b22b}</author>
  </authors>
  <commentList>
    <comment authorId="0" xr:uid="{c0fb89c8-bf72-4efa-b056-204f84c0b22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For Dec-25 (15 days @62K and
15 days @72K)
</t>
      </text>
    </comment>
  </commentList>
</comments>
</file>

<file path=xl/sharedStrings.xml><?xml version="1.0" encoding="utf-8"?>
<sst xmlns="http://schemas.openxmlformats.org/spreadsheetml/2006/main" count="626" uniqueCount="83">
  <si>
    <t xml:space="preserve">Venue Sheet </t>
  </si>
  <si>
    <t>Link</t>
  </si>
  <si>
    <t xml:space="preserve">Sno. </t>
  </si>
  <si>
    <t>Venues</t>
  </si>
  <si>
    <t>July</t>
  </si>
  <si>
    <t>August</t>
  </si>
  <si>
    <t xml:space="preserve">September </t>
  </si>
  <si>
    <t>October</t>
  </si>
  <si>
    <t>November</t>
  </si>
  <si>
    <t>December</t>
  </si>
  <si>
    <t>January</t>
  </si>
  <si>
    <t>February</t>
  </si>
  <si>
    <t>March</t>
  </si>
  <si>
    <t>April (26-27)</t>
  </si>
  <si>
    <t>RallyGully I Sector 10 Dwarka</t>
  </si>
  <si>
    <t>RallyGully I Sector 83 Gurgaon</t>
  </si>
  <si>
    <t>Metrics</t>
  </si>
  <si>
    <t>TOTAL</t>
  </si>
  <si>
    <t>Offline</t>
  </si>
  <si>
    <t>RallyGully I East of Kailash</t>
  </si>
  <si>
    <t>RallyGully I Sector 19 Dwarka Drive Kick</t>
  </si>
  <si>
    <t>Rentals</t>
  </si>
  <si>
    <t>RallyGully | DPSG</t>
  </si>
  <si>
    <t>F&amp;B</t>
  </si>
  <si>
    <t>Pay &amp; Play Revenue</t>
  </si>
  <si>
    <t>Product Sales</t>
  </si>
  <si>
    <t>Bookings</t>
  </si>
  <si>
    <t>Community Revenue</t>
  </si>
  <si>
    <t>Online: Third Party Platform</t>
  </si>
  <si>
    <t>RallyGully I Panchsheel</t>
  </si>
  <si>
    <t>Academy Revenue</t>
  </si>
  <si>
    <t>B2B: Corporate and Brand Partnerships</t>
  </si>
  <si>
    <t>RallyGully | LCR Pune</t>
  </si>
  <si>
    <t>Hudle</t>
  </si>
  <si>
    <t>Playo</t>
  </si>
  <si>
    <t>Commerce</t>
  </si>
  <si>
    <t>District</t>
  </si>
  <si>
    <t>Khelomore</t>
  </si>
  <si>
    <t>Zplys</t>
  </si>
  <si>
    <t>Community</t>
  </si>
  <si>
    <t>RallyGully I Gandhipath</t>
  </si>
  <si>
    <t>Powerplay Park</t>
  </si>
  <si>
    <t>Courtly (Organized by RallyGully)</t>
  </si>
  <si>
    <t>Commons | RallyGully x Delhi Padel Collective</t>
  </si>
  <si>
    <t>Sportomic (Organized by RallyGully)</t>
  </si>
  <si>
    <t xml:space="preserve">Rallygully Community games </t>
  </si>
  <si>
    <t>Misfits Community</t>
  </si>
  <si>
    <t>Total Gross Revenue</t>
  </si>
  <si>
    <t>Memberships</t>
  </si>
  <si>
    <t>Coaching</t>
  </si>
  <si>
    <t>Corporate Events</t>
  </si>
  <si>
    <t>Brand Activation</t>
  </si>
  <si>
    <t>Other Income</t>
  </si>
  <si>
    <t>Net Revenue (Post Commissions)</t>
  </si>
  <si>
    <t>Total Net Revenue (Post Commissions)</t>
  </si>
  <si>
    <t>Total Revenue post GST</t>
  </si>
  <si>
    <t>Note</t>
  </si>
  <si>
    <t>Venue Operational from 4th Aug</t>
  </si>
  <si>
    <t>Verticle Vise</t>
  </si>
  <si>
    <t>Venue Operational from 17th Sep</t>
  </si>
  <si>
    <t>Venue Operational from 13th July</t>
  </si>
  <si>
    <t>Venue Operational from 28th Sep</t>
  </si>
  <si>
    <t>Venue Operational from 13th Dec</t>
  </si>
  <si>
    <t>Venue Operational from 15th Jan</t>
  </si>
  <si>
    <t>Venue Operational from 20th Nov</t>
  </si>
  <si>
    <t>Venue Operational from 23rd Dec</t>
  </si>
  <si>
    <t>Venue Operational from 28th March</t>
  </si>
  <si>
    <t>Venue Operational from 24th Feb</t>
  </si>
  <si>
    <t>January Projections</t>
  </si>
  <si>
    <t>Sno.</t>
  </si>
  <si>
    <t>No. of Courts</t>
  </si>
  <si>
    <t>Pay &amp; Play</t>
  </si>
  <si>
    <t xml:space="preserve">Community </t>
  </si>
  <si>
    <t>B2B Events</t>
  </si>
  <si>
    <t>Brand/Corporate Partnerships</t>
  </si>
  <si>
    <t>Total</t>
  </si>
  <si>
    <t>Kids</t>
  </si>
  <si>
    <t>Adults</t>
  </si>
  <si>
    <t>RallyGully I Sector 19 Dwarka</t>
  </si>
  <si>
    <t>RallyGully | Gandhipath</t>
  </si>
  <si>
    <t>RallyGully | Pancheel Park</t>
  </si>
  <si>
    <t>RallyGully | Capital Cyberscape</t>
  </si>
  <si>
    <t>RallyGully | Baner Pune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</si>
</sst>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₹]#,##0.00"/>
    <numFmt numFmtId="165" formatCode="[&gt;9999999][$₹]##\,##\,##\,##0;[&gt;99999][$₹]##\,##\,##0;[$₹]##,##0"/>
    <numFmt numFmtId="166" formatCode="[&gt;9999999][$₹]##\,##\,##\,##0.0;[&gt;99999][$₹]##\,##\,##0.0;[$₹]##,##0.0"/>
    <numFmt numFmtId="167" formatCode="[&gt;9999999][$₹]##\,##\,##\,##0.00;[&gt;99999][$₹]##\,##\,##0.00;[$₹]##,##0.00"/>
  </numFmts>
  <fonts count="15">
    <font>
      <sz val="10.0"/>
      <color rgb="FF000000"/>
      <name val="Arial"/>
      <scheme val="minor"/>
    </font>
    <font>
      <b/>
      <color theme="1"/>
      <name val="Arial"/>
      <scheme val="minor"/>
    </font>
    <font>
      <b/>
      <u/>
      <color rgb="FF0000FF"/>
      <name val="Arial"/>
    </font>
    <font>
      <b/>
      <u/>
      <color rgb="FF0000FF"/>
    </font>
    <font>
      <color theme="1"/>
      <name val="Arial"/>
      <scheme val="minor"/>
    </font>
    <font>
      <b/>
      <u/>
      <color rgb="FF0000FF"/>
    </font>
    <font>
      <b/>
      <color theme="1"/>
      <name val="Arial"/>
    </font>
    <font>
      <color theme="1"/>
      <name val="Arial"/>
    </font>
    <font>
      <color rgb="FF000000"/>
      <name val="Arial"/>
    </font>
    <font>
      <sz val="10.0"/>
      <color theme="1"/>
      <name val="Arial"/>
    </font>
    <font>
      <sz val="10.0"/>
      <color rgb="FF000000"/>
      <name val="Arial"/>
    </font>
    <font>
      <b/>
      <sz val="10.0"/>
      <color rgb="FF000000"/>
      <name val="Arial"/>
    </font>
    <font>
      <b/>
      <color rgb="FF000000"/>
      <name val="Arial"/>
    </font>
    <font>
      <b/>
      <u/>
      <color rgb="FF0000FF"/>
    </font>
    <font>
      <sz val="10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6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readingOrder="0"/>
    </xf>
    <xf borderId="1" fillId="4" fontId="1" numFmtId="164" xfId="0" applyAlignment="1" applyBorder="1" applyFill="1" applyFont="1" applyNumberFormat="1">
      <alignment readingOrder="0"/>
    </xf>
    <xf borderId="1" fillId="3" fontId="1" numFmtId="164" xfId="0" applyAlignment="1" applyBorder="1" applyFill="1" applyFont="1" applyNumberFormat="1">
      <alignment readingOrder="0"/>
    </xf>
    <xf borderId="0" fillId="2" fontId="1" numFmtId="164" xfId="0" applyAlignment="1" applyFill="1" applyFont="1" applyNumberFormat="1">
      <alignment horizontal="center" readingOrder="0"/>
    </xf>
    <xf borderId="1" fillId="4" fontId="1" numFmtId="164" xfId="0" applyAlignment="1" applyBorder="1" applyFill="1" applyFont="1" applyNumberFormat="1">
      <alignment horizontal="center" readingOrder="0"/>
    </xf>
    <xf borderId="1" fillId="4" fontId="2" numFmtId="164" xfId="0" applyAlignment="1" applyBorder="1" applyFill="1" applyFont="1" applyNumberFormat="1">
      <alignment horizontal="center" readingOrder="0" vertical="bottom"/>
    </xf>
    <xf borderId="0" fillId="2" fontId="3" numFmtId="164" xfId="0" applyAlignment="1" applyFill="1" applyFont="1" applyNumberFormat="1">
      <alignment horizontal="center" readingOrder="0"/>
    </xf>
    <xf borderId="1" fillId="2" fontId="1" numFmtId="164" xfId="0" applyAlignment="1" applyBorder="1" applyFill="1" applyFont="1" applyNumberFormat="1">
      <alignment readingOrder="0"/>
    </xf>
    <xf borderId="1" fillId="2" fontId="1" numFmtId="164" xfId="0" applyAlignment="1" applyBorder="1" applyFill="1" applyFont="1" applyNumberFormat="1">
      <alignment horizontal="center" readingOrder="0"/>
    </xf>
    <xf borderId="1" fillId="0" fontId="4" numFmtId="3" xfId="0" applyAlignment="1" applyBorder="1" applyFont="1" applyNumberFormat="1">
      <alignment readingOrder="0"/>
    </xf>
    <xf borderId="1" fillId="0" fontId="4" numFmtId="164" xfId="0" applyAlignment="1" applyBorder="1" applyFont="1" applyNumberFormat="1">
      <alignment readingOrder="0"/>
    </xf>
    <xf borderId="1" fillId="4" fontId="5" numFmtId="164" xfId="0" applyAlignment="1" applyBorder="1" applyFill="1" applyFont="1" applyNumberFormat="1">
      <alignment horizontal="center" readingOrder="0"/>
    </xf>
    <xf borderId="1" fillId="0" fontId="4" numFmtId="165" xfId="0" applyAlignment="1" applyBorder="1" applyFont="1" applyNumberFormat="1">
      <alignment readingOrder="0"/>
    </xf>
    <xf borderId="1" fillId="0" fontId="4" numFmtId="165" xfId="0" applyBorder="1" applyFont="1" applyNumberFormat="1"/>
    <xf borderId="0" fillId="0" fontId="1" numFmtId="0" xfId="0" applyAlignment="1" applyFont="1">
      <alignment horizontal="center" readingOrder="0"/>
    </xf>
    <xf borderId="0" fillId="3" fontId="1" numFmtId="164" xfId="0" applyAlignment="1" applyFill="1" applyFont="1" applyNumberFormat="1">
      <alignment readingOrder="0"/>
    </xf>
    <xf borderId="1" fillId="3" fontId="1" numFmtId="164" xfId="0" applyAlignment="1" applyBorder="1" applyFill="1" applyFont="1" applyNumberFormat="1">
      <alignment horizontal="center" readingOrder="0"/>
    </xf>
    <xf borderId="1" fillId="4" fontId="6" numFmtId="164" xfId="0" applyAlignment="1" applyBorder="1" applyFill="1" applyFont="1" applyNumberFormat="1">
      <alignment horizontal="center" readingOrder="0" vertical="bottom"/>
    </xf>
    <xf borderId="1" fillId="4" fontId="1" numFmtId="0" xfId="0" applyAlignment="1" applyBorder="1" applyFill="1" applyFont="1">
      <alignment horizontal="center" readingOrder="0"/>
    </xf>
    <xf borderId="1" fillId="4" fontId="6" numFmtId="164" xfId="0" applyAlignment="1" applyBorder="1" applyFill="1" applyFont="1" applyNumberFormat="1">
      <alignment horizontal="center" vertical="bottom"/>
    </xf>
    <xf borderId="0" fillId="3" fontId="4" numFmtId="164" xfId="0" applyFill="1" applyFont="1" applyNumberFormat="1"/>
    <xf borderId="1" fillId="0" fontId="4" numFmtId="164" xfId="0" applyBorder="1" applyFont="1" applyNumberFormat="1"/>
    <xf borderId="0" fillId="0" fontId="7" numFmtId="164" xfId="0" applyAlignment="1" applyFont="1" applyNumberFormat="1">
      <alignment vertical="bottom"/>
    </xf>
    <xf borderId="1" fillId="0" fontId="6" numFmtId="164" xfId="0" applyAlignment="1" applyBorder="1" applyFont="1" applyNumberFormat="1">
      <alignment vertical="bottom"/>
    </xf>
    <xf borderId="0" fillId="0" fontId="1" numFmtId="0" xfId="0" applyAlignment="1" applyFont="1">
      <alignment readingOrder="0"/>
    </xf>
    <xf borderId="1" fillId="3" fontId="4" numFmtId="164" xfId="0" applyBorder="1" applyFill="1" applyFont="1" applyNumberFormat="1"/>
    <xf borderId="1" fillId="0" fontId="6" numFmtId="165" xfId="0" applyAlignment="1" applyBorder="1" applyFont="1" applyNumberFormat="1">
      <alignment horizontal="right" vertical="bottom"/>
    </xf>
    <xf borderId="0" fillId="3" fontId="4" numFmtId="0" xfId="0" applyAlignment="1" applyFill="1" applyFont="1">
      <alignment readingOrder="0"/>
    </xf>
    <xf borderId="1" fillId="0" fontId="1" numFmtId="165" xfId="0" applyBorder="1" applyFont="1" applyNumberFormat="1"/>
    <xf borderId="0" fillId="0" fontId="4" numFmtId="166" xfId="0" applyFont="1" applyNumberFormat="1"/>
    <xf borderId="1" fillId="0" fontId="7" numFmtId="164" xfId="0" applyAlignment="1" applyBorder="1" applyFont="1" applyNumberFormat="1">
      <alignment readingOrder="0" vertical="bottom"/>
    </xf>
    <xf borderId="1" fillId="0" fontId="7" numFmtId="164" xfId="0" applyAlignment="1" applyBorder="1" applyFont="1" applyNumberFormat="1">
      <alignment vertical="bottom"/>
    </xf>
    <xf borderId="1" fillId="3" fontId="7" numFmtId="164" xfId="0" applyAlignment="1" applyBorder="1" applyFill="1" applyFont="1" applyNumberFormat="1">
      <alignment readingOrder="0" vertical="bottom"/>
    </xf>
    <xf borderId="1" fillId="0" fontId="8" numFmtId="165" xfId="0" applyAlignment="1" applyBorder="1" applyFont="1" applyNumberFormat="1">
      <alignment horizontal="right" readingOrder="0" shrinkToFit="0" vertical="bottom" wrapText="0"/>
    </xf>
    <xf borderId="1" fillId="3" fontId="4" numFmtId="165" xfId="0" applyAlignment="1" applyBorder="1" applyFill="1" applyFont="1" applyNumberFormat="1">
      <alignment readingOrder="0"/>
    </xf>
    <xf borderId="1" fillId="0" fontId="7" numFmtId="165" xfId="0" applyAlignment="1" applyBorder="1" applyFont="1" applyNumberFormat="1">
      <alignment horizontal="right" readingOrder="0" vertical="bottom"/>
    </xf>
    <xf borderId="1" fillId="0" fontId="7" numFmtId="165" xfId="0" applyAlignment="1" applyBorder="1" applyFont="1" applyNumberFormat="1">
      <alignment horizontal="right" vertical="bottom"/>
    </xf>
    <xf borderId="0" fillId="0" fontId="7" numFmtId="166" xfId="0" applyAlignment="1" applyFont="1" applyNumberFormat="1">
      <alignment horizontal="right" vertical="bottom"/>
    </xf>
    <xf borderId="1" fillId="3" fontId="4" numFmtId="165" xfId="0" applyBorder="1" applyFill="1" applyFont="1" applyNumberFormat="1"/>
    <xf borderId="2" fillId="0" fontId="6" numFmtId="0" xfId="0" applyAlignment="1" applyBorder="1" applyFont="1">
      <alignment vertical="bottom"/>
    </xf>
    <xf borderId="0" fillId="3" fontId="4" numFmtId="0" xfId="0" applyFill="1" applyFont="1"/>
    <xf borderId="1" fillId="0" fontId="4" numFmtId="165" xfId="0" applyAlignment="1" applyBorder="1" applyFont="1" applyNumberFormat="1">
      <alignment horizontal="right" readingOrder="0"/>
    </xf>
    <xf borderId="3" fillId="0" fontId="6" numFmtId="0" xfId="0" applyAlignment="1" applyBorder="1" applyFont="1">
      <alignment vertical="bottom"/>
    </xf>
    <xf borderId="1" fillId="0" fontId="6" numFmtId="164" xfId="0" applyAlignment="1" applyBorder="1" applyFont="1" applyNumberFormat="1">
      <alignment readingOrder="0" vertical="bottom"/>
    </xf>
    <xf borderId="1" fillId="0" fontId="6" numFmtId="165" xfId="0" applyAlignment="1" applyBorder="1" applyFont="1" applyNumberFormat="1">
      <alignment horizontal="right" readingOrder="0" vertical="bottom"/>
    </xf>
    <xf borderId="1" fillId="0" fontId="4" numFmtId="0" xfId="0" applyAlignment="1" applyBorder="1" applyFont="1">
      <alignment readingOrder="0"/>
    </xf>
    <xf borderId="1" fillId="0" fontId="9" numFmtId="165" xfId="0" applyBorder="1" applyFont="1" applyNumberFormat="1"/>
    <xf borderId="1" fillId="0" fontId="1" numFmtId="165" xfId="0" applyAlignment="1" applyBorder="1" applyFont="1" applyNumberFormat="1">
      <alignment readingOrder="0"/>
    </xf>
    <xf borderId="1" fillId="0" fontId="8" numFmtId="165" xfId="0" applyAlignment="1" applyBorder="1" applyFont="1" applyNumberFormat="1">
      <alignment horizontal="right" readingOrder="0" shrinkToFit="0" vertical="bottom" wrapText="0"/>
    </xf>
    <xf borderId="1" fillId="0" fontId="7" numFmtId="165" xfId="0" applyAlignment="1" applyBorder="1" applyFont="1" applyNumberFormat="1">
      <alignment readingOrder="0" vertical="bottom"/>
    </xf>
    <xf borderId="0" fillId="0" fontId="4" numFmtId="164" xfId="0" applyFont="1" applyNumberFormat="1"/>
    <xf borderId="0" fillId="0" fontId="7" numFmtId="166" xfId="0" applyAlignment="1" applyFont="1" applyNumberFormat="1">
      <alignment vertical="bottom"/>
    </xf>
    <xf borderId="1" fillId="0" fontId="10" numFmtId="165" xfId="0" applyAlignment="1" applyBorder="1" applyFont="1" applyNumberFormat="1">
      <alignment horizontal="right"/>
    </xf>
    <xf borderId="1" fillId="4" fontId="4" numFmtId="164" xfId="0" applyBorder="1" applyFill="1" applyFont="1" applyNumberFormat="1"/>
    <xf borderId="1" fillId="4" fontId="6" numFmtId="164" xfId="0" applyAlignment="1" applyBorder="1" applyFill="1" applyFont="1" applyNumberFormat="1">
      <alignment vertical="bottom"/>
    </xf>
    <xf borderId="1" fillId="0" fontId="11" numFmtId="165" xfId="0" applyAlignment="1" applyBorder="1" applyFont="1" applyNumberFormat="1">
      <alignment horizontal="right" readingOrder="0"/>
    </xf>
    <xf borderId="1" fillId="4" fontId="1" numFmtId="165" xfId="0" applyBorder="1" applyFill="1" applyFont="1" applyNumberFormat="1"/>
    <xf borderId="1" fillId="0" fontId="6" numFmtId="0" xfId="0" applyAlignment="1" applyBorder="1" applyFont="1">
      <alignment readingOrder="0" vertical="bottom"/>
    </xf>
    <xf borderId="0" fillId="3" fontId="4" numFmtId="164" xfId="0" applyFill="1" applyFont="1" applyNumberFormat="1"/>
    <xf borderId="0" fillId="3" fontId="6" numFmtId="164" xfId="0" applyAlignment="1" applyFill="1" applyFont="1" applyNumberFormat="1">
      <alignment readingOrder="0" vertical="bottom"/>
    </xf>
    <xf borderId="0" fillId="3" fontId="1" numFmtId="165" xfId="0" applyFill="1" applyFont="1" applyNumberFormat="1"/>
    <xf borderId="1" fillId="3" fontId="1" numFmtId="164" xfId="0" applyBorder="1" applyFill="1" applyFont="1" applyNumberFormat="1"/>
    <xf borderId="1" fillId="0" fontId="12" numFmtId="165" xfId="0" applyAlignment="1" applyBorder="1" applyFont="1" applyNumberFormat="1">
      <alignment horizontal="right" readingOrder="0" shrinkToFit="0" vertical="bottom" wrapText="0"/>
    </xf>
    <xf borderId="1" fillId="4" fontId="6" numFmtId="165" xfId="0" applyAlignment="1" applyBorder="1" applyFill="1" applyFont="1" applyNumberFormat="1">
      <alignment horizontal="right" vertical="bottom"/>
    </xf>
    <xf borderId="1" fillId="0" fontId="1" numFmtId="165" xfId="0" applyAlignment="1" applyBorder="1" applyFont="1" applyNumberFormat="1">
      <alignment horizontal="right" readingOrder="0"/>
    </xf>
    <xf borderId="1" fillId="0" fontId="7" numFmtId="164" xfId="0" applyAlignment="1" applyBorder="1" applyFont="1" applyNumberFormat="1">
      <alignment shrinkToFit="0" vertical="bottom" wrapText="1"/>
    </xf>
    <xf borderId="1" fillId="0" fontId="4" numFmtId="0" xfId="0" applyBorder="1" applyFont="1"/>
    <xf borderId="1" fillId="0" fontId="1" numFmtId="164" xfId="0" applyAlignment="1" applyBorder="1" applyFont="1" applyNumberFormat="1">
      <alignment readingOrder="0"/>
    </xf>
    <xf borderId="1" fillId="3" fontId="6" numFmtId="164" xfId="0" applyAlignment="1" applyBorder="1" applyFill="1" applyFont="1" applyNumberFormat="1">
      <alignment shrinkToFit="0" vertical="bottom" wrapText="1"/>
    </xf>
    <xf borderId="1" fillId="3" fontId="6" numFmtId="165" xfId="0" applyAlignment="1" applyBorder="1" applyFill="1" applyFont="1" applyNumberFormat="1">
      <alignment horizontal="right" readingOrder="0" vertical="bottom"/>
    </xf>
    <xf borderId="1" fillId="3" fontId="1" numFmtId="165" xfId="0" applyAlignment="1" applyBorder="1" applyFill="1" applyFont="1" applyNumberFormat="1">
      <alignment readingOrder="0"/>
    </xf>
    <xf borderId="1" fillId="0" fontId="1" numFmtId="0" xfId="0" applyAlignment="1" applyBorder="1" applyFont="1">
      <alignment readingOrder="0"/>
    </xf>
    <xf borderId="0" fillId="0" fontId="7" numFmtId="0" xfId="0" applyAlignment="1" applyFont="1">
      <alignment vertical="bottom"/>
    </xf>
    <xf borderId="0" fillId="0" fontId="7" numFmtId="3" xfId="0" applyAlignment="1" applyFont="1" applyNumberFormat="1">
      <alignment horizontal="right" vertical="bottom"/>
    </xf>
    <xf borderId="1" fillId="3" fontId="6" numFmtId="0" xfId="0" applyAlignment="1" applyBorder="1" applyFill="1" applyFont="1">
      <alignment vertical="bottom"/>
    </xf>
    <xf borderId="1" fillId="3" fontId="1" numFmtId="165" xfId="0" applyBorder="1" applyFill="1" applyFont="1" applyNumberFormat="1"/>
    <xf borderId="1" fillId="0" fontId="6" numFmtId="164" xfId="0" applyAlignment="1" applyBorder="1" applyFont="1" applyNumberFormat="1">
      <alignment shrinkToFit="0" vertical="bottom" wrapText="1"/>
    </xf>
    <xf borderId="0" fillId="3" fontId="6" numFmtId="164" xfId="0" applyAlignment="1" applyFill="1" applyFont="1" applyNumberFormat="1">
      <alignment vertical="bottom"/>
    </xf>
    <xf borderId="0" fillId="3" fontId="4" numFmtId="10" xfId="0" applyFill="1" applyFont="1" applyNumberFormat="1"/>
    <xf borderId="1" fillId="3" fontId="6" numFmtId="165" xfId="0" applyAlignment="1" applyBorder="1" applyFill="1" applyFont="1" applyNumberFormat="1">
      <alignment horizontal="right" vertical="bottom"/>
    </xf>
    <xf borderId="1" fillId="2" fontId="4" numFmtId="0" xfId="0" applyBorder="1" applyFill="1" applyFont="1"/>
    <xf borderId="1" fillId="2" fontId="1" numFmtId="0" xfId="0" applyAlignment="1" applyBorder="1" applyFill="1" applyFont="1">
      <alignment readingOrder="0"/>
    </xf>
    <xf borderId="1" fillId="2" fontId="1" numFmtId="0" xfId="0" applyAlignment="1" applyBorder="1" applyFill="1" applyFont="1">
      <alignment horizontal="center" readingOrder="0"/>
    </xf>
    <xf borderId="1" fillId="0" fontId="1" numFmtId="164" xfId="0" applyBorder="1" applyFont="1" applyNumberFormat="1"/>
    <xf borderId="1" fillId="0" fontId="7" numFmtId="165" xfId="0" applyAlignment="1" applyBorder="1" applyFont="1" applyNumberFormat="1">
      <alignment vertical="bottom"/>
    </xf>
    <xf borderId="0" fillId="3" fontId="1" numFmtId="0" xfId="0" applyAlignment="1" applyFill="1" applyFont="1">
      <alignment readingOrder="0"/>
    </xf>
    <xf borderId="0" fillId="0" fontId="7" numFmtId="4" xfId="0" applyAlignment="1" applyFont="1" applyNumberFormat="1">
      <alignment horizontal="right" vertical="bottom"/>
    </xf>
    <xf borderId="1" fillId="0" fontId="4" numFmtId="164" xfId="0" applyAlignment="1" applyBorder="1" applyFont="1" applyNumberFormat="1">
      <alignment readingOrder="0"/>
    </xf>
    <xf borderId="1" fillId="0" fontId="9" numFmtId="165" xfId="0" applyAlignment="1" applyBorder="1" applyFont="1" applyNumberFormat="1">
      <alignment readingOrder="0"/>
    </xf>
    <xf borderId="1" fillId="0" fontId="10" numFmtId="165" xfId="0" applyAlignment="1" applyBorder="1" applyFont="1" applyNumberFormat="1">
      <alignment horizontal="right" readingOrder="0"/>
    </xf>
    <xf borderId="1" fillId="0" fontId="7" numFmtId="165" xfId="0" applyAlignment="1" applyBorder="1" applyFont="1" applyNumberFormat="1">
      <alignment horizontal="right" shrinkToFit="0" vertical="bottom" wrapText="1"/>
    </xf>
    <xf borderId="1" fillId="4" fontId="6" numFmtId="164" xfId="0" applyAlignment="1" applyBorder="1" applyFill="1" applyFont="1" applyNumberFormat="1">
      <alignment horizontal="center" readingOrder="0" vertical="bottom"/>
    </xf>
    <xf borderId="1" fillId="4" fontId="1" numFmtId="164" xfId="0" applyAlignment="1" applyBorder="1" applyFill="1" applyFont="1" applyNumberFormat="1">
      <alignment horizontal="center" readingOrder="0"/>
    </xf>
    <xf borderId="1" fillId="3" fontId="4" numFmtId="0" xfId="0" applyBorder="1" applyFill="1" applyFont="1"/>
    <xf borderId="1" fillId="0" fontId="6" numFmtId="0" xfId="0" applyAlignment="1" applyBorder="1" applyFont="1">
      <alignment vertical="bottom"/>
    </xf>
    <xf borderId="0" fillId="3" fontId="1" numFmtId="164" xfId="0" applyAlignment="1" applyFill="1" applyFont="1" applyNumberFormat="1">
      <alignment horizontal="center" readingOrder="0"/>
    </xf>
    <xf borderId="1" fillId="3" fontId="7" numFmtId="165" xfId="0" applyAlignment="1" applyBorder="1" applyFill="1" applyFont="1" applyNumberFormat="1">
      <alignment horizontal="right" vertical="bottom"/>
    </xf>
    <xf borderId="0" fillId="0" fontId="4" numFmtId="0" xfId="0" applyAlignment="1" applyFont="1">
      <alignment readingOrder="0"/>
    </xf>
    <xf borderId="1" fillId="0" fontId="4" numFmtId="167" xfId="0" applyAlignment="1" applyBorder="1" applyFont="1" applyNumberFormat="1">
      <alignment readingOrder="0"/>
    </xf>
    <xf borderId="1" fillId="0" fontId="7" numFmtId="0" xfId="0" applyAlignment="1" applyBorder="1" applyFont="1">
      <alignment readingOrder="0" vertical="bottom"/>
    </xf>
    <xf borderId="0" fillId="4" fontId="13" numFmtId="164" xfId="0" applyAlignment="1" applyFill="1" applyFont="1" applyNumberFormat="1">
      <alignment horizontal="center" readingOrder="0"/>
    </xf>
    <xf borderId="1" fillId="0" fontId="1" numFmtId="167" xfId="0" applyAlignment="1" applyBorder="1" applyFont="1" applyNumberFormat="1">
      <alignment readingOrder="0"/>
    </xf>
    <xf borderId="1" fillId="0" fontId="4" numFmtId="167" xfId="0" applyBorder="1" applyFont="1" applyNumberFormat="1"/>
    <xf borderId="4" fillId="4" fontId="1" numFmtId="164" xfId="0" applyAlignment="1" applyBorder="1" applyFill="1" applyFont="1" applyNumberFormat="1">
      <alignment horizontal="center" readingOrder="0"/>
    </xf>
    <xf borderId="4" fillId="0" fontId="6" numFmtId="165" xfId="0" applyAlignment="1" applyBorder="1" applyFont="1" applyNumberFormat="1">
      <alignment horizontal="right" vertical="bottom"/>
    </xf>
    <xf borderId="1" fillId="0" fontId="4" numFmtId="166" xfId="0" applyAlignment="1" applyBorder="1" applyFont="1" applyNumberFormat="1">
      <alignment readingOrder="0"/>
    </xf>
    <xf borderId="1" fillId="0" fontId="14" numFmtId="167" xfId="0" applyAlignment="1" applyBorder="1" applyFont="1" applyNumberFormat="1">
      <alignment readingOrder="0"/>
    </xf>
    <xf borderId="0" fillId="4" fontId="6" numFmtId="0" xfId="0" applyAlignment="1" applyFill="1" applyFont="1">
      <alignment horizontal="center" readingOrder="0" vertical="bottom"/>
    </xf>
    <xf borderId="1" fillId="0" fontId="7" numFmtId="0" xfId="0" applyAlignment="1" applyBorder="1" applyFont="1">
      <alignment horizontal="right" vertical="bottom"/>
    </xf>
    <xf borderId="1" fillId="0" fontId="7" numFmtId="164" xfId="0" applyAlignment="1" applyBorder="1" applyFont="1" applyNumberFormat="1">
      <alignment vertical="bottom"/>
    </xf>
    <xf borderId="1" fillId="0" fontId="7" numFmtId="3" xfId="0" applyAlignment="1" applyBorder="1" applyFont="1" applyNumberFormat="1">
      <alignment readingOrder="0" vertical="bottom"/>
    </xf>
    <xf borderId="1" fillId="0" fontId="7" numFmtId="0" xfId="0" applyAlignment="1" applyBorder="1" applyFont="1">
      <alignment vertical="bottom"/>
    </xf>
    <xf borderId="1" fillId="3" fontId="7" numFmtId="164" xfId="0" applyAlignment="1" applyBorder="1" applyFill="1" applyFont="1" applyNumberFormat="1">
      <alignment vertical="bottom"/>
    </xf>
    <xf borderId="1" fillId="3" fontId="7" numFmtId="3" xfId="0" applyAlignment="1" applyBorder="1" applyFill="1" applyFont="1" applyNumberFormat="1">
      <alignment readingOrder="0" vertical="bottom"/>
    </xf>
    <xf borderId="1" fillId="0" fontId="7" numFmtId="0" xfId="0" applyAlignment="1" applyBorder="1" applyFont="1">
      <alignment horizontal="right" readingOrder="0" vertical="bottom"/>
    </xf>
    <xf borderId="1" fillId="0" fontId="1" numFmtId="3" xfId="0" applyAlignment="1" applyBorder="1" applyFont="1" applyNumberFormat="1">
      <alignment readingOrder="0"/>
    </xf>
    <xf borderId="0" fillId="0" fontId="1" numFmtId="0" xfId="0" applyFont="1"/>
    <xf borderId="0" fillId="3" fontId="7" numFmtId="164" xfId="0" applyAlignment="1" applyFill="1" applyFont="1" applyNumberFormat="1">
      <alignment readingOrder="0" vertical="bottom"/>
    </xf>
    <xf borderId="0" fillId="0" fontId="1" numFmtId="3" xfId="0" applyFont="1" applyNumberFormat="1"/>
    <xf borderId="1" fillId="3" fontId="4" numFmtId="3" xfId="0" applyAlignment="1" applyBorder="1" applyFill="1" applyFont="1" applyNumberFormat="1">
      <alignment readingOrder="0"/>
    </xf>
    <xf borderId="1" fillId="4" fontId="1" numFmtId="0" xfId="0" applyBorder="1" applyFill="1" applyFont="1"/>
    <xf borderId="1" fillId="4" fontId="1" numFmtId="0" xfId="0" applyAlignment="1" applyBorder="1" applyFill="1" applyFont="1">
      <alignment readingOrder="0"/>
    </xf>
    <xf borderId="1" fillId="0" fontId="4" numFmtId="10" xfId="0" applyBorder="1" applyFont="1" applyNumberFormat="1"/>
    <xf borderId="1" fillId="4" fontId="4" numFmtId="0" xfId="0" applyBorder="1" applyFill="1" applyFont="1"/>
    <xf borderId="1" fillId="4" fontId="4" numFmtId="10" xfId="0" applyBorder="1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Bhanu Aggarwal" id="{db27a94c-5f72-4100-a309-1951e657602b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4-11T10:09:47.00" personId="{db27a94c-5f72-4100-a309-1951e657602b}" id="{c0fb89c8-bf72-4efa-b056-204f84c0b22b}" done="0">
    <x18tc:text xml:space="preserve">For Dec-25 (15 days @62K and
15 days @72K)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ocs.google.com/spreadsheets/d/1eHlW7mFufrd_sIKLdD5EWemiVuBMXe9C6y_dCtL6Ymo/edit?usp=sharing" TargetMode="External"/><Relationship Id="rId5" Type="http://schemas.openxmlformats.org/officeDocument/2006/relationships/drawing" Target="../drawings/drawing1.xml"/><Relationship Id="rId6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gnqV5uRyCPIlLCwLqoGAgQqNJOAgaluZCpaP_Pkjsq0/edit?usp=sharing" TargetMode="External"/><Relationship Id="rId2" Type="http://schemas.openxmlformats.org/officeDocument/2006/relationships/hyperlink" Target="https://docs.google.com/spreadsheets/d/1LWOG4J6kLd2oaXkOHpRW1dTV76CuLahZ_A_j9A4up3Y/edit?usp=sharing" TargetMode="External"/><Relationship Id="rId3" Type="http://schemas.openxmlformats.org/officeDocument/2006/relationships/hyperlink" Target="https://docs.google.com/spreadsheets/d/1VE2n0HUQAmmO7gPwpbdQ_4FvDRO6qFAiK6od-9h7IRo/edit?usp=sharing" TargetMode="External"/><Relationship Id="rId4" Type="http://schemas.openxmlformats.org/officeDocument/2006/relationships/hyperlink" Target="https://docs.google.com/spreadsheets/d/1ovMW9wb9cAEfIcz9wPeekzpgrb3npA4xsCZrT1Eng4U/edit?usp=sharing" TargetMode="External"/><Relationship Id="rId5" Type="http://schemas.openxmlformats.org/officeDocument/2006/relationships/hyperlink" Target="https://docs.google.com/spreadsheets/d/1teKW15wVjLntZRgrIr0eMDbI5fYM7nKPZZdo-NWum-c/edit?usp=sharing" TargetMode="External"/><Relationship Id="rId6" Type="http://schemas.openxmlformats.org/officeDocument/2006/relationships/hyperlink" Target="https://docs.google.com/spreadsheets/d/1PGtghDQ8RS7oBUT3Uh0l6hDYtErrLASFRUsoKPaNxt4/edit?usp=sharing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2g-HRp7jbxbdzU2XYBgW_zTgwj_jdcmh2aurDp61vi0/edit?usp=sharing" TargetMode="External"/><Relationship Id="rId2" Type="http://schemas.openxmlformats.org/officeDocument/2006/relationships/hyperlink" Target="https://docs.google.com/spreadsheets/d/1YzaI0BcwuB8KUC3qMcKLPMZjK26-l5S2wF9SYbd6Ik8/edit?usp=sharing" TargetMode="External"/><Relationship Id="rId3" Type="http://schemas.openxmlformats.org/officeDocument/2006/relationships/hyperlink" Target="https://docs.google.com/spreadsheets/d/12ZeGMjHV6XDVuT0sw8ziGskHi8aBuDSDOZ1yyBcZVOw/edit?usp=sharing" TargetMode="External"/><Relationship Id="rId4" Type="http://schemas.openxmlformats.org/officeDocument/2006/relationships/hyperlink" Target="https://docs.google.com/spreadsheets/d/1uzVIz4Gl-MJUpGAo7HrCU2kmFkYIfjFIV9KK4mJi--M/edit?usp=sharing" TargetMode="External"/><Relationship Id="rId5" Type="http://schemas.openxmlformats.org/officeDocument/2006/relationships/hyperlink" Target="https://docs.google.com/spreadsheets/d/19Ldcx-7Se9MG1EkesA9L35gJdCaJ1wV5WIqkQssxvrw/edit?usp=sharing" TargetMode="External"/><Relationship Id="rId6" Type="http://schemas.openxmlformats.org/officeDocument/2006/relationships/hyperlink" Target="https://docs.google.com/spreadsheets/d/15BMVf4qwSB4qDunqV3hJNd7Sy3iyZacNG5jNJ1XkMUM/edit?usp=sharing" TargetMode="External"/><Relationship Id="rId7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-4-DgPJLdW_Xiza2TIWtct-lrzXOZAuP9eLFR1ZvtIc/edit?usp=sharing" TargetMode="External"/><Relationship Id="rId2" Type="http://schemas.openxmlformats.org/officeDocument/2006/relationships/hyperlink" Target="https://docs.google.com/spreadsheets/d/1n2ZFLTWmXKBFRdboaqf1ToR8b3Z2abcx1OWmz10t3KQ/edit?usp=sharing" TargetMode="External"/><Relationship Id="rId3" Type="http://schemas.openxmlformats.org/officeDocument/2006/relationships/hyperlink" Target="https://docs.google.com/spreadsheets/d/1Ui9NtPMiH_OTFosNCvHP-QhF6-Bf0xXq-Br-mn8FZpU/edit?usp=sharing" TargetMode="External"/><Relationship Id="rId4" Type="http://schemas.openxmlformats.org/officeDocument/2006/relationships/hyperlink" Target="https://docs.google.com/spreadsheets/d/1EX56lhagHF2fpAaUPPgYB-YLluhFYD20lToRwnyJoHI/edit?usp=sharing" TargetMode="External"/><Relationship Id="rId5" Type="http://schemas.openxmlformats.org/officeDocument/2006/relationships/hyperlink" Target="https://docs.google.com/spreadsheets/d/1OtV_cthz-mL83ABKneQ9aCz-Q7gV6kY17PM4rfeSKm4/edit?usp=sharing" TargetMode="External"/><Relationship Id="rId6" Type="http://schemas.openxmlformats.org/officeDocument/2006/relationships/hyperlink" Target="https://docs.google.com/spreadsheets/d/1HISWvhCHIHf5cVp7KySLOCxIegIRvaclGRRX1dUu3Q4/edit?usp=sharing" TargetMode="External"/><Relationship Id="rId7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h4rmJnVxWUmvKC78N7cTFO0EN396YnlxZFOt5tnVNMs/edit?usp=sharing" TargetMode="External"/><Relationship Id="rId2" Type="http://schemas.openxmlformats.org/officeDocument/2006/relationships/hyperlink" Target="https://docs.google.com/spreadsheets/d/11WfoI788DrzmPNVP4InRSXwD6mR1uyMKo0YCpOe1-dc/edit?usp=sharing" TargetMode="External"/><Relationship Id="rId3" Type="http://schemas.openxmlformats.org/officeDocument/2006/relationships/hyperlink" Target="https://docs.google.com/spreadsheets/d/1tWaGpkfDTETH1wD7BoDpGLeVFd9umR1FE4g7ZDA00_w/edit?usp=sharing" TargetMode="External"/><Relationship Id="rId4" Type="http://schemas.openxmlformats.org/officeDocument/2006/relationships/hyperlink" Target="https://docs.google.com/spreadsheets/d/1g2FCBx-4wFBU3U2b-ob87tSWN1d3-wuvy46BjUwgdmY/edit?usp=sharing" TargetMode="External"/><Relationship Id="rId5" Type="http://schemas.openxmlformats.org/officeDocument/2006/relationships/hyperlink" Target="https://docs.google.com/spreadsheets/d/1mluV1VAJil1Z5fd0O7caYG74CEeNTKDP8p0xOgl9nxo/edit?usp=sharing" TargetMode="External"/><Relationship Id="rId6" Type="http://schemas.openxmlformats.org/officeDocument/2006/relationships/hyperlink" Target="https://docs.google.com/spreadsheets/d/1PiP_BQkZV-7nxVdDF5ZE38x69BH_bzywDA5tMXIEsvw/edit?usp=sharing" TargetMode="External"/><Relationship Id="rId7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XJHYrW07qp-K30tG_fCzOU1GKQHRXbhom6IrUIcBtqI/edit?usp=sharing" TargetMode="External"/><Relationship Id="rId2" Type="http://schemas.openxmlformats.org/officeDocument/2006/relationships/hyperlink" Target="https://docs.google.com/spreadsheets/d/1XOiotVA00tD6VTI1z70CUC6oR-71O3TzSSTpTfZrC4A/edit?usp=sharing" TargetMode="External"/><Relationship Id="rId3" Type="http://schemas.openxmlformats.org/officeDocument/2006/relationships/hyperlink" Target="https://docs.google.com/spreadsheets/d/1v5QGP6BE7CDRbZ41cCh4ZycIll5cB91_a2gYYZvkOR4/edit?usp=sharing" TargetMode="External"/><Relationship Id="rId4" Type="http://schemas.openxmlformats.org/officeDocument/2006/relationships/hyperlink" Target="https://docs.google.com/spreadsheets/d/1xGsaJHiQDBchPWT4Tm_ZQ6WwAcTNLa6hxOuY1B5taVY/edit?usp=sharing" TargetMode="External"/><Relationship Id="rId5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KzNnngYC1MhsSiX-XNtehVA-KEqIXvhNIEXB2l77OP4/edit?usp=sharing" TargetMode="External"/><Relationship Id="rId2" Type="http://schemas.openxmlformats.org/officeDocument/2006/relationships/hyperlink" Target="https://docs.google.com/spreadsheets/d/1fpiibDHrEclNXbPlxhjlwspKOgvQAjhGFzZWVJf1V4A/edit?usp=sharing" TargetMode="External"/><Relationship Id="rId3" Type="http://schemas.openxmlformats.org/officeDocument/2006/relationships/hyperlink" Target="https://docs.google.com/spreadsheets/d/1-vStNt380Q_MmleVQIUgKvymKe6UlaW8kSBJX1wG3fU/edit?usp=sharing" TargetMode="External"/><Relationship Id="rId4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IngxXTN_Lx1cg2Deva9sWJ8wY1tYIFHfCenwo_Pkz24/edit?usp=sharing" TargetMode="External"/><Relationship Id="rId2" Type="http://schemas.openxmlformats.org/officeDocument/2006/relationships/hyperlink" Target="https://docs.google.com/spreadsheets/d/1Xh039DXTVofCHeIw85EewVZWvfA8AJKCotcwZoyQIbM/edit?usp=sharing" TargetMode="External"/><Relationship Id="rId3" Type="http://schemas.openxmlformats.org/officeDocument/2006/relationships/hyperlink" Target="https://docs.google.com/spreadsheets/d/1oF4FM3MwcBqw7s-3SX9CpFar5dTS2Uxw3OCmnXy-eKc/edit?usp=sharing" TargetMode="External"/><Relationship Id="rId4" Type="http://schemas.openxmlformats.org/officeDocument/2006/relationships/hyperlink" Target="https://docs.google.com/spreadsheets/d/1_HIvTqVJ_-zduS_f5KoJrG7cS8cmIzca6nSr6uxGIJ4/edit?usp=sharing" TargetMode="External"/><Relationship Id="rId5" Type="http://schemas.openxmlformats.org/officeDocument/2006/relationships/hyperlink" Target="https://docs.google.com/spreadsheets/d/1FHGmkENgRJA_Z6ZY5eGeXI-CDqTeKoRT2buueB08cQ0/edit?usp=sharing" TargetMode="External"/><Relationship Id="rId6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6nqFJbnpLiyRWjbMfhJgTncmz77M8OT-GKr_yNbJuWw/edit?usp=sharing" TargetMode="External"/><Relationship Id="rId2" Type="http://schemas.openxmlformats.org/officeDocument/2006/relationships/hyperlink" Target="https://docs.google.com/spreadsheets/d/1S1pItPm6mKnjujcnJWaOznXQg98yf4pYbeO3HDgyX_8/edit?usp=sharing" TargetMode="External"/><Relationship Id="rId3" Type="http://schemas.openxmlformats.org/officeDocument/2006/relationships/hyperlink" Target="https://docs.google.com/spreadsheets/d/1FYRWr-8Vn8RCNmg3EnYLLuISLYD1EqHlWf0eHhDrr3Q/edit?usp=sharing" TargetMode="External"/><Relationship Id="rId4" Type="http://schemas.openxmlformats.org/officeDocument/2006/relationships/hyperlink" Target="https://docs.google.com/spreadsheets/d/11WZEhwJ33n8u2n5MpxmvKibVB1sHRIOn7JY4YH5pgKU/edit?usp=sharing" TargetMode="External"/><Relationship Id="rId5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jhQRWCN0aAa5glX35sofjcQ1waw3TYGD4j5oH6Km4rA/edit?usp=sharing" TargetMode="External"/><Relationship Id="rId2" Type="http://schemas.openxmlformats.org/officeDocument/2006/relationships/hyperlink" Target="https://docs.google.com/spreadsheets/d/1xKmBrAp1ING2gyHezNIMwSnE0XTWRgqPtA9ta5ji3n0/edit?usp=sharing" TargetMode="External"/><Relationship Id="rId3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3pAJUQMZ4D42cPXJ1vawNXlhtIg9ihWjRYbL47swg5M/edit?usp=sharing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 outlineLevelRow="1"/>
  <cols>
    <col customWidth="1" min="2" max="2" width="37.88"/>
    <col customWidth="1" min="3" max="5" width="13.25"/>
    <col customWidth="1" min="6" max="6" width="13.63"/>
    <col customWidth="1" min="7" max="7" width="13.25"/>
    <col customWidth="1" min="9" max="9" width="12.63"/>
    <col customWidth="1" min="13" max="13" width="16.63"/>
    <col customWidth="1" min="14" max="14" width="21.25"/>
  </cols>
  <sheetData>
    <row r="1">
      <c r="A1" s="1"/>
      <c r="B1" s="1"/>
      <c r="C1" s="4"/>
      <c r="D1" s="4"/>
      <c r="E1" s="4"/>
      <c r="F1" s="4"/>
      <c r="G1" s="4"/>
      <c r="H1" s="4"/>
      <c r="I1" s="4"/>
      <c r="J1" s="4"/>
      <c r="K1" s="4"/>
      <c r="L1" s="7" t="s">
        <v>1</v>
      </c>
    </row>
    <row r="2">
      <c r="A2" s="8" t="s">
        <v>2</v>
      </c>
      <c r="B2" s="8" t="s">
        <v>3</v>
      </c>
      <c r="C2" s="9" t="s">
        <v>4</v>
      </c>
      <c r="D2" s="9" t="s">
        <v>5</v>
      </c>
      <c r="E2" s="9" t="s">
        <v>6</v>
      </c>
      <c r="F2" s="9" t="s">
        <v>7</v>
      </c>
      <c r="G2" s="9" t="s">
        <v>8</v>
      </c>
      <c r="H2" s="9" t="s">
        <v>9</v>
      </c>
      <c r="I2" s="9" t="s">
        <v>10</v>
      </c>
      <c r="J2" s="9" t="s">
        <v>11</v>
      </c>
      <c r="K2" s="9" t="s">
        <v>12</v>
      </c>
      <c r="L2" s="9" t="s">
        <v>13</v>
      </c>
    </row>
    <row r="3">
      <c r="A3" s="10">
        <v>1.0</v>
      </c>
      <c r="B3" s="11" t="s">
        <v>14</v>
      </c>
      <c r="C3" s="13">
        <f>'RallyGully I Sector 10 Dwarka'!C24</f>
        <v>103615</v>
      </c>
      <c r="D3" s="13">
        <f>'RallyGully I Sector 10 Dwarka'!D24</f>
        <v>298839</v>
      </c>
      <c r="E3" s="13">
        <f>'RallyGully I Sector 10 Dwarka'!E24</f>
        <v>245054</v>
      </c>
      <c r="F3" s="13">
        <f>'RallyGully I Sector 10 Dwarka'!F24</f>
        <v>200720</v>
      </c>
      <c r="G3" s="14">
        <f>'RallyGully I Sector 10 Dwarka'!G24</f>
        <v>168129</v>
      </c>
      <c r="H3" s="14">
        <f>'RallyGully I Sector 10 Dwarka'!H24</f>
        <v>206326</v>
      </c>
      <c r="I3" s="14">
        <f>'RallyGully I Sector 10 Dwarka'!I24</f>
        <v>301217</v>
      </c>
      <c r="J3" s="14">
        <f>'RallyGully I Sector 10 Dwarka'!J24</f>
        <v>263730</v>
      </c>
      <c r="K3" s="14">
        <f>'RallyGully I Sector 10 Dwarka'!K24</f>
        <v>251120</v>
      </c>
      <c r="L3" s="13"/>
      <c r="M3" s="15"/>
      <c r="N3" s="15"/>
      <c r="O3" s="15"/>
      <c r="P3" s="15"/>
      <c r="Q3" s="15"/>
    </row>
    <row r="4">
      <c r="A4" s="10">
        <v>2.0</v>
      </c>
      <c r="B4" s="11" t="s">
        <v>15</v>
      </c>
      <c r="C4" s="13">
        <v>0.0</v>
      </c>
      <c r="D4" s="13">
        <f>'RallyGully I Sector 83 Gurgaon'!D24</f>
        <v>37420</v>
      </c>
      <c r="E4" s="13">
        <f>'RallyGully I Sector 83 Gurgaon'!E24</f>
        <v>154961</v>
      </c>
      <c r="F4" s="13">
        <v>90075.0</v>
      </c>
      <c r="G4" s="14">
        <f>'RallyGully I Sector 83 Gurgaon'!G24</f>
        <v>151276</v>
      </c>
      <c r="H4" s="14">
        <f>'RallyGully I Sector 83 Gurgaon'!H24</f>
        <v>175700</v>
      </c>
      <c r="I4" s="14">
        <f>'RallyGully I Sector 83 Gurgaon'!I24</f>
        <v>169521</v>
      </c>
      <c r="J4" s="14">
        <f>'RallyGully I Sector 83 Gurgaon'!J24</f>
        <v>210880</v>
      </c>
      <c r="K4" s="14">
        <f>'RallyGully I Sector 83 Gurgaon'!K24</f>
        <v>226770</v>
      </c>
      <c r="L4" s="13"/>
    </row>
    <row r="5">
      <c r="A5" s="10">
        <v>3.0</v>
      </c>
      <c r="B5" s="11" t="s">
        <v>19</v>
      </c>
      <c r="C5" s="13">
        <v>0.0</v>
      </c>
      <c r="D5" s="13">
        <v>0.0</v>
      </c>
      <c r="E5" s="13">
        <f>'RallyGully I East of Kailash'!E24</f>
        <v>78858.8</v>
      </c>
      <c r="F5" s="13">
        <f>'RallyGully I East of Kailash'!F24</f>
        <v>183432.6</v>
      </c>
      <c r="G5" s="14">
        <f>'RallyGully I East of Kailash'!G24</f>
        <v>144284</v>
      </c>
      <c r="H5" s="14">
        <f>'RallyGully I East of Kailash'!H24</f>
        <v>123338</v>
      </c>
      <c r="I5" s="14">
        <f>'RallyGully I East of Kailash'!I24</f>
        <v>279567</v>
      </c>
      <c r="J5" s="14">
        <f>'RallyGully I East of Kailash'!J24</f>
        <v>365154</v>
      </c>
      <c r="K5" s="14">
        <f>'RallyGully I East of Kailash'!K24</f>
        <v>281064</v>
      </c>
      <c r="L5" s="13"/>
      <c r="M5" s="28"/>
    </row>
    <row r="6">
      <c r="A6" s="10">
        <v>4.0</v>
      </c>
      <c r="B6" s="11" t="s">
        <v>20</v>
      </c>
      <c r="C6" s="13">
        <v>0.0</v>
      </c>
      <c r="D6" s="13">
        <v>0.0</v>
      </c>
      <c r="E6" s="13">
        <v>0.0</v>
      </c>
      <c r="F6" s="13">
        <f>'RallyGully I Sector 19 Dwarka'!F24</f>
        <v>71245</v>
      </c>
      <c r="G6" s="14">
        <f>'RallyGully I Sector 19 Dwarka'!$G$24</f>
        <v>78029</v>
      </c>
      <c r="H6" s="14">
        <f>'RallyGully I Sector 19 Dwarka'!H24</f>
        <v>50925</v>
      </c>
      <c r="I6" s="14">
        <f>'RallyGully I Sector 19 Dwarka'!I24</f>
        <v>125214</v>
      </c>
      <c r="J6" s="14">
        <f>'RallyGully I Sector 19 Dwarka'!J24</f>
        <v>86460</v>
      </c>
      <c r="K6" s="14">
        <f>'RallyGully I Sector 19 Dwarka'!K24</f>
        <v>104875</v>
      </c>
      <c r="L6" s="13"/>
      <c r="M6" s="28"/>
    </row>
    <row r="7">
      <c r="A7" s="10">
        <v>5.0</v>
      </c>
      <c r="B7" s="33" t="s">
        <v>22</v>
      </c>
      <c r="C7" s="35">
        <v>0.0</v>
      </c>
      <c r="D7" s="35">
        <v>0.0</v>
      </c>
      <c r="E7" s="35">
        <v>0.0</v>
      </c>
      <c r="F7" s="35">
        <v>0.0</v>
      </c>
      <c r="G7" s="35">
        <v>0.0</v>
      </c>
      <c r="H7" s="39">
        <f>'RallyGully | DPSG'!H24</f>
        <v>21637</v>
      </c>
      <c r="I7" s="39">
        <f>'RallyGully | DPSG'!I24</f>
        <v>49820</v>
      </c>
      <c r="J7" s="39">
        <f>'RallyGully | DPSG'!J24</f>
        <v>113460</v>
      </c>
      <c r="K7" s="39">
        <f>'RallyGully | DPSG'!K24</f>
        <v>179380</v>
      </c>
      <c r="L7" s="13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</row>
    <row r="8">
      <c r="A8" s="10">
        <v>6.0</v>
      </c>
      <c r="B8" s="33" t="s">
        <v>29</v>
      </c>
      <c r="C8" s="35">
        <v>0.0</v>
      </c>
      <c r="D8" s="35">
        <v>0.0</v>
      </c>
      <c r="E8" s="35">
        <v>0.0</v>
      </c>
      <c r="F8" s="35">
        <v>0.0</v>
      </c>
      <c r="G8" s="35">
        <v>0.0</v>
      </c>
      <c r="H8" s="35">
        <v>0.0</v>
      </c>
      <c r="I8" s="39">
        <f>'RallyGully | Panchsheel'!I24</f>
        <v>78588</v>
      </c>
      <c r="J8" s="39">
        <f>'RallyGully | Panchsheel'!J24</f>
        <v>88970</v>
      </c>
      <c r="K8" s="39">
        <f>'RallyGully | Panchsheel'!K24</f>
        <v>141013</v>
      </c>
      <c r="L8" s="13"/>
      <c r="M8" s="28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</row>
    <row r="9">
      <c r="A9" s="10">
        <v>7.0</v>
      </c>
      <c r="B9" s="46" t="s">
        <v>32</v>
      </c>
      <c r="C9" s="13">
        <v>0.0</v>
      </c>
      <c r="D9" s="13">
        <v>0.0</v>
      </c>
      <c r="E9" s="13">
        <v>0.0</v>
      </c>
      <c r="F9" s="13">
        <v>0.0</v>
      </c>
      <c r="G9" s="14">
        <f>'RallyGully | LCR Pune'!G24</f>
        <v>40125</v>
      </c>
      <c r="H9" s="14">
        <f>'RallyGully | LCR Pune'!H24</f>
        <v>171603</v>
      </c>
      <c r="I9" s="14">
        <f>'RallyGully | LCR Pune'!I24</f>
        <v>399500</v>
      </c>
      <c r="J9" s="14">
        <f>'RallyGully | LCR Pune'!J24</f>
        <v>450865</v>
      </c>
      <c r="K9" s="14">
        <f>'RallyGully | LCR Pune'!K24</f>
        <v>415235</v>
      </c>
      <c r="L9" s="13"/>
    </row>
    <row r="10">
      <c r="A10" s="10">
        <v>8.0</v>
      </c>
      <c r="B10" s="33" t="s">
        <v>40</v>
      </c>
      <c r="C10" s="35">
        <v>0.0</v>
      </c>
      <c r="D10" s="35">
        <v>0.0</v>
      </c>
      <c r="E10" s="35">
        <v>0.0</v>
      </c>
      <c r="F10" s="35">
        <v>0.0</v>
      </c>
      <c r="G10" s="35">
        <v>0.0</v>
      </c>
      <c r="H10" s="39">
        <f>'RallyGully | Gandipath'!H24</f>
        <v>4900</v>
      </c>
      <c r="I10" s="39">
        <f>'RallyGully | Gandipath'!I24</f>
        <v>98125</v>
      </c>
      <c r="J10" s="39">
        <f>'RallyGully | Gandipath'!J24</f>
        <v>74878</v>
      </c>
      <c r="K10" s="39">
        <f>'RallyGully | Gandipath'!K24</f>
        <v>139155</v>
      </c>
      <c r="L10" s="13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</row>
    <row r="11">
      <c r="A11" s="10">
        <v>9.0</v>
      </c>
      <c r="B11" s="33" t="s">
        <v>41</v>
      </c>
      <c r="C11" s="35">
        <v>0.0</v>
      </c>
      <c r="D11" s="35">
        <v>0.0</v>
      </c>
      <c r="E11" s="35">
        <v>0.0</v>
      </c>
      <c r="F11" s="35">
        <v>0.0</v>
      </c>
      <c r="G11" s="35">
        <v>0.0</v>
      </c>
      <c r="H11" s="35">
        <v>0.0</v>
      </c>
      <c r="I11" s="35">
        <v>0.0</v>
      </c>
      <c r="J11" s="35">
        <f>'Powerplay Park, Pune'!J24</f>
        <v>59161</v>
      </c>
      <c r="K11" s="39">
        <f>'Powerplay Park, Pune'!K24</f>
        <v>186760</v>
      </c>
      <c r="L11" s="13"/>
      <c r="M11" s="28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</row>
    <row r="12">
      <c r="A12" s="10">
        <v>10.0</v>
      </c>
      <c r="B12" s="33" t="s">
        <v>43</v>
      </c>
      <c r="C12" s="35">
        <v>0.0</v>
      </c>
      <c r="D12" s="35">
        <v>0.0</v>
      </c>
      <c r="E12" s="35">
        <v>0.0</v>
      </c>
      <c r="F12" s="35">
        <v>0.0</v>
      </c>
      <c r="G12" s="35">
        <v>0.0</v>
      </c>
      <c r="H12" s="35">
        <v>0.0</v>
      </c>
      <c r="I12" s="35">
        <v>0.0</v>
      </c>
      <c r="J12" s="35">
        <v>0.0</v>
      </c>
      <c r="K12" s="39">
        <f>'Commons, Noida'!K24</f>
        <v>136660</v>
      </c>
      <c r="L12" s="13"/>
      <c r="M12" s="28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</row>
    <row r="13">
      <c r="A13" s="54"/>
      <c r="B13" s="55" t="s">
        <v>47</v>
      </c>
      <c r="C13" s="57">
        <f t="shared" ref="C13:G13" si="1">SUM(C3:C10)</f>
        <v>103615</v>
      </c>
      <c r="D13" s="57">
        <f t="shared" si="1"/>
        <v>336259</v>
      </c>
      <c r="E13" s="57">
        <f t="shared" si="1"/>
        <v>478873.8</v>
      </c>
      <c r="F13" s="57">
        <f t="shared" si="1"/>
        <v>545472.6</v>
      </c>
      <c r="G13" s="57">
        <f t="shared" si="1"/>
        <v>581843</v>
      </c>
      <c r="H13" s="57">
        <f t="shared" ref="H13:K13" si="2">SUM(H3:H12)</f>
        <v>754429</v>
      </c>
      <c r="I13" s="57">
        <f t="shared" si="2"/>
        <v>1501552</v>
      </c>
      <c r="J13" s="57">
        <f t="shared" si="2"/>
        <v>1713558</v>
      </c>
      <c r="K13" s="57">
        <f t="shared" si="2"/>
        <v>2062032</v>
      </c>
      <c r="L13" s="57"/>
      <c r="M13" s="28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</row>
    <row r="14">
      <c r="A14" s="59"/>
      <c r="B14" s="60" t="s">
        <v>53</v>
      </c>
      <c r="C14" s="61"/>
      <c r="D14" s="61"/>
      <c r="E14" s="61">
        <f>'RallyGully I Sector 10 Dwarka'!E25+'RallyGully I Sector 83 Gurgaon'!E25+'RallyGully I East of Kailash'!E25+'RallyGully I Sector 19 Dwarka'!E25+'RallyGully | LCR Pune'!E25+'RallyGully | DPSG'!E25+'RallyGully | Gandipath'!E25+'RallyGully | Panchsheel'!E25+'Powerplay Park, Pune'!E25+'Commons, Noida'!E25</f>
        <v>383752.5</v>
      </c>
      <c r="F14" s="61">
        <f>'RallyGully I Sector 10 Dwarka'!F25+'RallyGully I Sector 83 Gurgaon'!F25+'RallyGully I East of Kailash'!F25+'RallyGully I Sector 19 Dwarka'!F25+'RallyGully | LCR Pune'!F25+'RallyGully | DPSG'!F25+'RallyGully | Gandipath'!F25+'RallyGully | Panchsheel'!F25+'Powerplay Park, Pune'!F25+'Commons, Noida'!F25</f>
        <v>472432</v>
      </c>
      <c r="G14" s="61">
        <f>'RallyGully I Sector 10 Dwarka'!G25+'RallyGully I Sector 83 Gurgaon'!G25+'RallyGully I East of Kailash'!G25+'RallyGully I Sector 19 Dwarka'!G25+'RallyGully | LCR Pune'!G25+'RallyGully | DPSG'!G25+'RallyGully | Gandipath'!G25+'RallyGully | Panchsheel'!G25+'Powerplay Park, Pune'!G25+'Commons, Noida'!G25</f>
        <v>550598.68</v>
      </c>
      <c r="H14" s="61">
        <f>'RallyGully I Sector 10 Dwarka'!H25+'RallyGully I Sector 83 Gurgaon'!H25+'RallyGully I East of Kailash'!H25+'RallyGully I Sector 19 Dwarka'!H25+'RallyGully | LCR Pune'!H25+'RallyGully | DPSG'!H25+'RallyGully | Gandipath'!H25+'RallyGully | Panchsheel'!H25+'Powerplay Park, Pune'!H25+'Commons, Noida'!H25</f>
        <v>724015.27</v>
      </c>
      <c r="I14" s="61">
        <f>'RallyGully I Sector 10 Dwarka'!I25+'RallyGully I Sector 83 Gurgaon'!I25+'RallyGully I East of Kailash'!I25+'RallyGully I Sector 19 Dwarka'!I25+'RallyGully | LCR Pune'!I25+'RallyGully | DPSG'!I25+'RallyGully | Gandipath'!I25+'RallyGully | Panchsheel'!I25+'Powerplay Park, Pune'!I25+'Commons, Noida'!I25</f>
        <v>1447146.41</v>
      </c>
      <c r="J14" s="61">
        <f>'RallyGully I Sector 10 Dwarka'!J25+'RallyGully I Sector 83 Gurgaon'!J25+'RallyGully I East of Kailash'!J25+'RallyGully I Sector 19 Dwarka'!J25+'RallyGully | LCR Pune'!J25+'RallyGully | DPSG'!J25+'RallyGully | Gandipath'!J25+'RallyGully | Panchsheel'!J25+'Powerplay Park, Pune'!J25+'Commons, Noida'!J25</f>
        <v>1640746.96</v>
      </c>
      <c r="K14" s="61">
        <f>'RallyGully I Sector 10 Dwarka'!K25+'RallyGully I Sector 83 Gurgaon'!K25+'RallyGully I East of Kailash'!K25+'RallyGully I Sector 19 Dwarka'!K25+'RallyGully | LCR Pune'!K25+'RallyGully | DPSG'!K25+'RallyGully | Gandipath'!K25+'RallyGully | Panchsheel'!K25+'Powerplay Park, Pune'!K25+'Commons, Noida'!K25</f>
        <v>1942531.57</v>
      </c>
      <c r="M14" s="28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</row>
    <row r="15">
      <c r="A15" s="59"/>
      <c r="B15" s="78"/>
      <c r="C15" s="61"/>
      <c r="D15" s="61"/>
      <c r="E15" s="61"/>
      <c r="F15" s="79"/>
      <c r="G15" s="79"/>
      <c r="H15" s="79"/>
      <c r="I15" s="79"/>
      <c r="J15" s="79"/>
      <c r="K15" s="79"/>
      <c r="L15" s="41"/>
      <c r="M15" s="28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</row>
    <row r="17">
      <c r="A17" s="81"/>
      <c r="B17" s="82" t="s">
        <v>58</v>
      </c>
      <c r="C17" s="9" t="s">
        <v>4</v>
      </c>
      <c r="D17" s="9" t="s">
        <v>5</v>
      </c>
      <c r="E17" s="9" t="s">
        <v>6</v>
      </c>
      <c r="F17" s="9" t="s">
        <v>7</v>
      </c>
      <c r="G17" s="9" t="s">
        <v>8</v>
      </c>
      <c r="H17" s="9" t="s">
        <v>9</v>
      </c>
      <c r="I17" s="9" t="s">
        <v>10</v>
      </c>
      <c r="J17" s="83" t="s">
        <v>11</v>
      </c>
      <c r="K17" s="9" t="s">
        <v>12</v>
      </c>
      <c r="Q17" s="40"/>
    </row>
    <row r="18">
      <c r="A18" s="46"/>
      <c r="B18" s="84"/>
      <c r="C18" s="67"/>
      <c r="D18" s="67"/>
      <c r="E18" s="67"/>
      <c r="F18" s="67"/>
      <c r="G18" s="67"/>
      <c r="H18" s="67"/>
      <c r="I18" s="67"/>
      <c r="J18" s="67"/>
      <c r="K18" s="67"/>
      <c r="Q18" s="43"/>
    </row>
    <row r="19">
      <c r="A19" s="46">
        <v>1.0</v>
      </c>
      <c r="B19" s="84" t="s">
        <v>18</v>
      </c>
      <c r="C19" s="14">
        <f>SUM('RallyGully I Sector 10 Dwarka'!C3+'RallyGully I Sector 83 Gurgaon'!C3+'RallyGully I East of Kailash'!C3+'RallyGully I Sector 19 Dwarka'!C3+'RallyGully | LCR Pune'!C3+'RallyGully | DPSG'!C3+'RallyGully | Gandipath'!C3+'RallyGully | Panchsheel'!C3)</f>
        <v>4835</v>
      </c>
      <c r="D19" s="14">
        <f>SUM('RallyGully I Sector 10 Dwarka'!D3+'RallyGully I Sector 83 Gurgaon'!D3+'RallyGully I East of Kailash'!D3+'RallyGully I Sector 19 Dwarka'!D3+'RallyGully | LCR Pune'!D3+'RallyGully | DPSG'!D3+'RallyGully | Gandipath'!D3+'RallyGully | Panchsheel'!D3)</f>
        <v>51040</v>
      </c>
      <c r="E19" s="14">
        <f>SUM('RallyGully I Sector 10 Dwarka'!E3+'RallyGully I Sector 83 Gurgaon'!E3+'RallyGully I East of Kailash'!E3+'RallyGully I Sector 19 Dwarka'!E3+'RallyGully | LCR Pune'!E3+'RallyGully | DPSG'!E3+'RallyGully | Gandipath'!E3+'RallyGully | Panchsheel'!E3)</f>
        <v>139520</v>
      </c>
      <c r="F19" s="14">
        <f>SUM('RallyGully I Sector 10 Dwarka'!F3+'RallyGully I Sector 83 Gurgaon'!F3+'RallyGully I East of Kailash'!F3+'RallyGully I Sector 19 Dwarka'!F3+'RallyGully | LCR Pune'!F3+'RallyGully | DPSG'!F3+'RallyGully | Gandipath'!F3+'RallyGully | Panchsheel'!F3)</f>
        <v>73240</v>
      </c>
      <c r="G19" s="14">
        <f>SUM('RallyGully I Sector 10 Dwarka'!G3+'RallyGully I Sector 83 Gurgaon'!G3+'RallyGully I East of Kailash'!G3+'RallyGully I Sector 19 Dwarka'!G3+'RallyGully | LCR Pune'!G3+'RallyGully | DPSG'!G3+'RallyGully | Gandipath'!G3+'RallyGully | Panchsheel'!G3)</f>
        <v>175494</v>
      </c>
      <c r="H19" s="14">
        <f>SUM('RallyGully I Sector 10 Dwarka'!H3+'RallyGully I Sector 83 Gurgaon'!H3+'RallyGully I East of Kailash'!H3+'RallyGully I Sector 19 Dwarka'!H3+'RallyGully | LCR Pune'!H3+'RallyGully | DPSG'!H3+'RallyGully | Gandipath'!H3+'RallyGully | Panchsheel'!H3)</f>
        <v>269512</v>
      </c>
      <c r="I19" s="14">
        <f>SUM('RallyGully I Sector 10 Dwarka'!I3+'RallyGully I Sector 83 Gurgaon'!I3+'RallyGully I East of Kailash'!I3+'RallyGully I Sector 19 Dwarka'!I3+'RallyGully | LCR Pune'!I3+'RallyGully | DPSG'!I3+'RallyGully | Gandipath'!I3+'RallyGully | Panchsheel'!I3)</f>
        <v>481369</v>
      </c>
      <c r="J19" s="14">
        <f>SUM('RallyGully I Sector 10 Dwarka'!J3+'RallyGully I Sector 83 Gurgaon'!J3+'RallyGully I East of Kailash'!J3+'RallyGully I Sector 19 Dwarka'!J3+'RallyGully | LCR Pune'!J3+'RallyGully | DPSG'!J3+'RallyGully | Gandipath'!J3+'RallyGully | Panchsheel'!J3+'Powerplay Park, Pune'!J3+'Commons, Noida'!J3)</f>
        <v>515675</v>
      </c>
      <c r="K19" s="14">
        <f>SUM('RallyGully I Sector 10 Dwarka'!K3+'RallyGully I Sector 83 Gurgaon'!K3+'RallyGully I East of Kailash'!K3+'RallyGully I Sector 19 Dwarka'!K3+'RallyGully | LCR Pune'!K3+'RallyGully | DPSG'!K3+'RallyGully | Gandipath'!K3+'RallyGully | Panchsheel'!K3+'Powerplay Park, Pune'!K3+'Commons, Noida'!K3)</f>
        <v>528815</v>
      </c>
      <c r="Q19" s="43"/>
    </row>
    <row r="20" outlineLevel="1">
      <c r="A20" s="46">
        <v>1.1</v>
      </c>
      <c r="B20" s="88" t="s">
        <v>21</v>
      </c>
      <c r="C20" s="14">
        <f>SUM('RallyGully I Sector 10 Dwarka'!C4+'RallyGully I Sector 83 Gurgaon'!C4+'RallyGully I East of Kailash'!C4+'RallyGully I Sector 19 Dwarka'!C4+'RallyGully | LCR Pune'!C4+'RallyGully | DPSG'!C4+'RallyGully | Gandipath'!C4+'RallyGully | Panchsheel'!C4)</f>
        <v>4475</v>
      </c>
      <c r="D20" s="14">
        <f>SUM('RallyGully I Sector 10 Dwarka'!D4+'RallyGully I Sector 83 Gurgaon'!D4+'RallyGully I East of Kailash'!D4+'RallyGully I Sector 19 Dwarka'!D4+'RallyGully | LCR Pune'!D4+'RallyGully | DPSG'!D4+'RallyGully | Gandipath'!D4+'RallyGully | Panchsheel'!D4)</f>
        <v>15580</v>
      </c>
      <c r="E20" s="14">
        <f>SUM('RallyGully I Sector 10 Dwarka'!E4+'RallyGully I Sector 83 Gurgaon'!E4+'RallyGully I East of Kailash'!E4+'RallyGully I Sector 19 Dwarka'!E4+'RallyGully | LCR Pune'!E4+'RallyGully | DPSG'!E4+'RallyGully | Gandipath'!E4+'RallyGully | Panchsheel'!E4)</f>
        <v>22280</v>
      </c>
      <c r="F20" s="14">
        <f>SUM('RallyGully I Sector 10 Dwarka'!F4+'RallyGully I Sector 83 Gurgaon'!F4+'RallyGully I East of Kailash'!F4+'RallyGully I Sector 19 Dwarka'!F4+'RallyGully | LCR Pune'!F4+'RallyGully | DPSG'!F4+'RallyGully | Gandipath'!F4+'RallyGully | Panchsheel'!F4)</f>
        <v>24840</v>
      </c>
      <c r="G20" s="14">
        <f>SUM('RallyGully I Sector 10 Dwarka'!G4+'RallyGully I Sector 83 Gurgaon'!G4+'RallyGully I East of Kailash'!G4+'RallyGully I Sector 19 Dwarka'!G4+'RallyGully | LCR Pune'!G4+'RallyGully | DPSG'!G4+'RallyGully | Gandipath'!G4+'RallyGully | Panchsheel'!G4)</f>
        <v>27820</v>
      </c>
      <c r="H20" s="14">
        <f>SUM('RallyGully I Sector 10 Dwarka'!H4+'RallyGully I Sector 83 Gurgaon'!H4+'RallyGully I East of Kailash'!H4+'RallyGully I Sector 19 Dwarka'!H4+'RallyGully | LCR Pune'!H4+'RallyGully | DPSG'!H4+'RallyGully | Gandipath'!H4+'RallyGully | Panchsheel'!H4)</f>
        <v>60775</v>
      </c>
      <c r="I20" s="14">
        <f>SUM('RallyGully I Sector 10 Dwarka'!I4+'RallyGully I Sector 83 Gurgaon'!I4+'RallyGully I East of Kailash'!I4+'RallyGully I Sector 19 Dwarka'!I4+'RallyGully | LCR Pune'!I4+'RallyGully | DPSG'!I4+'RallyGully | Gandipath'!I4+'RallyGully | Panchsheel'!I4)</f>
        <v>91339</v>
      </c>
      <c r="J20" s="14">
        <f>SUM('RallyGully I Sector 10 Dwarka'!J4+'RallyGully I Sector 83 Gurgaon'!J4+'RallyGully I East of Kailash'!J4+'RallyGully I Sector 19 Dwarka'!J4+'RallyGully | LCR Pune'!J4+'RallyGully | DPSG'!J4+'RallyGully | Gandipath'!J4+'RallyGully | Panchsheel'!J4)</f>
        <v>94325</v>
      </c>
      <c r="K20" s="14">
        <f>SUM('RallyGully I Sector 10 Dwarka'!K4+'RallyGully I Sector 83 Gurgaon'!K4+'RallyGully I East of Kailash'!K4+'RallyGully I Sector 19 Dwarka'!K4+'RallyGully | LCR Pune'!K4+'RallyGully | DPSG'!K4+'RallyGully | Gandipath'!K4+'RallyGully | Panchsheel'!K4+'Powerplay Park, Pune'!K4+'Commons, Noida'!K4)</f>
        <v>82830</v>
      </c>
      <c r="Q20" s="40"/>
    </row>
    <row r="21" outlineLevel="1">
      <c r="A21" s="46">
        <v>1.2</v>
      </c>
      <c r="B21" s="88" t="s">
        <v>23</v>
      </c>
      <c r="C21" s="14">
        <f>SUM('RallyGully I Sector 10 Dwarka'!C5+'RallyGully I Sector 83 Gurgaon'!C5+'RallyGully I East of Kailash'!C5+'RallyGully I Sector 19 Dwarka'!C5+'RallyGully | LCR Pune'!C5+'RallyGully | DPSG'!C5+'RallyGully | Gandipath'!C5+'RallyGully | Panchsheel'!C5)</f>
        <v>360</v>
      </c>
      <c r="D21" s="14">
        <f>SUM('RallyGully I Sector 10 Dwarka'!D5+'RallyGully I Sector 83 Gurgaon'!D5+'RallyGully I East of Kailash'!D5+'RallyGully I Sector 19 Dwarka'!D5+'RallyGully | LCR Pune'!D5+'RallyGully | DPSG'!D5+'RallyGully | Gandipath'!D5+'RallyGully | Panchsheel'!D5)</f>
        <v>1920</v>
      </c>
      <c r="E21" s="14">
        <f>SUM('RallyGully I Sector 10 Dwarka'!E5+'RallyGully I Sector 83 Gurgaon'!E5+'RallyGully I East of Kailash'!E5+'RallyGully I Sector 19 Dwarka'!E5+'RallyGully | LCR Pune'!E5+'RallyGully | DPSG'!E5+'RallyGully | Gandipath'!E5+'RallyGully | Panchsheel'!E5)</f>
        <v>4400</v>
      </c>
      <c r="F21" s="14">
        <f>SUM('RallyGully I Sector 10 Dwarka'!F5+'RallyGully I Sector 83 Gurgaon'!F5+'RallyGully I East of Kailash'!F5+'RallyGully I Sector 19 Dwarka'!F5+'RallyGully | LCR Pune'!F5+'RallyGully | DPSG'!F5+'RallyGully | Gandipath'!F5+'RallyGully | Panchsheel'!F5)</f>
        <v>2490</v>
      </c>
      <c r="G21" s="14">
        <f>SUM('RallyGully I Sector 10 Dwarka'!G5+'RallyGully I Sector 83 Gurgaon'!G5+'RallyGully I East of Kailash'!G5+'RallyGully I Sector 19 Dwarka'!G5+'RallyGully | LCR Pune'!G5+'RallyGully | DPSG'!G5+'RallyGully | Gandipath'!G5+'RallyGully | Panchsheel'!G5)</f>
        <v>1890</v>
      </c>
      <c r="H21" s="14">
        <f>SUM('RallyGully I Sector 10 Dwarka'!H5+'RallyGully I Sector 83 Gurgaon'!H5+'RallyGully I East of Kailash'!H5+'RallyGully I Sector 19 Dwarka'!H5+'RallyGully | LCR Pune'!H5+'RallyGully | DPSG'!H5+'RallyGully | Gandipath'!H5+'RallyGully | Panchsheel'!H5)</f>
        <v>5260</v>
      </c>
      <c r="I21" s="14">
        <f>SUM('RallyGully I Sector 10 Dwarka'!I5+'RallyGully I Sector 83 Gurgaon'!I5+'RallyGully I East of Kailash'!I5+'RallyGully I Sector 19 Dwarka'!I5+'RallyGully | LCR Pune'!I5+'RallyGully | DPSG'!I5+'RallyGully | Gandipath'!I5+'RallyGully | Panchsheel'!I5)</f>
        <v>4055</v>
      </c>
      <c r="J21" s="14">
        <f>SUM('RallyGully I Sector 10 Dwarka'!J5+'RallyGully I Sector 83 Gurgaon'!J5+'RallyGully I East of Kailash'!J5+'RallyGully I Sector 19 Dwarka'!J5+'RallyGully | LCR Pune'!J5+'RallyGully | DPSG'!J5+'RallyGully | Gandipath'!J5+'RallyGully | Panchsheel'!J5)</f>
        <v>5445</v>
      </c>
      <c r="K21" s="14">
        <f>SUM('RallyGully I Sector 10 Dwarka'!K5+'RallyGully I Sector 83 Gurgaon'!K5+'RallyGully I East of Kailash'!K5+'RallyGully I Sector 19 Dwarka'!K5+'RallyGully | LCR Pune'!K5+'RallyGully | DPSG'!K5+'RallyGully | Gandipath'!K5+'RallyGully | Panchsheel'!K5+'Powerplay Park, Pune'!K5+'Commons, Noida'!K5)</f>
        <v>3825</v>
      </c>
      <c r="Q21" s="40"/>
    </row>
    <row r="22" outlineLevel="1">
      <c r="A22" s="46">
        <v>1.3</v>
      </c>
      <c r="B22" s="88" t="s">
        <v>25</v>
      </c>
      <c r="C22" s="14">
        <f>SUM('RallyGully I Sector 10 Dwarka'!C6+'RallyGully I Sector 83 Gurgaon'!C6+'RallyGully I East of Kailash'!C6+'RallyGully I Sector 19 Dwarka'!C6+'RallyGully | LCR Pune'!C6+'RallyGully | DPSG'!C6+'RallyGully | Gandipath'!C6+'RallyGully | Panchsheel'!C6)</f>
        <v>0</v>
      </c>
      <c r="D22" s="14">
        <f>SUM('RallyGully I Sector 10 Dwarka'!D6+'RallyGully I Sector 83 Gurgaon'!D6+'RallyGully I East of Kailash'!D6+'RallyGully I Sector 19 Dwarka'!D6+'RallyGully | LCR Pune'!D6+'RallyGully | DPSG'!D6+'RallyGully | Gandipath'!D6+'RallyGully | Panchsheel'!D6)</f>
        <v>0</v>
      </c>
      <c r="E22" s="14">
        <f>SUM('RallyGully I Sector 10 Dwarka'!E6+'RallyGully I Sector 83 Gurgaon'!E6+'RallyGully I East of Kailash'!E6+'RallyGully I Sector 19 Dwarka'!E6+'RallyGully | LCR Pune'!E6+'RallyGully | DPSG'!E6+'RallyGully | Gandipath'!E6+'RallyGully | Panchsheel'!E6)</f>
        <v>12050</v>
      </c>
      <c r="F22" s="14">
        <f>SUM('RallyGully I Sector 10 Dwarka'!F6+'RallyGully I Sector 83 Gurgaon'!F6+'RallyGully I East of Kailash'!F6+'RallyGully I Sector 19 Dwarka'!F6+'RallyGully | LCR Pune'!F6+'RallyGully | DPSG'!F6+'RallyGully | Gandipath'!F6+'RallyGully | Panchsheel'!F6)</f>
        <v>0</v>
      </c>
      <c r="G22" s="14">
        <f>SUM('RallyGully I Sector 10 Dwarka'!G6+'RallyGully I Sector 83 Gurgaon'!G6+'RallyGully I East of Kailash'!G6+'RallyGully I Sector 19 Dwarka'!G6+'RallyGully | LCR Pune'!G6+'RallyGully | DPSG'!G6+'RallyGully | Gandipath'!G6+'RallyGully | Panchsheel'!G6)</f>
        <v>0</v>
      </c>
      <c r="H22" s="14">
        <f>SUM('RallyGully I Sector 10 Dwarka'!H6+'RallyGully I Sector 83 Gurgaon'!H6+'RallyGully I East of Kailash'!H6+'RallyGully I Sector 19 Dwarka'!H6+'RallyGully | LCR Pune'!H6+'RallyGully | DPSG'!H6+'RallyGully | Gandipath'!H6+'RallyGully | Panchsheel'!H6)</f>
        <v>0</v>
      </c>
      <c r="I22" s="14">
        <f>SUM('RallyGully I Sector 10 Dwarka'!I6+'RallyGully I Sector 83 Gurgaon'!I6+'RallyGully I East of Kailash'!I6+'RallyGully I Sector 19 Dwarka'!I6+'RallyGully | LCR Pune'!I6+'RallyGully | DPSG'!I6+'RallyGully | Gandipath'!I6+'RallyGully | Panchsheel'!I6)</f>
        <v>18000</v>
      </c>
      <c r="J22" s="14">
        <f>SUM('RallyGully I Sector 10 Dwarka'!J6+'RallyGully I Sector 83 Gurgaon'!J6+'RallyGully I East of Kailash'!J6+'RallyGully I Sector 19 Dwarka'!J6+'RallyGully | LCR Pune'!J6+'RallyGully | DPSG'!J6+'RallyGully | Gandipath'!J6+'RallyGully | Panchsheel'!J6)</f>
        <v>0</v>
      </c>
      <c r="K22" s="14">
        <f>SUM('RallyGully I Sector 10 Dwarka'!K6+'RallyGully I Sector 83 Gurgaon'!K6+'RallyGully I East of Kailash'!K6+'RallyGully I Sector 19 Dwarka'!K6+'RallyGully | LCR Pune'!K6+'RallyGully | DPSG'!K6+'RallyGully | Gandipath'!K6+'RallyGully | Panchsheel'!K6+'Powerplay Park, Pune'!K6+'Commons, Noida'!K6)</f>
        <v>0</v>
      </c>
    </row>
    <row r="23" outlineLevel="1">
      <c r="A23" s="46">
        <v>1.4</v>
      </c>
      <c r="B23" s="88" t="s">
        <v>26</v>
      </c>
      <c r="C23" s="14">
        <f>SUM('RallyGully I Sector 10 Dwarka'!C7+'RallyGully I Sector 83 Gurgaon'!C7+'RallyGully I East of Kailash'!C7+'RallyGully I Sector 19 Dwarka'!C7+'RallyGully | LCR Pune'!C7+'RallyGully | DPSG'!C7+'RallyGully | Gandipath'!C7+'RallyGully | Panchsheel'!C7)</f>
        <v>0</v>
      </c>
      <c r="D23" s="14">
        <f>SUM('RallyGully I Sector 10 Dwarka'!D7+'RallyGully I Sector 83 Gurgaon'!D7+'RallyGully I East of Kailash'!D7+'RallyGully I Sector 19 Dwarka'!D7+'RallyGully | LCR Pune'!D7+'RallyGully | DPSG'!D7+'RallyGully | Gandipath'!D7+'RallyGully | Panchsheel'!D7)</f>
        <v>33540</v>
      </c>
      <c r="E23" s="14">
        <f>SUM('RallyGully I Sector 10 Dwarka'!E7+'RallyGully I Sector 83 Gurgaon'!E7+'RallyGully I East of Kailash'!E7+'RallyGully I Sector 19 Dwarka'!E7+'RallyGully | LCR Pune'!E7+'RallyGully | DPSG'!E7+'RallyGully | Gandipath'!E7+'RallyGully | Panchsheel'!E7)</f>
        <v>100790</v>
      </c>
      <c r="F23" s="14">
        <f>SUM('RallyGully I Sector 10 Dwarka'!F7+'RallyGully I Sector 83 Gurgaon'!F7+'RallyGully I East of Kailash'!F7+'RallyGully I Sector 19 Dwarka'!F7+'RallyGully | LCR Pune'!F7+'RallyGully | DPSG'!F7+'RallyGully | Gandipath'!F7+'RallyGully | Panchsheel'!F7)</f>
        <v>40710</v>
      </c>
      <c r="G23" s="14">
        <f>SUM('RallyGully I Sector 10 Dwarka'!G7+'RallyGully I Sector 83 Gurgaon'!G7+'RallyGully I East of Kailash'!G7+'RallyGully I Sector 19 Dwarka'!G7+'RallyGully | LCR Pune'!G7+'RallyGully | DPSG'!G7+'RallyGully | Gandipath'!G7+'RallyGully | Panchsheel'!G7)</f>
        <v>145784</v>
      </c>
      <c r="H23" s="14">
        <f>SUM('RallyGully I Sector 10 Dwarka'!H7+'RallyGully I Sector 83 Gurgaon'!H7+'RallyGully I East of Kailash'!H7+'RallyGully I Sector 19 Dwarka'!H7+'RallyGully | LCR Pune'!H7+'RallyGully | DPSG'!H7+'RallyGully | Gandipath'!H7+'RallyGully | Panchsheel'!H7)</f>
        <v>203477</v>
      </c>
      <c r="I23" s="14">
        <f>SUM('RallyGully I Sector 10 Dwarka'!I7+'RallyGully I Sector 83 Gurgaon'!I7+'RallyGully I East of Kailash'!I7+'RallyGully I Sector 19 Dwarka'!I7+'RallyGully | LCR Pune'!I7+'RallyGully | DPSG'!I7+'RallyGully | Gandipath'!I7+'RallyGully | Panchsheel'!I7)</f>
        <v>367975</v>
      </c>
      <c r="J23" s="14">
        <f>SUM('RallyGully I Sector 10 Dwarka'!J7+'RallyGully I Sector 83 Gurgaon'!J7+'RallyGully I East of Kailash'!J7+'RallyGully I Sector 19 Dwarka'!J7+'RallyGully | LCR Pune'!J7+'RallyGully | DPSG'!J7+'RallyGully | Gandipath'!J7+'RallyGully | Panchsheel'!J7)</f>
        <v>415905</v>
      </c>
      <c r="K23" s="14">
        <f>SUM('RallyGully I Sector 10 Dwarka'!K7+'RallyGully I Sector 83 Gurgaon'!K7+'RallyGully I East of Kailash'!K7+'RallyGully I Sector 19 Dwarka'!K7+'RallyGully | LCR Pune'!K7+'RallyGully | DPSG'!K7+'RallyGully | Gandipath'!K7+'RallyGully | Panchsheel'!K7+'Powerplay Park, Pune'!K7+'Commons, Noida'!K7)</f>
        <v>442160</v>
      </c>
    </row>
    <row r="24">
      <c r="A24" s="46">
        <v>2.0</v>
      </c>
      <c r="B24" s="68" t="s">
        <v>28</v>
      </c>
      <c r="C24" s="14">
        <f>SUM('RallyGully I Sector 10 Dwarka'!C8+'RallyGully I Sector 83 Gurgaon'!C8+'RallyGully I East of Kailash'!C8+'RallyGully I Sector 19 Dwarka'!C8+'RallyGully | LCR Pune'!C8+'RallyGully | DPSG'!C8+'RallyGully | Gandipath'!C8+'RallyGully | Panchsheel'!C8)</f>
        <v>88280</v>
      </c>
      <c r="D24" s="14">
        <f>SUM('RallyGully I Sector 10 Dwarka'!D8+'RallyGully I Sector 83 Gurgaon'!D8+'RallyGully I East of Kailash'!D8+'RallyGully I Sector 19 Dwarka'!D8+'RallyGully | LCR Pune'!D8+'RallyGully | DPSG'!D8+'RallyGully | Gandipath'!D8+'RallyGully | Panchsheel'!D8)</f>
        <v>220132</v>
      </c>
      <c r="E24" s="14">
        <f>SUM('RallyGully I Sector 10 Dwarka'!E8+'RallyGully I Sector 83 Gurgaon'!E8+'RallyGully I East of Kailash'!E8+'RallyGully I Sector 19 Dwarka'!E8+'RallyGully | LCR Pune'!E8+'RallyGully | DPSG'!E8+'RallyGully | Gandipath'!E8+'RallyGully | Panchsheel'!E8)</f>
        <v>282863.8</v>
      </c>
      <c r="F24" s="14">
        <f>SUM('RallyGully I Sector 10 Dwarka'!F8+'RallyGully I Sector 83 Gurgaon'!F8+'RallyGully I East of Kailash'!F8+'RallyGully I Sector 19 Dwarka'!F8+'RallyGully | LCR Pune'!F8+'RallyGully | DPSG'!F8+'RallyGully | Gandipath'!F8+'RallyGully | Panchsheel'!F8)</f>
        <v>299312.6</v>
      </c>
      <c r="G24" s="14">
        <f>SUM('RallyGully I Sector 10 Dwarka'!G8+'RallyGully I Sector 83 Gurgaon'!G8+'RallyGully I East of Kailash'!G8+'RallyGully I Sector 19 Dwarka'!G8+'RallyGully | LCR Pune'!G8+'RallyGully | DPSG'!G8+'RallyGully | Gandipath'!G8+'RallyGully | Panchsheel'!G8)</f>
        <v>262229</v>
      </c>
      <c r="H24" s="14">
        <f>SUM('RallyGully I Sector 10 Dwarka'!H8+'RallyGully I Sector 83 Gurgaon'!H8+'RallyGully I East of Kailash'!H8+'RallyGully I Sector 19 Dwarka'!H8+'RallyGully | LCR Pune'!H8+'RallyGully | DPSG'!H8+'RallyGully | Gandipath'!H8+'RallyGully | Panchsheel'!H8)</f>
        <v>281135</v>
      </c>
      <c r="I24" s="14">
        <f>SUM('RallyGully I Sector 10 Dwarka'!I8+'RallyGully I Sector 83 Gurgaon'!I8+'RallyGully I East of Kailash'!I8+'RallyGully I Sector 19 Dwarka'!I8+'RallyGully | LCR Pune'!I8+'RallyGully | DPSG'!I8+'RallyGully | Gandipath'!I8+'RallyGully | Panchsheel'!I8)</f>
        <v>520434</v>
      </c>
      <c r="J24" s="14">
        <f>SUM('RallyGully I Sector 10 Dwarka'!J8+'RallyGully I Sector 83 Gurgaon'!J8+'RallyGully I East of Kailash'!J8+'RallyGully I Sector 19 Dwarka'!J8+'RallyGully | LCR Pune'!J8+'RallyGully | DPSG'!J8+'RallyGully | Gandipath'!J8+'RallyGully | Panchsheel'!J8+'Powerplay Park, Pune'!J8+'Commons, Noida'!J8)</f>
        <v>603109</v>
      </c>
      <c r="K24" s="14">
        <f>SUM('RallyGully I Sector 10 Dwarka'!K8+'RallyGully I Sector 83 Gurgaon'!K8+'RallyGully I East of Kailash'!K8+'RallyGully I Sector 19 Dwarka'!K8+'RallyGully | LCR Pune'!K8+'RallyGully | DPSG'!K8+'RallyGully | Gandipath'!K8+'RallyGully | Panchsheel'!K8+'Powerplay Park, Pune'!K8+'Commons, Noida'!K8)</f>
        <v>861713</v>
      </c>
    </row>
    <row r="25" outlineLevel="1">
      <c r="A25" s="46">
        <v>2.1</v>
      </c>
      <c r="B25" s="22" t="s">
        <v>33</v>
      </c>
      <c r="C25" s="14">
        <f>SUM('RallyGully I Sector 10 Dwarka'!C9+'RallyGully I Sector 83 Gurgaon'!C9+'RallyGully I East of Kailash'!C9+'RallyGully I Sector 19 Dwarka'!C9+'RallyGully | LCR Pune'!C9+'RallyGully | DPSG'!C9+'RallyGully | Gandipath'!C9+'RallyGully | Panchsheel'!C9)</f>
        <v>73440</v>
      </c>
      <c r="D25" s="14">
        <f>SUM('RallyGully I Sector 10 Dwarka'!D9+'RallyGully I Sector 83 Gurgaon'!D9+'RallyGully I East of Kailash'!D9+'RallyGully I Sector 19 Dwarka'!D9+'RallyGully | LCR Pune'!D9+'RallyGully | DPSG'!D9+'RallyGully | Gandipath'!D9+'RallyGully | Panchsheel'!D9)</f>
        <v>162660</v>
      </c>
      <c r="E25" s="14">
        <f>SUM('RallyGully I Sector 10 Dwarka'!E9+'RallyGully I Sector 83 Gurgaon'!E9+'RallyGully I East of Kailash'!E9+'RallyGully I Sector 19 Dwarka'!E9+'RallyGully | LCR Pune'!E9+'RallyGully | DPSG'!E9+'RallyGully | Gandipath'!E9+'RallyGully | Panchsheel'!E9)</f>
        <v>244051</v>
      </c>
      <c r="F25" s="14">
        <f>SUM('RallyGully I Sector 10 Dwarka'!F9+'RallyGully I Sector 83 Gurgaon'!F9+'RallyGully I East of Kailash'!F9+'RallyGully I Sector 19 Dwarka'!F9+'RallyGully | LCR Pune'!F9+'RallyGully | DPSG'!F9+'RallyGully | Gandipath'!F9+'RallyGully | Panchsheel'!F9)</f>
        <v>257545</v>
      </c>
      <c r="G25" s="14">
        <f>SUM('RallyGully I Sector 10 Dwarka'!G9+'RallyGully I Sector 83 Gurgaon'!G9+'RallyGully I East of Kailash'!G9+'RallyGully I Sector 19 Dwarka'!G9+'RallyGully | LCR Pune'!G9+'RallyGully | DPSG'!G9+'RallyGully | Gandipath'!G9+'RallyGully | Panchsheel'!G9)</f>
        <v>201485</v>
      </c>
      <c r="H25" s="14">
        <f>SUM('RallyGully I Sector 10 Dwarka'!H9+'RallyGully I Sector 83 Gurgaon'!H9+'RallyGully I East of Kailash'!H9+'RallyGully I Sector 19 Dwarka'!H9+'RallyGully | LCR Pune'!H9+'RallyGully | DPSG'!H9+'RallyGully | Gandipath'!H9+'RallyGully | Panchsheel'!H9)</f>
        <v>173633</v>
      </c>
      <c r="I25" s="14">
        <f>SUM('RallyGully I Sector 10 Dwarka'!I9+'RallyGully I Sector 83 Gurgaon'!I9+'RallyGully I East of Kailash'!I9+'RallyGully I Sector 19 Dwarka'!I9+'RallyGully | LCR Pune'!I9+'RallyGully | DPSG'!I9+'RallyGully | Gandipath'!I9+'RallyGully | Panchsheel'!I9)</f>
        <v>263500</v>
      </c>
      <c r="J25" s="14">
        <f>SUM('RallyGully I Sector 10 Dwarka'!J9+'RallyGully I Sector 83 Gurgaon'!J9+'RallyGully I East of Kailash'!J9+'RallyGully I Sector 19 Dwarka'!J9+'RallyGully | LCR Pune'!J9+'RallyGully | DPSG'!J9+'RallyGully | Gandipath'!J9+'RallyGully | Panchsheel'!J9+'Powerplay Park, Pune'!J9+'Commons, Noida'!J9)</f>
        <v>263802</v>
      </c>
      <c r="K25" s="14">
        <f>SUM('RallyGully I Sector 10 Dwarka'!K9+'RallyGully I Sector 83 Gurgaon'!K9+'RallyGully I East of Kailash'!K9+'RallyGully I Sector 19 Dwarka'!K9+'RallyGully | LCR Pune'!K9+'RallyGully | DPSG'!K9+'RallyGully | Gandipath'!K9+'RallyGully | Panchsheel'!K9+'Powerplay Park, Pune'!K9+'Commons, Noida'!K9)</f>
        <v>377943</v>
      </c>
    </row>
    <row r="26" outlineLevel="1">
      <c r="A26" s="46">
        <v>2.2</v>
      </c>
      <c r="B26" s="22" t="s">
        <v>34</v>
      </c>
      <c r="C26" s="14">
        <f>SUM('RallyGully I Sector 10 Dwarka'!C10+'RallyGully I Sector 83 Gurgaon'!C10+'RallyGully I East of Kailash'!C10+'RallyGully I Sector 19 Dwarka'!C10+'RallyGully | LCR Pune'!C10+'RallyGully | DPSG'!C10+'RallyGully | Gandipath'!C10+'RallyGully | Panchsheel'!C10)</f>
        <v>14840</v>
      </c>
      <c r="D26" s="14">
        <f>SUM('RallyGully I Sector 10 Dwarka'!D10+'RallyGully I Sector 83 Gurgaon'!D10+'RallyGully I East of Kailash'!D10+'RallyGully I Sector 19 Dwarka'!D10+'RallyGully | LCR Pune'!D10+'RallyGully | DPSG'!D10+'RallyGully | Gandipath'!D10+'RallyGully | Panchsheel'!D10)</f>
        <v>46790</v>
      </c>
      <c r="E26" s="14">
        <f>SUM('RallyGully I Sector 10 Dwarka'!E10+'RallyGully I Sector 83 Gurgaon'!E10+'RallyGully I East of Kailash'!E10+'RallyGully I Sector 19 Dwarka'!E10+'RallyGully | LCR Pune'!E10+'RallyGully | DPSG'!E10+'RallyGully | Gandipath'!E10+'RallyGully | Panchsheel'!E10)</f>
        <v>32658.8</v>
      </c>
      <c r="F26" s="14">
        <f>SUM('RallyGully I Sector 10 Dwarka'!F10+'RallyGully I Sector 83 Gurgaon'!F10+'RallyGully I East of Kailash'!F10+'RallyGully I Sector 19 Dwarka'!F10+'RallyGully | LCR Pune'!F10+'RallyGully | DPSG'!F10+'RallyGully | Gandipath'!F10+'RallyGully | Panchsheel'!F10)</f>
        <v>30067.6</v>
      </c>
      <c r="G26" s="14">
        <f>SUM('RallyGully I Sector 10 Dwarka'!G10+'RallyGully I Sector 83 Gurgaon'!G10+'RallyGully I East of Kailash'!G10+'RallyGully I Sector 19 Dwarka'!G10+'RallyGully | LCR Pune'!G10+'RallyGully | DPSG'!G10+'RallyGully | Gandipath'!G10+'RallyGully | Panchsheel'!G10)</f>
        <v>27305</v>
      </c>
      <c r="H26" s="14">
        <f>SUM('RallyGully I Sector 10 Dwarka'!H10+'RallyGully I Sector 83 Gurgaon'!H10+'RallyGully I East of Kailash'!H10+'RallyGully I Sector 19 Dwarka'!H10+'RallyGully | LCR Pune'!H10+'RallyGully | DPSG'!H10+'RallyGully | Gandipath'!H10+'RallyGully | Panchsheel'!H10)</f>
        <v>45577</v>
      </c>
      <c r="I26" s="14">
        <f>SUM('RallyGully I Sector 10 Dwarka'!I10+'RallyGully I Sector 83 Gurgaon'!I10+'RallyGully I East of Kailash'!I10+'RallyGully I Sector 19 Dwarka'!I10+'RallyGully | LCR Pune'!I10+'RallyGully | DPSG'!I10+'RallyGully | Gandipath'!I10+'RallyGully | Panchsheel'!I10)</f>
        <v>93017</v>
      </c>
      <c r="J26" s="14">
        <f>SUM('RallyGully I Sector 10 Dwarka'!J10+'RallyGully I Sector 83 Gurgaon'!J10+'RallyGully I East of Kailash'!J10+'RallyGully I Sector 19 Dwarka'!J10+'RallyGully | LCR Pune'!J10+'RallyGully | DPSG'!J10+'RallyGully | Gandipath'!J10+'RallyGully | Panchsheel'!J10+'Powerplay Park, Pune'!J10+'Commons, Noida'!J10)</f>
        <v>87503</v>
      </c>
      <c r="K26" s="14">
        <f>SUM('RallyGully I Sector 10 Dwarka'!K10+'RallyGully I Sector 83 Gurgaon'!K10+'RallyGully I East of Kailash'!K10+'RallyGully I Sector 19 Dwarka'!K10+'RallyGully | LCR Pune'!K10+'RallyGully | DPSG'!K10+'RallyGully | Gandipath'!K10+'RallyGully | Panchsheel'!K10+'Powerplay Park, Pune'!K10+'Commons, Noida'!K10)</f>
        <v>123355</v>
      </c>
    </row>
    <row r="27" outlineLevel="1">
      <c r="A27" s="46">
        <v>2.3</v>
      </c>
      <c r="B27" s="88" t="s">
        <v>36</v>
      </c>
      <c r="C27" s="14">
        <f>SUM('RallyGully I Sector 10 Dwarka'!C11+'RallyGully I Sector 83 Gurgaon'!C11+'RallyGully I East of Kailash'!C11+'RallyGully I Sector 19 Dwarka'!C11+'RallyGully | LCR Pune'!C11+'RallyGully | DPSG'!C11+'RallyGully | Gandipath'!C11+'RallyGully | Panchsheel'!C11)</f>
        <v>0</v>
      </c>
      <c r="D27" s="14">
        <f>SUM('RallyGully I Sector 10 Dwarka'!D11+'RallyGully I Sector 83 Gurgaon'!D11+'RallyGully I East of Kailash'!D11+'RallyGully I Sector 19 Dwarka'!D11+'RallyGully | LCR Pune'!D11+'RallyGully | DPSG'!D11+'RallyGully | Gandipath'!D11+'RallyGully | Panchsheel'!D11)</f>
        <v>0</v>
      </c>
      <c r="E27" s="14">
        <f>SUM('RallyGully I Sector 10 Dwarka'!E11+'RallyGully I Sector 83 Gurgaon'!E11+'RallyGully I East of Kailash'!E11+'RallyGully I Sector 19 Dwarka'!E11+'RallyGully | LCR Pune'!E11+'RallyGully | DPSG'!E11+'RallyGully | Gandipath'!E11+'RallyGully | Panchsheel'!E11)</f>
        <v>0</v>
      </c>
      <c r="F27" s="14">
        <f>SUM('RallyGully I Sector 10 Dwarka'!F11+'RallyGully I Sector 83 Gurgaon'!F11+'RallyGully I East of Kailash'!F11+'RallyGully I Sector 19 Dwarka'!F11+'RallyGully | LCR Pune'!F11+'RallyGully | DPSG'!F11+'RallyGully | Gandipath'!F11+'RallyGully | Panchsheel'!F11)</f>
        <v>1200</v>
      </c>
      <c r="G27" s="14">
        <f>SUM('RallyGully I Sector 10 Dwarka'!G11+'RallyGully I Sector 83 Gurgaon'!G11+'RallyGully I East of Kailash'!G11+'RallyGully I Sector 19 Dwarka'!G11+'RallyGully | LCR Pune'!G11+'RallyGully | DPSG'!G11+'RallyGully | Gandipath'!G11+'RallyGully | Panchsheel'!G11)</f>
        <v>3106</v>
      </c>
      <c r="H27" s="14">
        <f>SUM('RallyGully I Sector 10 Dwarka'!H11+'RallyGully I Sector 83 Gurgaon'!H11+'RallyGully I East of Kailash'!H11+'RallyGully I Sector 19 Dwarka'!H11+'RallyGully | LCR Pune'!H11+'RallyGully | DPSG'!H11+'RallyGully | Gandipath'!H11+'RallyGully | Panchsheel'!H11)</f>
        <v>18150</v>
      </c>
      <c r="I27" s="14">
        <f>SUM('RallyGully I Sector 10 Dwarka'!I11+'RallyGully I Sector 83 Gurgaon'!I11+'RallyGully I East of Kailash'!I11+'RallyGully I Sector 19 Dwarka'!I11+'RallyGully | LCR Pune'!I11+'RallyGully | DPSG'!I11+'RallyGully | Gandipath'!I11+'RallyGully | Panchsheel'!I11)</f>
        <v>101150</v>
      </c>
      <c r="J27" s="14">
        <f>SUM('RallyGully I Sector 10 Dwarka'!J11+'RallyGully I Sector 83 Gurgaon'!J11+'RallyGully I East of Kailash'!J11+'RallyGully I Sector 19 Dwarka'!J11+'RallyGully | LCR Pune'!J11+'RallyGully | DPSG'!J11+'RallyGully | Gandipath'!J11+'RallyGully | Panchsheel'!J11+'Powerplay Park, Pune'!J11+'Commons, Noida'!J11)</f>
        <v>163600</v>
      </c>
      <c r="K27" s="14">
        <f>SUM('RallyGully I Sector 10 Dwarka'!K11+'RallyGully I Sector 83 Gurgaon'!K11+'RallyGully I East of Kailash'!K11+'RallyGully I Sector 19 Dwarka'!K11+'RallyGully | LCR Pune'!K11+'RallyGully | DPSG'!K11+'RallyGully | Gandipath'!K11+'RallyGully | Panchsheel'!K11+'Powerplay Park, Pune'!K11+'Commons, Noida'!K11)</f>
        <v>209600</v>
      </c>
    </row>
    <row r="28" outlineLevel="1">
      <c r="A28" s="46">
        <v>2.4</v>
      </c>
      <c r="B28" s="22" t="s">
        <v>37</v>
      </c>
      <c r="C28" s="14">
        <f>SUM('RallyGully I Sector 10 Dwarka'!C12+'RallyGully I Sector 83 Gurgaon'!C12+'RallyGully I East of Kailash'!C12+'RallyGully I Sector 19 Dwarka'!C12+'RallyGully | LCR Pune'!C12+'RallyGully | DPSG'!C12+'RallyGully | Gandipath'!C12+'RallyGully | Panchsheel'!C12)</f>
        <v>0</v>
      </c>
      <c r="D28" s="14">
        <f>SUM('RallyGully I Sector 10 Dwarka'!D12+'RallyGully I Sector 83 Gurgaon'!D12+'RallyGully I East of Kailash'!D12+'RallyGully I Sector 19 Dwarka'!D12+'RallyGully | LCR Pune'!D12+'RallyGully | DPSG'!D12+'RallyGully | Gandipath'!D12+'RallyGully | Panchsheel'!D12)</f>
        <v>10682</v>
      </c>
      <c r="E28" s="14">
        <f>SUM('RallyGully I Sector 10 Dwarka'!E12+'RallyGully I Sector 83 Gurgaon'!E12+'RallyGully I East of Kailash'!E12+'RallyGully I Sector 19 Dwarka'!E12+'RallyGully | LCR Pune'!E12+'RallyGully | DPSG'!E12+'RallyGully | Gandipath'!E12+'RallyGully | Panchsheel'!E12)</f>
        <v>6154</v>
      </c>
      <c r="F28" s="14">
        <f>SUM('RallyGully I Sector 10 Dwarka'!F12+'RallyGully I Sector 83 Gurgaon'!F12+'RallyGully I East of Kailash'!F12+'RallyGully I Sector 19 Dwarka'!F12+'RallyGully | LCR Pune'!F12+'RallyGully | DPSG'!F12+'RallyGully | Gandipath'!F12+'RallyGully | Panchsheel'!F12)</f>
        <v>10500</v>
      </c>
      <c r="G28" s="14">
        <f>SUM('RallyGully I Sector 10 Dwarka'!G12+'RallyGully I Sector 83 Gurgaon'!G12+'RallyGully I East of Kailash'!G12+'RallyGully I Sector 19 Dwarka'!G12+'RallyGully | LCR Pune'!G12+'RallyGully | DPSG'!G12+'RallyGully | Gandipath'!G12+'RallyGully | Panchsheel'!G12)</f>
        <v>30333</v>
      </c>
      <c r="H28" s="14">
        <f>SUM('RallyGully I Sector 10 Dwarka'!H12+'RallyGully I Sector 83 Gurgaon'!H12+'RallyGully I East of Kailash'!H12+'RallyGully I Sector 19 Dwarka'!H12+'RallyGully | LCR Pune'!H12+'RallyGully | DPSG'!H12+'RallyGully | Gandipath'!H12+'RallyGully | Panchsheel'!H12)</f>
        <v>42525</v>
      </c>
      <c r="I28" s="14">
        <f>SUM('RallyGully I Sector 10 Dwarka'!I12+'RallyGully I Sector 83 Gurgaon'!I12+'RallyGully I East of Kailash'!I12+'RallyGully I Sector 19 Dwarka'!I12+'RallyGully | LCR Pune'!I12+'RallyGully | DPSG'!I12+'RallyGully | Gandipath'!I12+'RallyGully | Panchsheel'!I12)</f>
        <v>37394</v>
      </c>
      <c r="J28" s="14">
        <f>SUM('RallyGully I Sector 10 Dwarka'!J12+'RallyGully I Sector 83 Gurgaon'!J12+'RallyGully I East of Kailash'!J12+'RallyGully I Sector 19 Dwarka'!J12+'RallyGully | LCR Pune'!J12+'RallyGully | DPSG'!J12+'RallyGully | Gandipath'!J12+'RallyGully | Panchsheel'!J12+'Powerplay Park, Pune'!J12+'Commons, Noida'!J12)</f>
        <v>47546</v>
      </c>
      <c r="K28" s="14">
        <f>SUM('RallyGully I Sector 10 Dwarka'!K12+'RallyGully I Sector 83 Gurgaon'!K12+'RallyGully I East of Kailash'!K12+'RallyGully I Sector 19 Dwarka'!K12+'RallyGully | LCR Pune'!K12+'RallyGully | DPSG'!K12+'RallyGully | Gandipath'!K12+'RallyGully | Panchsheel'!K12+'Powerplay Park, Pune'!K12+'Commons, Noida'!K12)</f>
        <v>55690</v>
      </c>
    </row>
    <row r="29" outlineLevel="1">
      <c r="A29" s="46">
        <v>2.5</v>
      </c>
      <c r="B29" s="88" t="s">
        <v>38</v>
      </c>
      <c r="C29" s="14">
        <f>SUM('RallyGully I Sector 10 Dwarka'!C13+'RallyGully I Sector 83 Gurgaon'!C13+'RallyGully I East of Kailash'!C13+'RallyGully I Sector 19 Dwarka'!C13+'RallyGully | LCR Pune'!C13+'RallyGully | DPSG'!C13+'RallyGully | Gandipath'!C13+'RallyGully | Panchsheel'!C13)</f>
        <v>0</v>
      </c>
      <c r="D29" s="14">
        <f>SUM('RallyGully I Sector 10 Dwarka'!D13+'RallyGully I Sector 83 Gurgaon'!D13+'RallyGully I East of Kailash'!D13+'RallyGully I Sector 19 Dwarka'!D13+'RallyGully | LCR Pune'!D13+'RallyGully | DPSG'!D13+'RallyGully | Gandipath'!D13+'RallyGully | Panchsheel'!D13)</f>
        <v>0</v>
      </c>
      <c r="E29" s="14">
        <f>SUM('RallyGully I Sector 10 Dwarka'!E13+'RallyGully I Sector 83 Gurgaon'!E13+'RallyGully I East of Kailash'!E13+'RallyGully I Sector 19 Dwarka'!E13+'RallyGully | LCR Pune'!E13+'RallyGully | DPSG'!E13+'RallyGully | Gandipath'!E13+'RallyGully | Panchsheel'!E13)</f>
        <v>0</v>
      </c>
      <c r="F29" s="14">
        <f>SUM('RallyGully I Sector 10 Dwarka'!F13+'RallyGully I Sector 83 Gurgaon'!F13+'RallyGully I East of Kailash'!F13+'RallyGully I Sector 19 Dwarka'!F13+'RallyGully | LCR Pune'!F13+'RallyGully | DPSG'!F13+'RallyGully | Gandipath'!F13+'RallyGully | Panchsheel'!F13)</f>
        <v>0</v>
      </c>
      <c r="G29" s="14">
        <f>SUM('RallyGully I Sector 10 Dwarka'!G13+'RallyGully I Sector 83 Gurgaon'!G13+'RallyGully I East of Kailash'!G13+'RallyGully I Sector 19 Dwarka'!G13+'RallyGully | LCR Pune'!G13+'RallyGully | DPSG'!G13+'RallyGully | Gandipath'!G13+'RallyGully | Panchsheel'!G13)</f>
        <v>0</v>
      </c>
      <c r="H29" s="14">
        <f>SUM('RallyGully I Sector 10 Dwarka'!H13+'RallyGully I Sector 83 Gurgaon'!H13+'RallyGully I East of Kailash'!H13+'RallyGully I Sector 19 Dwarka'!H13+'RallyGully | LCR Pune'!H13+'RallyGully | DPSG'!H13+'RallyGully | Gandipath'!H13+'RallyGully | Panchsheel'!H13)</f>
        <v>1250</v>
      </c>
      <c r="I29" s="14">
        <f>SUM('RallyGully I Sector 10 Dwarka'!I13+'RallyGully I Sector 83 Gurgaon'!I13+'RallyGully I East of Kailash'!I13+'RallyGully I Sector 19 Dwarka'!I13+'RallyGully | LCR Pune'!I13+'RallyGully | DPSG'!I13+'RallyGully | Gandipath'!I13+'RallyGully | Panchsheel'!I13)</f>
        <v>25373</v>
      </c>
      <c r="J29" s="14">
        <f>SUM('RallyGully I Sector 10 Dwarka'!J13+'RallyGully I Sector 83 Gurgaon'!J13+'RallyGully I East of Kailash'!J13+'RallyGully I Sector 19 Dwarka'!J13+'RallyGully | LCR Pune'!J13+'RallyGully | DPSG'!J13+'RallyGully | Gandipath'!J13+'RallyGully | Panchsheel'!J13+'Powerplay Park, Pune'!J13+'Commons, Noida'!J13)</f>
        <v>40658</v>
      </c>
      <c r="K29" s="14">
        <f>SUM('RallyGully I Sector 10 Dwarka'!K13+'RallyGully I Sector 83 Gurgaon'!K13+'RallyGully I East of Kailash'!K13+'RallyGully I Sector 19 Dwarka'!K13+'RallyGully | LCR Pune'!K13+'RallyGully | DPSG'!K13+'RallyGully | Gandipath'!K13+'RallyGully | Panchsheel'!K13+'Powerplay Park, Pune'!K13+'Commons, Noida'!K13)</f>
        <v>95125</v>
      </c>
    </row>
    <row r="30" collapsed="1">
      <c r="A30" s="46">
        <v>3.0</v>
      </c>
      <c r="B30" s="68" t="s">
        <v>39</v>
      </c>
      <c r="C30" s="14">
        <f>SUM('RallyGully I Sector 10 Dwarka'!C14+'RallyGully I Sector 83 Gurgaon'!C14+'RallyGully I East of Kailash'!C14+'RallyGully I Sector 19 Dwarka'!C14+'RallyGully | LCR Pune'!C14+'RallyGully | DPSG'!C14+'RallyGully | Gandipath'!C14+'RallyGully | Panchsheel'!C14)</f>
        <v>10500</v>
      </c>
      <c r="D30" s="14">
        <f>SUM('RallyGully I Sector 10 Dwarka'!D14+'RallyGully I Sector 83 Gurgaon'!D14+'RallyGully I East of Kailash'!D14+'RallyGully I Sector 19 Dwarka'!D14+'RallyGully | LCR Pune'!D14+'RallyGully | DPSG'!D14+'RallyGully | Gandipath'!D14+'RallyGully | Panchsheel'!D14)</f>
        <v>15087</v>
      </c>
      <c r="E30" s="14">
        <f>SUM('RallyGully I Sector 10 Dwarka'!E14+'RallyGully I Sector 83 Gurgaon'!E14+'RallyGully I East of Kailash'!E14+'RallyGully I Sector 19 Dwarka'!E14+'RallyGully | LCR Pune'!E14+'RallyGully | DPSG'!E14+'RallyGully | Gandipath'!E14+'RallyGully | Panchsheel'!E14)</f>
        <v>29490</v>
      </c>
      <c r="F30" s="14">
        <f>SUM('RallyGully I Sector 10 Dwarka'!F14+'RallyGully I Sector 83 Gurgaon'!F14+'RallyGully I East of Kailash'!F14+'RallyGully I Sector 19 Dwarka'!F14+'RallyGully | LCR Pune'!F14+'RallyGully | DPSG'!F14+'RallyGully | Gandipath'!F14+'RallyGully | Panchsheel'!F14)</f>
        <v>40340</v>
      </c>
      <c r="G30" s="14">
        <f>SUM('RallyGully I Sector 10 Dwarka'!G14+'RallyGully I Sector 83 Gurgaon'!G14+'RallyGully I East of Kailash'!G14+'RallyGully I Sector 19 Dwarka'!G14+'RallyGully | LCR Pune'!G14+'RallyGully | DPSG'!G14+'RallyGully | Gandipath'!G14+'RallyGully | Panchsheel'!G14)</f>
        <v>40260</v>
      </c>
      <c r="H30" s="14">
        <f>SUM('RallyGully I Sector 10 Dwarka'!H14+'RallyGully I Sector 83 Gurgaon'!H14+'RallyGully I East of Kailash'!H14+'RallyGully I Sector 19 Dwarka'!H14+'RallyGully | LCR Pune'!H14+'RallyGully | DPSG'!H14+'RallyGully | Gandipath'!H14+'RallyGully | Panchsheel'!H14)</f>
        <v>31109</v>
      </c>
      <c r="I30" s="14">
        <f>SUM('RallyGully I Sector 10 Dwarka'!I14+'RallyGully I Sector 83 Gurgaon'!I14+'RallyGully I East of Kailash'!I14+'RallyGully I Sector 19 Dwarka'!I14+'RallyGully | LCR Pune'!I14+'RallyGully | DPSG'!I14+'RallyGully | Gandipath'!I14+'RallyGully | Panchsheel'!I14)</f>
        <v>131439</v>
      </c>
      <c r="J30" s="14">
        <f>SUM('RallyGully I Sector 10 Dwarka'!J14+'RallyGully I Sector 83 Gurgaon'!J14+'RallyGully I East of Kailash'!J14+'RallyGully I Sector 19 Dwarka'!J14+'RallyGully | LCR Pune'!J14+'RallyGully | DPSG'!J14+'RallyGully | Gandipath'!J14+'RallyGully | Panchsheel'!J14+'Powerplay Park, Pune'!J14+'Commons, Noida'!J14)</f>
        <v>176514</v>
      </c>
      <c r="K30" s="14">
        <f>SUM('RallyGully I Sector 10 Dwarka'!K14+'RallyGully I Sector 83 Gurgaon'!K14+'RallyGully I East of Kailash'!K14+'RallyGully I Sector 19 Dwarka'!K14+'RallyGully | LCR Pune'!K14+'RallyGully | DPSG'!K14+'RallyGully | Gandipath'!K14+'RallyGully | Panchsheel'!K14+'Powerplay Park, Pune'!K14+'Commons, Noida'!K14)</f>
        <v>256304</v>
      </c>
    </row>
    <row r="31" hidden="1" outlineLevel="1">
      <c r="A31" s="46">
        <v>3.1</v>
      </c>
      <c r="B31" s="22" t="s">
        <v>42</v>
      </c>
      <c r="C31" s="14">
        <f>SUM('RallyGully I Sector 10 Dwarka'!C15+'RallyGully I Sector 83 Gurgaon'!C15+'RallyGully I East of Kailash'!C15+'RallyGully I Sector 19 Dwarka'!C15+'RallyGully | LCR Pune'!C15+'RallyGully | DPSG'!C15+'RallyGully | Gandipath'!C15+'RallyGully | Panchsheel'!C15)</f>
        <v>0</v>
      </c>
      <c r="D31" s="14">
        <f>SUM('RallyGully I Sector 10 Dwarka'!D15+'RallyGully I Sector 83 Gurgaon'!D15+'RallyGully I East of Kailash'!D15+'RallyGully I Sector 19 Dwarka'!D15+'RallyGully | LCR Pune'!D15+'RallyGully | DPSG'!D15+'RallyGully | Gandipath'!D15+'RallyGully | Panchsheel'!D15)</f>
        <v>0</v>
      </c>
      <c r="E31" s="14">
        <f>SUM('RallyGully I Sector 10 Dwarka'!E15+'RallyGully I Sector 83 Gurgaon'!E15+'RallyGully I East of Kailash'!E15+'RallyGully I Sector 19 Dwarka'!E15+'RallyGully | LCR Pune'!E15+'RallyGully | DPSG'!E15+'RallyGully | Gandipath'!E15+'RallyGully | Panchsheel'!E15)</f>
        <v>0</v>
      </c>
      <c r="F31" s="14">
        <f>SUM('RallyGully I Sector 10 Dwarka'!F15+'RallyGully I Sector 83 Gurgaon'!F15+'RallyGully I East of Kailash'!F15+'RallyGully I Sector 19 Dwarka'!F15+'RallyGully | LCR Pune'!F15+'RallyGully | DPSG'!F15+'RallyGully | Gandipath'!F15+'RallyGully | Panchsheel'!F15)</f>
        <v>0</v>
      </c>
      <c r="G31" s="14">
        <f>SUM('RallyGully I Sector 10 Dwarka'!G15+'RallyGully I Sector 83 Gurgaon'!G15+'RallyGully I East of Kailash'!G15+'RallyGully I Sector 19 Dwarka'!G15+'RallyGully | LCR Pune'!G15+'RallyGully | DPSG'!G15+'RallyGully | Gandipath'!G15+'RallyGully | Panchsheel'!G15)</f>
        <v>8500</v>
      </c>
      <c r="H31" s="14">
        <f>SUM('RallyGully I Sector 10 Dwarka'!H15+'RallyGully I Sector 83 Gurgaon'!H15+'RallyGully I East of Kailash'!H15+'RallyGully I Sector 19 Dwarka'!H15+'RallyGully | LCR Pune'!H15+'RallyGully | DPSG'!H15+'RallyGully | Gandipath'!H15+'RallyGully | Panchsheel'!H15)</f>
        <v>0</v>
      </c>
      <c r="I31" s="14">
        <f>SUM('RallyGully I Sector 10 Dwarka'!I15+'RallyGully I Sector 83 Gurgaon'!I15+'RallyGully I East of Kailash'!I15+'RallyGully I Sector 19 Dwarka'!I15+'RallyGully | LCR Pune'!I15+'RallyGully | DPSG'!I15+'RallyGully | Gandipath'!I15+'RallyGully | Panchsheel'!I15)</f>
        <v>38300</v>
      </c>
      <c r="J31" s="14">
        <f>SUM('RallyGully I Sector 10 Dwarka'!J15+'RallyGully I Sector 83 Gurgaon'!J15+'RallyGully I East of Kailash'!J15+'RallyGully I Sector 19 Dwarka'!J15+'RallyGully | LCR Pune'!J15+'RallyGully | DPSG'!J15+'RallyGully | Gandipath'!J15+'RallyGully | Panchsheel'!J15)</f>
        <v>55200</v>
      </c>
      <c r="K31" s="14">
        <f>SUM('RallyGully I Sector 10 Dwarka'!K15+'RallyGully I Sector 83 Gurgaon'!K15+'RallyGully I East of Kailash'!K15+'RallyGully I Sector 19 Dwarka'!K15+'RallyGully | LCR Pune'!K15+'RallyGully | DPSG'!K15+'RallyGully | Gandipath'!K15+'RallyGully | Panchsheel'!K15+'Powerplay Park, Pune'!K15+'Commons, Noida'!K15)</f>
        <v>93300</v>
      </c>
    </row>
    <row r="32" hidden="1" outlineLevel="1">
      <c r="A32" s="46">
        <v>3.2</v>
      </c>
      <c r="B32" s="22" t="s">
        <v>44</v>
      </c>
      <c r="C32" s="14">
        <f>SUM('RallyGully I Sector 10 Dwarka'!C16+'RallyGully I Sector 83 Gurgaon'!C16+'RallyGully I East of Kailash'!C16+'RallyGully I Sector 19 Dwarka'!C16+'RallyGully | LCR Pune'!C16+'RallyGully | DPSG'!C16+'RallyGully | Gandipath'!C16+'RallyGully | Panchsheel'!C16)</f>
        <v>0</v>
      </c>
      <c r="D32" s="14">
        <f>SUM('RallyGully I Sector 10 Dwarka'!D16+'RallyGully I Sector 83 Gurgaon'!D16+'RallyGully I East of Kailash'!D16+'RallyGully I Sector 19 Dwarka'!D16+'RallyGully | LCR Pune'!D16+'RallyGully | DPSG'!D16+'RallyGully | Gandipath'!D16+'RallyGully | Panchsheel'!D16)</f>
        <v>0</v>
      </c>
      <c r="E32" s="14">
        <f>SUM('RallyGully I Sector 10 Dwarka'!E16+'RallyGully I Sector 83 Gurgaon'!E16+'RallyGully I East of Kailash'!E16+'RallyGully I Sector 19 Dwarka'!E16+'RallyGully | LCR Pune'!E16+'RallyGully | DPSG'!E16+'RallyGully | Gandipath'!E16+'RallyGully | Panchsheel'!E16)</f>
        <v>0</v>
      </c>
      <c r="F32" s="14">
        <f>SUM('RallyGully I Sector 10 Dwarka'!F16+'RallyGully I Sector 83 Gurgaon'!F16+'RallyGully I East of Kailash'!F16+'RallyGully I Sector 19 Dwarka'!F16+'RallyGully | LCR Pune'!F16+'RallyGully | DPSG'!F16+'RallyGully | Gandipath'!F16+'RallyGully | Panchsheel'!F16)</f>
        <v>0</v>
      </c>
      <c r="G32" s="14">
        <f>SUM('RallyGully I Sector 10 Dwarka'!G16+'RallyGully I Sector 83 Gurgaon'!G16+'RallyGully I East of Kailash'!G16+'RallyGully I Sector 19 Dwarka'!G16+'RallyGully | LCR Pune'!G16+'RallyGully | DPSG'!G16+'RallyGully | Gandipath'!G16+'RallyGully | Panchsheel'!G16)</f>
        <v>0</v>
      </c>
      <c r="H32" s="14">
        <f>SUM('RallyGully I Sector 10 Dwarka'!H16+'RallyGully I Sector 83 Gurgaon'!H16+'RallyGully I East of Kailash'!H16+'RallyGully I Sector 19 Dwarka'!H16+'RallyGully | LCR Pune'!H16+'RallyGully | DPSG'!H16+'RallyGully | Gandipath'!H16+'RallyGully | Panchsheel'!H16)</f>
        <v>23290</v>
      </c>
      <c r="I32" s="14">
        <f>SUM('RallyGully I Sector 10 Dwarka'!I16+'RallyGully I Sector 83 Gurgaon'!I16+'RallyGully I East of Kailash'!I16+'RallyGully I Sector 19 Dwarka'!I16+'RallyGully | LCR Pune'!I16+'RallyGully | DPSG'!I16+'RallyGully | Gandipath'!I16+'RallyGully | Panchsheel'!I16)</f>
        <v>13650</v>
      </c>
      <c r="J32" s="14">
        <f>SUM('RallyGully I Sector 10 Dwarka'!J16+'RallyGully I Sector 83 Gurgaon'!J16+'RallyGully I East of Kailash'!J16+'RallyGully I Sector 19 Dwarka'!J16+'RallyGully | LCR Pune'!J16+'RallyGully | DPSG'!J16+'RallyGully | Gandipath'!J16+'RallyGully | Panchsheel'!J16)</f>
        <v>42360</v>
      </c>
      <c r="K32" s="14">
        <f>SUM('RallyGully I Sector 10 Dwarka'!K16+'RallyGully I Sector 83 Gurgaon'!K16+'RallyGully I East of Kailash'!K16+'RallyGully I Sector 19 Dwarka'!K16+'RallyGully | LCR Pune'!K16+'RallyGully | DPSG'!K16+'RallyGully | Gandipath'!K16+'RallyGully | Panchsheel'!K16+'Powerplay Park, Pune'!K16+'Commons, Noida'!K16)</f>
        <v>29390</v>
      </c>
    </row>
    <row r="33" hidden="1" outlineLevel="1">
      <c r="A33" s="46">
        <v>3.3</v>
      </c>
      <c r="B33" s="22" t="s">
        <v>45</v>
      </c>
      <c r="C33" s="14">
        <f>SUM('RallyGully I Sector 10 Dwarka'!C17+'RallyGully I Sector 83 Gurgaon'!C17+'RallyGully I East of Kailash'!C17+'RallyGully I Sector 19 Dwarka'!C17+'RallyGully | LCR Pune'!C17+'RallyGully | DPSG'!C17+'RallyGully | Gandipath'!C17+'RallyGully | Panchsheel'!C17)</f>
        <v>10500</v>
      </c>
      <c r="D33" s="14">
        <f>SUM('RallyGully I Sector 10 Dwarka'!D17+'RallyGully I Sector 83 Gurgaon'!D17+'RallyGully I East of Kailash'!D17+'RallyGully I Sector 19 Dwarka'!D17+'RallyGully | LCR Pune'!D17+'RallyGully | DPSG'!D17+'RallyGully | Gandipath'!D17+'RallyGully | Panchsheel'!D17)</f>
        <v>15087</v>
      </c>
      <c r="E33" s="14">
        <f>SUM('RallyGully I Sector 10 Dwarka'!E17+'RallyGully I Sector 83 Gurgaon'!E17+'RallyGully I East of Kailash'!E17+'RallyGully I Sector 19 Dwarka'!E17+'RallyGully | LCR Pune'!E17+'RallyGully | DPSG'!E17+'RallyGully | Gandipath'!E17+'RallyGully | Panchsheel'!E17)</f>
        <v>19900</v>
      </c>
      <c r="F33" s="14">
        <f>SUM('RallyGully I Sector 10 Dwarka'!F17+'RallyGully I Sector 83 Gurgaon'!F17+'RallyGully I East of Kailash'!F17+'RallyGully I Sector 19 Dwarka'!F17+'RallyGully | LCR Pune'!F17+'RallyGully | DPSG'!F17+'RallyGully | Gandipath'!F17+'RallyGully | Panchsheel'!F17)</f>
        <v>28350</v>
      </c>
      <c r="G33" s="14">
        <f>SUM('RallyGully I Sector 10 Dwarka'!G17+'RallyGully I Sector 83 Gurgaon'!G17+'RallyGully I East of Kailash'!G17+'RallyGully I Sector 19 Dwarka'!G17+'RallyGully | LCR Pune'!G17+'RallyGully | DPSG'!G17+'RallyGully | Gandipath'!G17+'RallyGully | Panchsheel'!G17)</f>
        <v>20780</v>
      </c>
      <c r="H33" s="14">
        <f>SUM('RallyGully I Sector 10 Dwarka'!H17+'RallyGully I Sector 83 Gurgaon'!H17+'RallyGully I East of Kailash'!H17+'RallyGully I Sector 19 Dwarka'!H17+'RallyGully | LCR Pune'!H17+'RallyGully | DPSG'!H17+'RallyGully | Gandipath'!H17+'RallyGully | Panchsheel'!H17)</f>
        <v>2510</v>
      </c>
      <c r="I33" s="14">
        <f>SUM('RallyGully I Sector 10 Dwarka'!I17+'RallyGully I Sector 83 Gurgaon'!I17+'RallyGully I East of Kailash'!I17+'RallyGully I Sector 19 Dwarka'!I17+'RallyGully | LCR Pune'!I17+'RallyGully | DPSG'!I17+'RallyGully | Gandipath'!I17+'RallyGully | Panchsheel'!I17)</f>
        <v>79489</v>
      </c>
      <c r="J33" s="14">
        <f>SUM('RallyGully I Sector 10 Dwarka'!J17+'RallyGully I Sector 83 Gurgaon'!J17+'RallyGully I East of Kailash'!J17+'RallyGully I Sector 19 Dwarka'!J17+'RallyGully | LCR Pune'!J17+'RallyGully | DPSG'!J17+'RallyGully | Gandipath'!J17+'RallyGully | Panchsheel'!J17)</f>
        <v>63275</v>
      </c>
      <c r="K33" s="14">
        <f>SUM('RallyGully I Sector 10 Dwarka'!K17+'RallyGully I Sector 83 Gurgaon'!K17+'RallyGully I East of Kailash'!K17+'RallyGully I Sector 19 Dwarka'!K17+'RallyGully | LCR Pune'!K17+'RallyGully | DPSG'!K17+'RallyGully | Gandipath'!K17+'RallyGully | Panchsheel'!K17+'Powerplay Park, Pune'!K17+'Commons, Noida'!K17)</f>
        <v>125670</v>
      </c>
    </row>
    <row r="34" hidden="1" outlineLevel="1">
      <c r="A34" s="46">
        <v>3.4</v>
      </c>
      <c r="B34" s="22" t="s">
        <v>46</v>
      </c>
      <c r="C34" s="14">
        <f>SUM('RallyGully I Sector 10 Dwarka'!C18+'RallyGully I Sector 83 Gurgaon'!C18+'RallyGully I East of Kailash'!C18+'RallyGully I Sector 19 Dwarka'!C18+'RallyGully | LCR Pune'!C18+'RallyGully | DPSG'!C18+'RallyGully | Gandipath'!C18+'RallyGully | Panchsheel'!C18)</f>
        <v>0</v>
      </c>
      <c r="D34" s="14">
        <f>SUM('RallyGully I Sector 10 Dwarka'!D18+'RallyGully I Sector 83 Gurgaon'!D18+'RallyGully I East of Kailash'!D18+'RallyGully I Sector 19 Dwarka'!D18+'RallyGully | LCR Pune'!D18+'RallyGully | DPSG'!D18+'RallyGully | Gandipath'!D18+'RallyGully | Panchsheel'!D18)</f>
        <v>0</v>
      </c>
      <c r="E34" s="14">
        <f>SUM('RallyGully I Sector 10 Dwarka'!E18+'RallyGully I Sector 83 Gurgaon'!E18+'RallyGully I East of Kailash'!E18+'RallyGully I Sector 19 Dwarka'!E18+'RallyGully | LCR Pune'!E18+'RallyGully | DPSG'!E18+'RallyGully | Gandipath'!E18+'RallyGully | Panchsheel'!E18)</f>
        <v>9590</v>
      </c>
      <c r="F34" s="14">
        <f>SUM('RallyGully I Sector 10 Dwarka'!F18+'RallyGully I Sector 83 Gurgaon'!F18+'RallyGully I East of Kailash'!F18+'RallyGully I Sector 19 Dwarka'!F18+'RallyGully | LCR Pune'!F18+'RallyGully | DPSG'!F18+'RallyGully | Gandipath'!F18+'RallyGully | Panchsheel'!F18)</f>
        <v>11990</v>
      </c>
      <c r="G34" s="14">
        <f>SUM('RallyGully I Sector 10 Dwarka'!G18+'RallyGully I Sector 83 Gurgaon'!G18+'RallyGully I East of Kailash'!G18+'RallyGully I Sector 19 Dwarka'!G18+'RallyGully | LCR Pune'!G18+'RallyGully | DPSG'!G18+'RallyGully | Gandipath'!G18+'RallyGully | Panchsheel'!G18)</f>
        <v>10980</v>
      </c>
      <c r="H34" s="14">
        <f>SUM('RallyGully I Sector 10 Dwarka'!H18+'RallyGully I Sector 83 Gurgaon'!H18+'RallyGully I East of Kailash'!H18+'RallyGully I Sector 19 Dwarka'!H18+'RallyGully | LCR Pune'!H18+'RallyGully | DPSG'!H18+'RallyGully | Gandipath'!H18+'RallyGully | Panchsheel'!H18)</f>
        <v>5309</v>
      </c>
      <c r="I34" s="14">
        <f>SUM('RallyGully I Sector 10 Dwarka'!I18+'RallyGully I Sector 83 Gurgaon'!I18+'RallyGully I East of Kailash'!I18+'RallyGully I Sector 19 Dwarka'!I18+'RallyGully | LCR Pune'!I18+'RallyGully | DPSG'!I18+'RallyGully | Gandipath'!I18+'RallyGully | Panchsheel'!I18)</f>
        <v>0</v>
      </c>
      <c r="J34" s="14">
        <f>SUM('RallyGully I Sector 10 Dwarka'!J18+'RallyGully I Sector 83 Gurgaon'!J18+'RallyGully I East of Kailash'!J18+'RallyGully I Sector 19 Dwarka'!J18+'RallyGully | LCR Pune'!J18+'RallyGully | DPSG'!J18+'RallyGully | Gandipath'!J18+'RallyGully | Panchsheel'!J18)</f>
        <v>15679</v>
      </c>
      <c r="K34" s="14">
        <f>SUM('RallyGully I Sector 10 Dwarka'!K18+'RallyGully I Sector 83 Gurgaon'!K18+'RallyGully I East of Kailash'!K18+'RallyGully I Sector 19 Dwarka'!K18+'RallyGully | LCR Pune'!K18+'RallyGully | DPSG'!K18+'RallyGully | Gandipath'!K18+'RallyGully | Panchsheel'!K18+'Powerplay Park, Pune'!K18+'Commons, Noida'!K18)</f>
        <v>7944</v>
      </c>
    </row>
    <row r="35">
      <c r="A35" s="46">
        <v>4.0</v>
      </c>
      <c r="B35" s="84" t="s">
        <v>48</v>
      </c>
      <c r="C35" s="14">
        <f>SUM('RallyGully I Sector 10 Dwarka'!C19+'RallyGully I Sector 83 Gurgaon'!C19+'RallyGully I East of Kailash'!C19+'RallyGully I Sector 19 Dwarka'!C19+'RallyGully | LCR Pune'!C19+'RallyGully | DPSG'!C19+'RallyGully | Gandipath'!C19+'RallyGully | Panchsheel'!C19)</f>
        <v>0</v>
      </c>
      <c r="D35" s="14">
        <f>SUM('RallyGully I Sector 10 Dwarka'!D19+'RallyGully I Sector 83 Gurgaon'!D19+'RallyGully I East of Kailash'!D19+'RallyGully I Sector 19 Dwarka'!D19+'RallyGully | LCR Pune'!D19+'RallyGully | DPSG'!D19+'RallyGully | Gandipath'!D19+'RallyGully | Panchsheel'!D19)</f>
        <v>50000</v>
      </c>
      <c r="E35" s="14">
        <f>SUM('RallyGully I Sector 10 Dwarka'!E19+'RallyGully I Sector 83 Gurgaon'!E19+'RallyGully I East of Kailash'!E19+'RallyGully I Sector 19 Dwarka'!E19+'RallyGully | LCR Pune'!E19+'RallyGully | DPSG'!E19+'RallyGully | Gandipath'!E19+'RallyGully | Panchsheel'!E19)</f>
        <v>27000</v>
      </c>
      <c r="F35" s="14">
        <f>SUM('RallyGully I Sector 10 Dwarka'!F19+'RallyGully I Sector 83 Gurgaon'!F19+'RallyGully I East of Kailash'!F19+'RallyGully I Sector 19 Dwarka'!F19+'RallyGully | LCR Pune'!F19+'RallyGully | DPSG'!F19+'RallyGully | Gandipath'!F19+'RallyGully | Panchsheel'!F19)</f>
        <v>91300</v>
      </c>
      <c r="G35" s="14">
        <f>SUM('RallyGully I Sector 10 Dwarka'!G19+'RallyGully I Sector 83 Gurgaon'!G19+'RallyGully I East of Kailash'!G19+'RallyGully I Sector 19 Dwarka'!G19+'RallyGully | LCR Pune'!G19+'RallyGully | DPSG'!G19+'RallyGully | Gandipath'!G19+'RallyGully | Panchsheel'!G19)</f>
        <v>74380</v>
      </c>
      <c r="H35" s="14">
        <f>SUM('RallyGully I Sector 10 Dwarka'!H19+'RallyGully I Sector 83 Gurgaon'!H19+'RallyGully I East of Kailash'!H19+'RallyGully I Sector 19 Dwarka'!H19+'RallyGully | LCR Pune'!H19+'RallyGully | DPSG'!H19+'RallyGully | Gandipath'!H19+'RallyGully | Panchsheel'!H19)</f>
        <v>99380</v>
      </c>
      <c r="I35" s="14">
        <f>SUM('RallyGully I Sector 10 Dwarka'!I19+'RallyGully I Sector 83 Gurgaon'!I19+'RallyGully I East of Kailash'!I19+'RallyGully I Sector 19 Dwarka'!I19+'RallyGully | LCR Pune'!I19+'RallyGully | DPSG'!I19+'RallyGully | Gandipath'!I19+'RallyGully | Panchsheel'!I19)</f>
        <v>79480</v>
      </c>
      <c r="J35" s="14">
        <f>SUM('RallyGully I Sector 10 Dwarka'!J19+'RallyGully I Sector 83 Gurgaon'!J19+'RallyGully I East of Kailash'!J19+'RallyGully I Sector 19 Dwarka'!J19+'RallyGully | LCR Pune'!J19+'RallyGully | DPSG'!J19+'RallyGully | Gandipath'!J19+'RallyGully | Panchsheel'!J19+'Powerplay Park, Pune'!J19+'Commons, Noida'!J19)</f>
        <v>141880</v>
      </c>
      <c r="K35" s="14">
        <f>SUM('RallyGully I Sector 10 Dwarka'!K19+'RallyGully I Sector 83 Gurgaon'!K19+'RallyGully I East of Kailash'!K19+'RallyGully I Sector 19 Dwarka'!K19+'RallyGully | LCR Pune'!K19+'RallyGully | DPSG'!K19+'RallyGully | Gandipath'!K19+'RallyGully | Panchsheel'!K19+'Powerplay Park, Pune'!K19+'Commons, Noida'!K19)</f>
        <v>109180</v>
      </c>
    </row>
    <row r="36">
      <c r="A36" s="46">
        <v>5.0</v>
      </c>
      <c r="B36" s="72" t="s">
        <v>49</v>
      </c>
      <c r="C36" s="14">
        <f>SUM('RallyGully I Sector 10 Dwarka'!C20+'RallyGully I Sector 83 Gurgaon'!C20+'RallyGully I East of Kailash'!C20+'RallyGully I Sector 19 Dwarka'!C20+'RallyGully | LCR Pune'!C20+'RallyGully | DPSG'!C20+'RallyGully | Gandipath'!C20+'RallyGully | Panchsheel'!C20)</f>
        <v>0</v>
      </c>
      <c r="D36" s="14">
        <f>SUM('RallyGully I Sector 10 Dwarka'!D20+'RallyGully I Sector 83 Gurgaon'!D20+'RallyGully I East of Kailash'!D20+'RallyGully I Sector 19 Dwarka'!D20+'RallyGully | LCR Pune'!D20+'RallyGully | DPSG'!D20+'RallyGully | Gandipath'!D20+'RallyGully | Panchsheel'!D20)</f>
        <v>0</v>
      </c>
      <c r="E36" s="14">
        <f>SUM('RallyGully I Sector 10 Dwarka'!E20+'RallyGully I Sector 83 Gurgaon'!E20+'RallyGully I East of Kailash'!E20+'RallyGully I Sector 19 Dwarka'!E20+'RallyGully | LCR Pune'!E20+'RallyGully | DPSG'!E20+'RallyGully | Gandipath'!E20+'RallyGully | Panchsheel'!E20)</f>
        <v>0</v>
      </c>
      <c r="F36" s="14">
        <f>SUM('RallyGully I Sector 10 Dwarka'!F20+'RallyGully I Sector 83 Gurgaon'!F20+'RallyGully I East of Kailash'!F20+'RallyGully I Sector 19 Dwarka'!F20+'RallyGully | LCR Pune'!F20+'RallyGully | DPSG'!F20+'RallyGully | Gandipath'!F20+'RallyGully | Panchsheel'!F20)</f>
        <v>0</v>
      </c>
      <c r="G36" s="14">
        <f>SUM('RallyGully I Sector 10 Dwarka'!G20+'RallyGully I Sector 83 Gurgaon'!G20+'RallyGully I East of Kailash'!G20+'RallyGully I Sector 19 Dwarka'!G20+'RallyGully | LCR Pune'!G20+'RallyGully | DPSG'!G20+'RallyGully | Gandipath'!G20+'RallyGully | Panchsheel'!G20)</f>
        <v>0</v>
      </c>
      <c r="H36" s="14">
        <f>SUM('RallyGully I Sector 10 Dwarka'!H20+'RallyGully I Sector 83 Gurgaon'!H20+'RallyGully I East of Kailash'!H20+'RallyGully I Sector 19 Dwarka'!H20+'RallyGully | LCR Pune'!H20+'RallyGully | DPSG'!H20+'RallyGully | Gandipath'!H20+'RallyGully | Panchsheel'!H20)</f>
        <v>0</v>
      </c>
      <c r="I36" s="14">
        <f>SUM('RallyGully I Sector 10 Dwarka'!I20+'RallyGully I Sector 83 Gurgaon'!I20+'RallyGully I East of Kailash'!I20+'RallyGully I Sector 19 Dwarka'!I20+'RallyGully | LCR Pune'!I20+'RallyGully | DPSG'!I20+'RallyGully | Gandipath'!I20+'RallyGully | Panchsheel'!I20)</f>
        <v>98000</v>
      </c>
      <c r="J36" s="14">
        <f>SUM('RallyGully I Sector 10 Dwarka'!J20+'RallyGully I Sector 83 Gurgaon'!J20+'RallyGully I East of Kailash'!J20+'RallyGully I Sector 19 Dwarka'!J20+'RallyGully | LCR Pune'!J20+'RallyGully | DPSG'!J20+'RallyGully | Gandipath'!J20+'RallyGully | Panchsheel'!J20+'Powerplay Park, Pune'!J20+'Commons, Noida'!J20)</f>
        <v>37500</v>
      </c>
      <c r="K36" s="14">
        <f>SUM('RallyGully I Sector 10 Dwarka'!K20+'RallyGully I Sector 83 Gurgaon'!K20+'RallyGully I East of Kailash'!K20+'RallyGully I Sector 19 Dwarka'!K20+'RallyGully | LCR Pune'!K20+'RallyGully | DPSG'!K20+'RallyGully | Gandipath'!K20+'RallyGully | Panchsheel'!K20+'Powerplay Park, Pune'!K20+'Commons, Noida'!K20)</f>
        <v>11500</v>
      </c>
    </row>
    <row r="37">
      <c r="A37" s="46">
        <v>6.0</v>
      </c>
      <c r="B37" s="84" t="s">
        <v>50</v>
      </c>
      <c r="C37" s="14">
        <f>SUM('RallyGully I Sector 10 Dwarka'!C21+'RallyGully I Sector 83 Gurgaon'!C21+'RallyGully I East of Kailash'!C21+'RallyGully I Sector 19 Dwarka'!C21+'RallyGully | LCR Pune'!C21+'RallyGully | DPSG'!C21+'RallyGully | Gandipath'!C21+'RallyGully | Panchsheel'!C21)</f>
        <v>0</v>
      </c>
      <c r="D37" s="14">
        <f>SUM('RallyGully I Sector 10 Dwarka'!D21+'RallyGully I Sector 83 Gurgaon'!D21+'RallyGully I East of Kailash'!D21+'RallyGully I Sector 19 Dwarka'!D21+'RallyGully | LCR Pune'!D21+'RallyGully | DPSG'!D21+'RallyGully | Gandipath'!D21+'RallyGully | Panchsheel'!D21)</f>
        <v>0</v>
      </c>
      <c r="E37" s="14">
        <f>SUM('RallyGully I Sector 10 Dwarka'!E21+'RallyGully I Sector 83 Gurgaon'!E21+'RallyGully I East of Kailash'!E21+'RallyGully I Sector 19 Dwarka'!E21+'RallyGully | LCR Pune'!E21+'RallyGully | DPSG'!E21+'RallyGully | Gandipath'!E21+'RallyGully | Panchsheel'!E21)</f>
        <v>0</v>
      </c>
      <c r="F37" s="14">
        <f>SUM('RallyGully I Sector 10 Dwarka'!F21+'RallyGully I Sector 83 Gurgaon'!F21+'RallyGully I East of Kailash'!F21+'RallyGully I Sector 19 Dwarka'!F21+'RallyGully | LCR Pune'!F21+'RallyGully | DPSG'!F21+'RallyGully | Gandipath'!F21+'RallyGully | Panchsheel'!F21)</f>
        <v>5400</v>
      </c>
      <c r="G37" s="14">
        <f>SUM('RallyGully I Sector 10 Dwarka'!G21+'RallyGully I Sector 83 Gurgaon'!G21+'RallyGully I East of Kailash'!G21+'RallyGully I Sector 19 Dwarka'!G21+'RallyGully | LCR Pune'!G21+'RallyGully | DPSG'!G21+'RallyGully | Gandipath'!G21+'RallyGully | Panchsheel'!G21)</f>
        <v>0</v>
      </c>
      <c r="H37" s="14">
        <f>SUM('RallyGully I Sector 10 Dwarka'!H21+'RallyGully I Sector 83 Gurgaon'!H21+'RallyGully I East of Kailash'!H21+'RallyGully I Sector 19 Dwarka'!H21+'RallyGully | LCR Pune'!H21+'RallyGully | DPSG'!H21+'RallyGully | Gandipath'!H21+'RallyGully | Panchsheel'!H21)</f>
        <v>20680</v>
      </c>
      <c r="I37" s="14">
        <f>SUM('RallyGully I Sector 10 Dwarka'!I21+'RallyGully I Sector 83 Gurgaon'!I21+'RallyGully I East of Kailash'!I21+'RallyGully I Sector 19 Dwarka'!I21+'RallyGully | LCR Pune'!I21+'RallyGully | DPSG'!I21+'RallyGully | Gandipath'!I21+'RallyGully | Panchsheel'!I21)</f>
        <v>28730</v>
      </c>
      <c r="J37" s="14">
        <f>SUM('RallyGully I Sector 10 Dwarka'!J21+'RallyGully I Sector 83 Gurgaon'!J21+'RallyGully I East of Kailash'!J21+'RallyGully I Sector 19 Dwarka'!J21+'RallyGully | LCR Pune'!J21+'RallyGully | DPSG'!J21+'RallyGully | Gandipath'!J21+'RallyGully | Panchsheel'!J21+'Powerplay Park, Pune'!J21+'Commons, Noida'!J21)</f>
        <v>11880</v>
      </c>
      <c r="K37" s="14">
        <f>SUM('RallyGully I Sector 10 Dwarka'!K21+'RallyGully I Sector 83 Gurgaon'!K21+'RallyGully I East of Kailash'!K21+'RallyGully I Sector 19 Dwarka'!K21+'RallyGully | LCR Pune'!K21+'RallyGully | DPSG'!K21+'RallyGully | Gandipath'!K21+'RallyGully | Panchsheel'!K21+'Powerplay Park, Pune'!K21+'Commons, Noida'!K21)</f>
        <v>10520</v>
      </c>
    </row>
    <row r="38">
      <c r="A38" s="46">
        <v>7.0</v>
      </c>
      <c r="B38" s="84" t="s">
        <v>51</v>
      </c>
      <c r="C38" s="14">
        <f>SUM('RallyGully I Sector 10 Dwarka'!C22+'RallyGully I Sector 83 Gurgaon'!C22+'RallyGully I East of Kailash'!C22+'RallyGully I Sector 19 Dwarka'!C22+'RallyGully | LCR Pune'!C22+'RallyGully | DPSG'!C22+'RallyGully | Gandipath'!C22+'RallyGully | Panchsheel'!C22)</f>
        <v>0</v>
      </c>
      <c r="D38" s="14">
        <f>SUM('RallyGully I Sector 10 Dwarka'!D22+'RallyGully I Sector 83 Gurgaon'!D22+'RallyGully I East of Kailash'!D22+'RallyGully I Sector 19 Dwarka'!D22+'RallyGully | LCR Pune'!D22+'RallyGully | DPSG'!D22+'RallyGully | Gandipath'!D22+'RallyGully | Panchsheel'!D22)</f>
        <v>0</v>
      </c>
      <c r="E38" s="14">
        <f>SUM('RallyGully I Sector 10 Dwarka'!E22+'RallyGully I Sector 83 Gurgaon'!E22+'RallyGully I East of Kailash'!E22+'RallyGully I Sector 19 Dwarka'!E22+'RallyGully | LCR Pune'!E22+'RallyGully | DPSG'!E22+'RallyGully | Gandipath'!E22+'RallyGully | Panchsheel'!E22)</f>
        <v>0</v>
      </c>
      <c r="F38" s="14">
        <f>SUM('RallyGully I Sector 10 Dwarka'!F22+'RallyGully I Sector 83 Gurgaon'!F22+'RallyGully I East of Kailash'!F22+'RallyGully I Sector 19 Dwarka'!F22+'RallyGully | LCR Pune'!F22+'RallyGully | DPSG'!F22+'RallyGully | Gandipath'!F22+'RallyGully | Panchsheel'!F22)</f>
        <v>15000</v>
      </c>
      <c r="G38" s="14">
        <f>SUM('RallyGully I Sector 10 Dwarka'!G22+'RallyGully I Sector 83 Gurgaon'!G22+'RallyGully I East of Kailash'!G22+'RallyGully I Sector 19 Dwarka'!G22+'RallyGully | LCR Pune'!G22+'RallyGully | DPSG'!G22+'RallyGully | Gandipath'!G22+'RallyGully | Panchsheel'!G22)</f>
        <v>4480</v>
      </c>
      <c r="H38" s="14">
        <f>SUM('RallyGully I Sector 10 Dwarka'!H22+'RallyGully I Sector 83 Gurgaon'!H22+'RallyGully I East of Kailash'!H22+'RallyGully I Sector 19 Dwarka'!H22+'RallyGully | LCR Pune'!H22+'RallyGully | DPSG'!H22+'RallyGully | Gandipath'!H22+'RallyGully | Panchsheel'!H22)</f>
        <v>23313</v>
      </c>
      <c r="I38" s="14">
        <f>SUM('RallyGully I Sector 10 Dwarka'!I22+'RallyGully I Sector 83 Gurgaon'!I22+'RallyGully I East of Kailash'!I22+'RallyGully I Sector 19 Dwarka'!I22+'RallyGully | LCR Pune'!I22+'RallyGully | DPSG'!I22+'RallyGully | Gandipath'!I22+'RallyGully | Panchsheel'!I22)</f>
        <v>24100</v>
      </c>
      <c r="J38" s="14">
        <f>SUM('RallyGully I Sector 10 Dwarka'!J22+'RallyGully I Sector 83 Gurgaon'!J22+'RallyGully I East of Kailash'!J22+'RallyGully I Sector 19 Dwarka'!J22+'RallyGully | LCR Pune'!J22+'RallyGully | DPSG'!J22+'RallyGully | Gandipath'!J22+'RallyGully | Panchsheel'!J22+'Powerplay Park, Pune'!J22+'Commons, Noida'!J22)</f>
        <v>30000</v>
      </c>
      <c r="K38" s="14">
        <f>SUM('RallyGully I Sector 10 Dwarka'!K22+'RallyGully I Sector 83 Gurgaon'!K22+'RallyGully I East of Kailash'!K22+'RallyGully I Sector 19 Dwarka'!K22+'RallyGully | LCR Pune'!K22+'RallyGully | DPSG'!K22+'RallyGully | Gandipath'!K22+'RallyGully | Panchsheel'!K22+'Powerplay Park, Pune'!K22+'Commons, Noida'!K22)</f>
        <v>28000</v>
      </c>
    </row>
    <row r="39">
      <c r="A39" s="46">
        <v>8.0</v>
      </c>
      <c r="B39" s="84" t="s">
        <v>52</v>
      </c>
      <c r="C39" s="14">
        <f>SUM('RallyGully I Sector 10 Dwarka'!C23+'RallyGully I Sector 83 Gurgaon'!C23+'RallyGully I East of Kailash'!C23+'RallyGully I Sector 19 Dwarka'!C23+'RallyGully | LCR Pune'!C23+'RallyGully | DPSG'!C23+'RallyGully | Gandipath'!C23+'RallyGully | Panchsheel'!C23)</f>
        <v>0</v>
      </c>
      <c r="D39" s="14">
        <f>SUM('RallyGully I Sector 10 Dwarka'!D23+'RallyGully I Sector 83 Gurgaon'!D23+'RallyGully I East of Kailash'!D23+'RallyGully I Sector 19 Dwarka'!D23+'RallyGully | LCR Pune'!D23+'RallyGully | DPSG'!D23+'RallyGully | Gandipath'!D23+'RallyGully | Panchsheel'!D23)</f>
        <v>0</v>
      </c>
      <c r="E39" s="14">
        <f>SUM('RallyGully I Sector 10 Dwarka'!E23+'RallyGully I Sector 83 Gurgaon'!E23+'RallyGully I East of Kailash'!E23+'RallyGully I Sector 19 Dwarka'!E23+'RallyGully | LCR Pune'!E23+'RallyGully | DPSG'!E23+'RallyGully | Gandipath'!E23+'RallyGully | Panchsheel'!E23)</f>
        <v>0</v>
      </c>
      <c r="F39" s="14">
        <f>SUM('RallyGully I Sector 10 Dwarka'!F23+'RallyGully I Sector 83 Gurgaon'!F23+'RallyGully I East of Kailash'!F23+'RallyGully I Sector 19 Dwarka'!F23+'RallyGully | LCR Pune'!F23+'RallyGully | DPSG'!F23+'RallyGully | Gandipath'!F23+'RallyGully | Panchsheel'!F23)</f>
        <v>18000</v>
      </c>
      <c r="G39" s="14">
        <f>SUM('RallyGully I Sector 10 Dwarka'!G23+'RallyGully I Sector 83 Gurgaon'!G23+'RallyGully I East of Kailash'!G23+'RallyGully I Sector 19 Dwarka'!G23+'RallyGully | LCR Pune'!G23+'RallyGully | DPSG'!G23+'RallyGully | Gandipath'!G23+'RallyGully | Panchsheel'!G23)</f>
        <v>25000</v>
      </c>
      <c r="H39" s="14">
        <f>SUM('RallyGully I Sector 10 Dwarka'!H23+'RallyGully I Sector 83 Gurgaon'!H23+'RallyGully I East of Kailash'!H23+'RallyGully I Sector 19 Dwarka'!H23+'RallyGully | LCR Pune'!H23+'RallyGully | DPSG'!H23+'RallyGully | Gandipath'!H23+'RallyGully | Panchsheel'!H23)</f>
        <v>29300</v>
      </c>
      <c r="I39" s="14">
        <f>SUM('RallyGully I Sector 10 Dwarka'!I23+'RallyGully I Sector 83 Gurgaon'!I23+'RallyGully I East of Kailash'!I23+'RallyGully I Sector 19 Dwarka'!I23+'RallyGully | LCR Pune'!I23+'RallyGully | DPSG'!I23+'RallyGully | Gandipath'!I23+'RallyGully | Panchsheel'!I23)</f>
        <v>138000</v>
      </c>
      <c r="J39" s="14">
        <f>SUM('RallyGully I Sector 10 Dwarka'!J23+'RallyGully I Sector 83 Gurgaon'!J23+'RallyGully I East of Kailash'!J23+'RallyGully I Sector 19 Dwarka'!J23+'RallyGully | LCR Pune'!J23+'RallyGully | DPSG'!J23+'RallyGully | Gandipath'!J23+'RallyGully | Panchsheel'!J23+'Powerplay Park, Pune'!J23+'Commons, Noida'!J23)</f>
        <v>197000</v>
      </c>
      <c r="K39" s="14">
        <f>SUM('RallyGully I Sector 10 Dwarka'!K23+'RallyGully I Sector 83 Gurgaon'!K23+'RallyGully I East of Kailash'!K23+'RallyGully I Sector 19 Dwarka'!K23+'RallyGully | LCR Pune'!K23+'RallyGully | DPSG'!K23+'RallyGully | Gandipath'!K23+'RallyGully | Panchsheel'!K23+'Powerplay Park, Pune'!K23+'Commons, Noida'!K23)</f>
        <v>256000</v>
      </c>
    </row>
    <row r="40">
      <c r="A40" s="121"/>
      <c r="B40" s="122" t="s">
        <v>47</v>
      </c>
      <c r="C40" s="57">
        <f t="shared" ref="C40:K40" si="3">sum(C19+C24+C30+C35+C36+C37+C38+C39)</f>
        <v>103615</v>
      </c>
      <c r="D40" s="57">
        <f t="shared" si="3"/>
        <v>336259</v>
      </c>
      <c r="E40" s="57">
        <f t="shared" si="3"/>
        <v>478873.8</v>
      </c>
      <c r="F40" s="57">
        <f t="shared" si="3"/>
        <v>542592.6</v>
      </c>
      <c r="G40" s="57">
        <f t="shared" si="3"/>
        <v>581843</v>
      </c>
      <c r="H40" s="57">
        <f t="shared" si="3"/>
        <v>754429</v>
      </c>
      <c r="I40" s="57">
        <f t="shared" si="3"/>
        <v>1501552</v>
      </c>
      <c r="J40" s="57">
        <f t="shared" si="3"/>
        <v>1713558</v>
      </c>
      <c r="K40" s="57">
        <f t="shared" si="3"/>
        <v>2062032</v>
      </c>
    </row>
    <row r="42">
      <c r="A42" s="81"/>
      <c r="B42" s="82" t="s">
        <v>58</v>
      </c>
      <c r="C42" s="9" t="s">
        <v>4</v>
      </c>
      <c r="D42" s="9" t="s">
        <v>5</v>
      </c>
      <c r="E42" s="9" t="s">
        <v>6</v>
      </c>
      <c r="F42" s="9" t="s">
        <v>7</v>
      </c>
      <c r="G42" s="9" t="s">
        <v>8</v>
      </c>
      <c r="H42" s="9" t="s">
        <v>9</v>
      </c>
      <c r="I42" s="9" t="s">
        <v>10</v>
      </c>
      <c r="J42" s="83" t="s">
        <v>11</v>
      </c>
      <c r="K42" s="9" t="s">
        <v>12</v>
      </c>
    </row>
    <row r="43">
      <c r="A43" s="46">
        <v>1.0</v>
      </c>
      <c r="B43" s="84" t="s">
        <v>18</v>
      </c>
      <c r="C43" s="123">
        <f t="shared" ref="C43:K43" si="4">C19/C40</f>
        <v>0.04666312793</v>
      </c>
      <c r="D43" s="123">
        <f t="shared" si="4"/>
        <v>0.1517877588</v>
      </c>
      <c r="E43" s="123">
        <f t="shared" si="4"/>
        <v>0.2913502472</v>
      </c>
      <c r="F43" s="123">
        <f t="shared" si="4"/>
        <v>0.1349815681</v>
      </c>
      <c r="G43" s="123">
        <f t="shared" si="4"/>
        <v>0.3016174466</v>
      </c>
      <c r="H43" s="123">
        <f t="shared" si="4"/>
        <v>0.3572397137</v>
      </c>
      <c r="I43" s="123">
        <f t="shared" si="4"/>
        <v>0.3205809722</v>
      </c>
      <c r="J43" s="123">
        <f t="shared" si="4"/>
        <v>0.3009381649</v>
      </c>
      <c r="K43" s="123">
        <f t="shared" si="4"/>
        <v>0.2564533431</v>
      </c>
    </row>
    <row r="44" outlineLevel="1">
      <c r="A44" s="46">
        <v>1.1</v>
      </c>
      <c r="B44" s="88" t="s">
        <v>21</v>
      </c>
      <c r="C44" s="123">
        <f t="shared" ref="C44:K44" si="5">C20/C40</f>
        <v>0.0431887275</v>
      </c>
      <c r="D44" s="123">
        <f t="shared" si="5"/>
        <v>0.04633333234</v>
      </c>
      <c r="E44" s="123">
        <f t="shared" si="5"/>
        <v>0.04652582789</v>
      </c>
      <c r="F44" s="123">
        <f t="shared" si="5"/>
        <v>0.04578020415</v>
      </c>
      <c r="G44" s="123">
        <f t="shared" si="5"/>
        <v>0.04781358545</v>
      </c>
      <c r="H44" s="123">
        <f t="shared" si="5"/>
        <v>0.08055761377</v>
      </c>
      <c r="I44" s="123">
        <f t="shared" si="5"/>
        <v>0.06082972817</v>
      </c>
      <c r="J44" s="123">
        <f t="shared" si="5"/>
        <v>0.05504628381</v>
      </c>
      <c r="K44" s="123">
        <f t="shared" si="5"/>
        <v>0.04016911474</v>
      </c>
    </row>
    <row r="45" outlineLevel="1">
      <c r="A45" s="46">
        <v>1.2</v>
      </c>
      <c r="B45" s="88" t="s">
        <v>23</v>
      </c>
      <c r="C45" s="123">
        <f t="shared" ref="C45:K45" si="6">C21/C40</f>
        <v>0.003474400425</v>
      </c>
      <c r="D45" s="123">
        <f t="shared" si="6"/>
        <v>0.005709884345</v>
      </c>
      <c r="E45" s="123">
        <f t="shared" si="6"/>
        <v>0.009188224538</v>
      </c>
      <c r="F45" s="123">
        <f t="shared" si="6"/>
        <v>0.004589078436</v>
      </c>
      <c r="G45" s="123">
        <f t="shared" si="6"/>
        <v>0.00324829894</v>
      </c>
      <c r="H45" s="123">
        <f t="shared" si="6"/>
        <v>0.006972160402</v>
      </c>
      <c r="I45" s="123">
        <f t="shared" si="6"/>
        <v>0.002700539175</v>
      </c>
      <c r="J45" s="123">
        <f t="shared" si="6"/>
        <v>0.003177598891</v>
      </c>
      <c r="K45" s="123">
        <f t="shared" si="6"/>
        <v>0.001854966363</v>
      </c>
    </row>
    <row r="46" outlineLevel="1">
      <c r="A46" s="46">
        <v>1.3</v>
      </c>
      <c r="B46" s="88" t="s">
        <v>25</v>
      </c>
      <c r="C46" s="123">
        <f t="shared" ref="C46:K46" si="7">C22/C40</f>
        <v>0</v>
      </c>
      <c r="D46" s="123">
        <f t="shared" si="7"/>
        <v>0</v>
      </c>
      <c r="E46" s="123">
        <f t="shared" si="7"/>
        <v>0.02516320584</v>
      </c>
      <c r="F46" s="123">
        <f t="shared" si="7"/>
        <v>0</v>
      </c>
      <c r="G46" s="123">
        <f t="shared" si="7"/>
        <v>0</v>
      </c>
      <c r="H46" s="123">
        <f t="shared" si="7"/>
        <v>0</v>
      </c>
      <c r="I46" s="123">
        <f t="shared" si="7"/>
        <v>0.01198759683</v>
      </c>
      <c r="J46" s="123">
        <f t="shared" si="7"/>
        <v>0</v>
      </c>
      <c r="K46" s="123">
        <f t="shared" si="7"/>
        <v>0</v>
      </c>
    </row>
    <row r="47" outlineLevel="1">
      <c r="A47" s="46">
        <v>1.4</v>
      </c>
      <c r="B47" s="88" t="s">
        <v>26</v>
      </c>
      <c r="C47" s="123">
        <f t="shared" ref="C47:J47" si="8">C23/C40</f>
        <v>0</v>
      </c>
      <c r="D47" s="123">
        <f t="shared" si="8"/>
        <v>0.09974454215</v>
      </c>
      <c r="E47" s="123">
        <f t="shared" si="8"/>
        <v>0.2104729889</v>
      </c>
      <c r="F47" s="123">
        <f t="shared" si="8"/>
        <v>0.07502866792</v>
      </c>
      <c r="G47" s="123">
        <f t="shared" si="8"/>
        <v>0.2505555622</v>
      </c>
      <c r="H47" s="123">
        <f t="shared" si="8"/>
        <v>0.2697099396</v>
      </c>
      <c r="I47" s="123">
        <f t="shared" si="8"/>
        <v>0.245063108</v>
      </c>
      <c r="J47" s="123">
        <f t="shared" si="8"/>
        <v>0.2427142822</v>
      </c>
      <c r="K47" s="123">
        <f t="shared" ref="K47:K63" si="9">K23/$K$40</f>
        <v>0.214429262</v>
      </c>
    </row>
    <row r="48">
      <c r="A48" s="46">
        <v>2.0</v>
      </c>
      <c r="B48" s="68" t="s">
        <v>28</v>
      </c>
      <c r="C48" s="123">
        <f t="shared" ref="C48:C63" si="10">C24/$C$40</f>
        <v>0.852000193</v>
      </c>
      <c r="D48" s="123">
        <f t="shared" ref="D48:D63" si="11">D24/$D$40</f>
        <v>0.6546501358</v>
      </c>
      <c r="E48" s="123">
        <f t="shared" ref="E48:E63" si="12">E24/$E$40</f>
        <v>0.5906854791</v>
      </c>
      <c r="F48" s="123">
        <f t="shared" ref="F48:F63" si="13">F24/$F$40</f>
        <v>0.5516341358</v>
      </c>
      <c r="G48" s="123">
        <f t="shared" ref="G48:G63" si="14">G24/$G$40</f>
        <v>0.4506868691</v>
      </c>
      <c r="H48" s="123">
        <f t="shared" ref="H48:H63" si="15">H24/$H$40</f>
        <v>0.3726460674</v>
      </c>
      <c r="I48" s="123">
        <f t="shared" ref="I48:I63" si="16">I24/$I$40</f>
        <v>0.3465973872</v>
      </c>
      <c r="J48" s="123">
        <f t="shared" ref="J48:J63" si="17">J24/$J$40</f>
        <v>0.3519629916</v>
      </c>
      <c r="K48" s="123">
        <f t="shared" si="9"/>
        <v>0.4178950666</v>
      </c>
    </row>
    <row r="49" outlineLevel="1">
      <c r="A49" s="46">
        <v>2.1</v>
      </c>
      <c r="B49" s="22" t="s">
        <v>33</v>
      </c>
      <c r="C49" s="123">
        <f t="shared" si="10"/>
        <v>0.7087776866</v>
      </c>
      <c r="D49" s="123">
        <f t="shared" si="11"/>
        <v>0.4837342644</v>
      </c>
      <c r="E49" s="123">
        <f t="shared" si="12"/>
        <v>0.5096353152</v>
      </c>
      <c r="F49" s="123">
        <f t="shared" si="13"/>
        <v>0.4746563075</v>
      </c>
      <c r="G49" s="123">
        <f t="shared" si="14"/>
        <v>0.3462875724</v>
      </c>
      <c r="H49" s="123">
        <f t="shared" si="15"/>
        <v>0.2301515451</v>
      </c>
      <c r="I49" s="123">
        <f t="shared" si="16"/>
        <v>0.1754850981</v>
      </c>
      <c r="J49" s="123">
        <f t="shared" si="17"/>
        <v>0.1539498517</v>
      </c>
      <c r="K49" s="123">
        <f t="shared" si="9"/>
        <v>0.1832866803</v>
      </c>
    </row>
    <row r="50" outlineLevel="1">
      <c r="A50" s="46">
        <v>2.2</v>
      </c>
      <c r="B50" s="22" t="s">
        <v>34</v>
      </c>
      <c r="C50" s="123">
        <f t="shared" si="10"/>
        <v>0.1432225064</v>
      </c>
      <c r="D50" s="123">
        <f t="shared" si="11"/>
        <v>0.1391486919</v>
      </c>
      <c r="E50" s="123">
        <f t="shared" si="12"/>
        <v>0.06819917899</v>
      </c>
      <c r="F50" s="123">
        <f t="shared" si="13"/>
        <v>0.05541468866</v>
      </c>
      <c r="G50" s="123">
        <f t="shared" si="14"/>
        <v>0.04692846696</v>
      </c>
      <c r="H50" s="123">
        <f t="shared" si="15"/>
        <v>0.06041257693</v>
      </c>
      <c r="I50" s="123">
        <f t="shared" si="16"/>
        <v>0.06194723859</v>
      </c>
      <c r="J50" s="123">
        <f t="shared" si="17"/>
        <v>0.0510650938</v>
      </c>
      <c r="K50" s="123">
        <f t="shared" si="9"/>
        <v>0.05982205902</v>
      </c>
    </row>
    <row r="51" outlineLevel="1">
      <c r="A51" s="46">
        <v>2.3</v>
      </c>
      <c r="B51" s="88" t="s">
        <v>36</v>
      </c>
      <c r="C51" s="123">
        <f t="shared" si="10"/>
        <v>0</v>
      </c>
      <c r="D51" s="123">
        <f t="shared" si="11"/>
        <v>0</v>
      </c>
      <c r="E51" s="123">
        <f t="shared" si="12"/>
        <v>0</v>
      </c>
      <c r="F51" s="123">
        <f t="shared" si="13"/>
        <v>0.002211604065</v>
      </c>
      <c r="G51" s="123">
        <f t="shared" si="14"/>
        <v>0.005338209792</v>
      </c>
      <c r="H51" s="123">
        <f t="shared" si="15"/>
        <v>0.0240579299</v>
      </c>
      <c r="I51" s="123">
        <f t="shared" si="16"/>
        <v>0.06736363443</v>
      </c>
      <c r="J51" s="123">
        <f t="shared" si="17"/>
        <v>0.09547386199</v>
      </c>
      <c r="K51" s="123">
        <f t="shared" si="9"/>
        <v>0.1016473071</v>
      </c>
    </row>
    <row r="52" outlineLevel="1">
      <c r="A52" s="46">
        <v>2.4</v>
      </c>
      <c r="B52" s="22" t="s">
        <v>37</v>
      </c>
      <c r="C52" s="123">
        <f t="shared" si="10"/>
        <v>0</v>
      </c>
      <c r="D52" s="123">
        <f t="shared" si="11"/>
        <v>0.03176717947</v>
      </c>
      <c r="E52" s="123">
        <f t="shared" si="12"/>
        <v>0.01285098496</v>
      </c>
      <c r="F52" s="123">
        <f t="shared" si="13"/>
        <v>0.01935153557</v>
      </c>
      <c r="G52" s="123">
        <f t="shared" si="14"/>
        <v>0.05213261997</v>
      </c>
      <c r="H52" s="123">
        <f t="shared" si="15"/>
        <v>0.05636713329</v>
      </c>
      <c r="I52" s="123">
        <f t="shared" si="16"/>
        <v>0.02490356644</v>
      </c>
      <c r="J52" s="123">
        <f t="shared" si="17"/>
        <v>0.02774694524</v>
      </c>
      <c r="K52" s="123">
        <f t="shared" si="9"/>
        <v>0.02700734033</v>
      </c>
    </row>
    <row r="53" outlineLevel="1">
      <c r="A53" s="46">
        <v>2.5</v>
      </c>
      <c r="B53" s="88" t="s">
        <v>38</v>
      </c>
      <c r="C53" s="123">
        <f t="shared" si="10"/>
        <v>0</v>
      </c>
      <c r="D53" s="123">
        <f t="shared" si="11"/>
        <v>0</v>
      </c>
      <c r="E53" s="123">
        <f t="shared" si="12"/>
        <v>0</v>
      </c>
      <c r="F53" s="123">
        <f t="shared" si="13"/>
        <v>0</v>
      </c>
      <c r="G53" s="123">
        <f t="shared" si="14"/>
        <v>0</v>
      </c>
      <c r="H53" s="123">
        <f t="shared" si="15"/>
        <v>0.001656882225</v>
      </c>
      <c r="I53" s="123">
        <f t="shared" si="16"/>
        <v>0.01689784969</v>
      </c>
      <c r="J53" s="123">
        <f t="shared" si="17"/>
        <v>0.02372723888</v>
      </c>
      <c r="K53" s="123">
        <f t="shared" si="9"/>
        <v>0.04613167982</v>
      </c>
    </row>
    <row r="54" collapsed="1">
      <c r="A54" s="46">
        <v>3.0</v>
      </c>
      <c r="B54" s="68" t="s">
        <v>39</v>
      </c>
      <c r="C54" s="123">
        <f t="shared" si="10"/>
        <v>0.1013366791</v>
      </c>
      <c r="D54" s="123">
        <f t="shared" si="11"/>
        <v>0.04486720058</v>
      </c>
      <c r="E54" s="123">
        <f t="shared" si="12"/>
        <v>0.06158198674</v>
      </c>
      <c r="F54" s="123">
        <f t="shared" si="13"/>
        <v>0.07434675666</v>
      </c>
      <c r="G54" s="123">
        <f t="shared" si="14"/>
        <v>0.06919392345</v>
      </c>
      <c r="H54" s="123">
        <f t="shared" si="15"/>
        <v>0.04123515931</v>
      </c>
      <c r="I54" s="123">
        <f t="shared" si="16"/>
        <v>0.08753543001</v>
      </c>
      <c r="J54" s="123">
        <f t="shared" si="17"/>
        <v>0.1030102278</v>
      </c>
      <c r="K54" s="123">
        <f t="shared" si="9"/>
        <v>0.1242968101</v>
      </c>
    </row>
    <row r="55" hidden="1" outlineLevel="1">
      <c r="A55" s="46">
        <v>3.1</v>
      </c>
      <c r="B55" s="22" t="s">
        <v>42</v>
      </c>
      <c r="C55" s="123">
        <f t="shared" si="10"/>
        <v>0</v>
      </c>
      <c r="D55" s="123">
        <f t="shared" si="11"/>
        <v>0</v>
      </c>
      <c r="E55" s="123">
        <f t="shared" si="12"/>
        <v>0</v>
      </c>
      <c r="F55" s="123">
        <f t="shared" si="13"/>
        <v>0</v>
      </c>
      <c r="G55" s="123">
        <f t="shared" si="14"/>
        <v>0.01460875185</v>
      </c>
      <c r="H55" s="123">
        <f t="shared" si="15"/>
        <v>0</v>
      </c>
      <c r="I55" s="123">
        <f t="shared" si="16"/>
        <v>0.02550694215</v>
      </c>
      <c r="J55" s="123">
        <f t="shared" si="17"/>
        <v>0.0322136747</v>
      </c>
      <c r="K55" s="123">
        <f t="shared" si="9"/>
        <v>0.04524663051</v>
      </c>
    </row>
    <row r="56" hidden="1" outlineLevel="1">
      <c r="A56" s="46">
        <v>3.2</v>
      </c>
      <c r="B56" s="22" t="s">
        <v>44</v>
      </c>
      <c r="C56" s="123">
        <f t="shared" si="10"/>
        <v>0</v>
      </c>
      <c r="D56" s="123">
        <f t="shared" si="11"/>
        <v>0</v>
      </c>
      <c r="E56" s="123">
        <f t="shared" si="12"/>
        <v>0</v>
      </c>
      <c r="F56" s="123">
        <f t="shared" si="13"/>
        <v>0</v>
      </c>
      <c r="G56" s="123">
        <f t="shared" si="14"/>
        <v>0</v>
      </c>
      <c r="H56" s="123">
        <f t="shared" si="15"/>
        <v>0.03087102961</v>
      </c>
      <c r="I56" s="123">
        <f t="shared" si="16"/>
        <v>0.009090594265</v>
      </c>
      <c r="J56" s="123">
        <f t="shared" si="17"/>
        <v>0.02472049385</v>
      </c>
      <c r="K56" s="123">
        <f t="shared" si="9"/>
        <v>0.01425293109</v>
      </c>
    </row>
    <row r="57" hidden="1" outlineLevel="1">
      <c r="A57" s="46">
        <v>3.3</v>
      </c>
      <c r="B57" s="22" t="s">
        <v>45</v>
      </c>
      <c r="C57" s="123">
        <f t="shared" si="10"/>
        <v>0.1013366791</v>
      </c>
      <c r="D57" s="123">
        <f t="shared" si="11"/>
        <v>0.04486720058</v>
      </c>
      <c r="E57" s="123">
        <f t="shared" si="12"/>
        <v>0.04155583371</v>
      </c>
      <c r="F57" s="123">
        <f t="shared" si="13"/>
        <v>0.05224914604</v>
      </c>
      <c r="G57" s="123">
        <f t="shared" si="14"/>
        <v>0.03571410157</v>
      </c>
      <c r="H57" s="123">
        <f t="shared" si="15"/>
        <v>0.003327019507</v>
      </c>
      <c r="I57" s="123">
        <f t="shared" si="16"/>
        <v>0.05293789359</v>
      </c>
      <c r="J57" s="123">
        <f t="shared" si="17"/>
        <v>0.03692609179</v>
      </c>
      <c r="K57" s="123">
        <f t="shared" si="9"/>
        <v>0.06094473801</v>
      </c>
    </row>
    <row r="58" hidden="1" outlineLevel="1">
      <c r="A58" s="46">
        <v>3.4</v>
      </c>
      <c r="B58" s="22" t="s">
        <v>46</v>
      </c>
      <c r="C58" s="123">
        <f t="shared" si="10"/>
        <v>0</v>
      </c>
      <c r="D58" s="123">
        <f t="shared" si="11"/>
        <v>0</v>
      </c>
      <c r="E58" s="123">
        <f t="shared" si="12"/>
        <v>0.02002615303</v>
      </c>
      <c r="F58" s="123">
        <f t="shared" si="13"/>
        <v>0.02209761062</v>
      </c>
      <c r="G58" s="123">
        <f t="shared" si="14"/>
        <v>0.01887107003</v>
      </c>
      <c r="H58" s="123">
        <f t="shared" si="15"/>
        <v>0.007037110185</v>
      </c>
      <c r="I58" s="123">
        <f t="shared" si="16"/>
        <v>0</v>
      </c>
      <c r="J58" s="123">
        <f t="shared" si="17"/>
        <v>0.009149967495</v>
      </c>
      <c r="K58" s="123">
        <f t="shared" si="9"/>
        <v>0.003852510533</v>
      </c>
    </row>
    <row r="59">
      <c r="A59" s="46">
        <v>4.0</v>
      </c>
      <c r="B59" s="84" t="s">
        <v>48</v>
      </c>
      <c r="C59" s="123">
        <f t="shared" si="10"/>
        <v>0</v>
      </c>
      <c r="D59" s="123">
        <f t="shared" si="11"/>
        <v>0.1486949048</v>
      </c>
      <c r="E59" s="123">
        <f t="shared" si="12"/>
        <v>0.05638228694</v>
      </c>
      <c r="F59" s="123">
        <f t="shared" si="13"/>
        <v>0.1682662093</v>
      </c>
      <c r="G59" s="123">
        <f t="shared" si="14"/>
        <v>0.127835172</v>
      </c>
      <c r="H59" s="123">
        <f t="shared" si="15"/>
        <v>0.1317287644</v>
      </c>
      <c r="I59" s="123">
        <f t="shared" si="16"/>
        <v>0.05293189979</v>
      </c>
      <c r="J59" s="123">
        <f t="shared" si="17"/>
        <v>0.08279848129</v>
      </c>
      <c r="K59" s="123">
        <f t="shared" si="9"/>
        <v>0.05294777191</v>
      </c>
    </row>
    <row r="60">
      <c r="A60" s="46">
        <v>5.0</v>
      </c>
      <c r="B60" s="72" t="s">
        <v>49</v>
      </c>
      <c r="C60" s="123">
        <f t="shared" si="10"/>
        <v>0</v>
      </c>
      <c r="D60" s="123">
        <f t="shared" si="11"/>
        <v>0</v>
      </c>
      <c r="E60" s="123">
        <f t="shared" si="12"/>
        <v>0</v>
      </c>
      <c r="F60" s="123">
        <f t="shared" si="13"/>
        <v>0</v>
      </c>
      <c r="G60" s="123">
        <f t="shared" si="14"/>
        <v>0</v>
      </c>
      <c r="H60" s="123">
        <f t="shared" si="15"/>
        <v>0</v>
      </c>
      <c r="I60" s="123">
        <f t="shared" si="16"/>
        <v>0.06526580498</v>
      </c>
      <c r="J60" s="123">
        <f t="shared" si="17"/>
        <v>0.02188428988</v>
      </c>
      <c r="K60" s="123">
        <f t="shared" si="9"/>
        <v>0.005577023053</v>
      </c>
    </row>
    <row r="61">
      <c r="A61" s="46">
        <v>6.0</v>
      </c>
      <c r="B61" s="84" t="s">
        <v>50</v>
      </c>
      <c r="C61" s="123">
        <f t="shared" si="10"/>
        <v>0</v>
      </c>
      <c r="D61" s="123">
        <f t="shared" si="11"/>
        <v>0</v>
      </c>
      <c r="E61" s="123">
        <f t="shared" si="12"/>
        <v>0</v>
      </c>
      <c r="F61" s="123">
        <f t="shared" si="13"/>
        <v>0.009952218294</v>
      </c>
      <c r="G61" s="123">
        <f t="shared" si="14"/>
        <v>0</v>
      </c>
      <c r="H61" s="123">
        <f t="shared" si="15"/>
        <v>0.02741145953</v>
      </c>
      <c r="I61" s="123">
        <f t="shared" si="16"/>
        <v>0.0191335365</v>
      </c>
      <c r="J61" s="123">
        <f t="shared" si="17"/>
        <v>0.006932943034</v>
      </c>
      <c r="K61" s="123">
        <f t="shared" si="9"/>
        <v>0.005101763697</v>
      </c>
    </row>
    <row r="62">
      <c r="A62" s="46">
        <v>7.0</v>
      </c>
      <c r="B62" s="84" t="s">
        <v>51</v>
      </c>
      <c r="C62" s="123">
        <f t="shared" si="10"/>
        <v>0</v>
      </c>
      <c r="D62" s="123">
        <f t="shared" si="11"/>
        <v>0</v>
      </c>
      <c r="E62" s="123">
        <f t="shared" si="12"/>
        <v>0</v>
      </c>
      <c r="F62" s="123">
        <f t="shared" si="13"/>
        <v>0.02764505082</v>
      </c>
      <c r="G62" s="123">
        <f t="shared" si="14"/>
        <v>0.007699671561</v>
      </c>
      <c r="H62" s="123">
        <f t="shared" si="15"/>
        <v>0.03090151625</v>
      </c>
      <c r="I62" s="123">
        <f t="shared" si="16"/>
        <v>0.0160500602</v>
      </c>
      <c r="J62" s="123">
        <f t="shared" si="17"/>
        <v>0.0175074319</v>
      </c>
      <c r="K62" s="123">
        <f t="shared" si="9"/>
        <v>0.01357883874</v>
      </c>
    </row>
    <row r="63">
      <c r="A63" s="46">
        <v>8.0</v>
      </c>
      <c r="B63" s="84" t="s">
        <v>52</v>
      </c>
      <c r="C63" s="123">
        <f t="shared" si="10"/>
        <v>0</v>
      </c>
      <c r="D63" s="123">
        <f t="shared" si="11"/>
        <v>0</v>
      </c>
      <c r="E63" s="123">
        <f t="shared" si="12"/>
        <v>0</v>
      </c>
      <c r="F63" s="123">
        <f t="shared" si="13"/>
        <v>0.03317406098</v>
      </c>
      <c r="G63" s="123">
        <f t="shared" si="14"/>
        <v>0.04296691719</v>
      </c>
      <c r="H63" s="123">
        <f t="shared" si="15"/>
        <v>0.03883731935</v>
      </c>
      <c r="I63" s="123">
        <f t="shared" si="16"/>
        <v>0.09190490905</v>
      </c>
      <c r="J63" s="123">
        <f t="shared" si="17"/>
        <v>0.1149654695</v>
      </c>
      <c r="K63" s="123">
        <f t="shared" si="9"/>
        <v>0.1241493827</v>
      </c>
    </row>
    <row r="64">
      <c r="A64" s="124"/>
      <c r="B64" s="122" t="s">
        <v>47</v>
      </c>
      <c r="C64" s="125">
        <f t="shared" ref="C64:K64" si="18">C43+C48+C54+C59+C60+C61+C62+C63</f>
        <v>1</v>
      </c>
      <c r="D64" s="125">
        <f t="shared" si="18"/>
        <v>1</v>
      </c>
      <c r="E64" s="125">
        <f t="shared" si="18"/>
        <v>1</v>
      </c>
      <c r="F64" s="125">
        <f t="shared" si="18"/>
        <v>1</v>
      </c>
      <c r="G64" s="125">
        <f t="shared" si="18"/>
        <v>1</v>
      </c>
      <c r="H64" s="125">
        <f t="shared" si="18"/>
        <v>1</v>
      </c>
      <c r="I64" s="125">
        <f t="shared" si="18"/>
        <v>1</v>
      </c>
      <c r="J64" s="125">
        <f t="shared" si="18"/>
        <v>1</v>
      </c>
      <c r="K64" s="125">
        <f t="shared" si="18"/>
        <v>1</v>
      </c>
      <c r="M64" s="125"/>
    </row>
  </sheetData>
  <hyperlinks>
    <hyperlink r:id="rId4" ref="L1"/>
  </hyperlinks>
  <drawing r:id="rId5"/>
  <legacy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 outlineLevelRow="1"/>
  <cols>
    <col customWidth="1" min="1" max="1" width="3.63"/>
    <col customWidth="1" min="2" max="2" width="28.0"/>
  </cols>
  <sheetData>
    <row r="1">
      <c r="A1" s="3"/>
      <c r="B1" s="2" t="s">
        <v>0</v>
      </c>
      <c r="C1" s="2"/>
      <c r="D1" s="2"/>
      <c r="E1" s="2"/>
      <c r="F1" s="6" t="s">
        <v>1</v>
      </c>
      <c r="G1" s="12" t="s">
        <v>1</v>
      </c>
      <c r="H1" s="12" t="s">
        <v>1</v>
      </c>
      <c r="I1" s="12" t="s">
        <v>1</v>
      </c>
      <c r="J1" s="12" t="s">
        <v>1</v>
      </c>
      <c r="K1" s="12" t="s">
        <v>1</v>
      </c>
    </row>
    <row r="2">
      <c r="A2" s="3"/>
      <c r="B2" s="18" t="s">
        <v>16</v>
      </c>
      <c r="C2" s="5" t="s">
        <v>4</v>
      </c>
      <c r="D2" s="5" t="s">
        <v>5</v>
      </c>
      <c r="E2" s="5" t="s">
        <v>6</v>
      </c>
      <c r="F2" s="18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20" t="s">
        <v>17</v>
      </c>
      <c r="M2" s="23"/>
      <c r="N2" s="25"/>
    </row>
    <row r="3">
      <c r="A3" s="26"/>
      <c r="B3" s="24" t="s">
        <v>18</v>
      </c>
      <c r="C3" s="27">
        <f t="shared" ref="C3:G3" si="1">SUM(C4,C5,C6, C7)</f>
        <v>4835</v>
      </c>
      <c r="D3" s="27">
        <f t="shared" si="1"/>
        <v>20820</v>
      </c>
      <c r="E3" s="27">
        <f t="shared" si="1"/>
        <v>28070</v>
      </c>
      <c r="F3" s="27">
        <f t="shared" si="1"/>
        <v>13235</v>
      </c>
      <c r="G3" s="27">
        <f t="shared" si="1"/>
        <v>21000</v>
      </c>
      <c r="H3" s="27">
        <f t="shared" ref="H3:K3" si="2">SUM(H4,H5,H6,, H7)</f>
        <v>47970</v>
      </c>
      <c r="I3" s="27">
        <f t="shared" si="2"/>
        <v>59637</v>
      </c>
      <c r="J3" s="27">
        <f t="shared" si="2"/>
        <v>36605</v>
      </c>
      <c r="K3" s="27">
        <f t="shared" si="2"/>
        <v>37660</v>
      </c>
      <c r="L3" s="27">
        <f t="shared" ref="L3:L23" si="3">SUM(C3:K3)</f>
        <v>269832</v>
      </c>
      <c r="M3" s="38">
        <f t="shared" ref="M3:M8" si="4">L3/1.18</f>
        <v>228671.1864</v>
      </c>
    </row>
    <row r="4" outlineLevel="1">
      <c r="A4" s="26"/>
      <c r="B4" s="31" t="s">
        <v>21</v>
      </c>
      <c r="C4" s="13">
        <v>4475.0</v>
      </c>
      <c r="D4" s="13">
        <v>13380.0</v>
      </c>
      <c r="E4" s="13">
        <v>10110.0</v>
      </c>
      <c r="F4" s="36">
        <v>6425.0</v>
      </c>
      <c r="G4" s="36">
        <v>4790.0</v>
      </c>
      <c r="H4" s="36">
        <v>15775.0</v>
      </c>
      <c r="I4" s="13">
        <v>15709.0</v>
      </c>
      <c r="J4" s="42">
        <v>12630.0</v>
      </c>
      <c r="K4" s="13">
        <v>11075.0</v>
      </c>
      <c r="L4" s="37">
        <f t="shared" si="3"/>
        <v>94369</v>
      </c>
      <c r="M4" s="38">
        <f t="shared" si="4"/>
        <v>79973.72881</v>
      </c>
    </row>
    <row r="5" outlineLevel="1">
      <c r="A5" s="26"/>
      <c r="B5" s="31" t="s">
        <v>23</v>
      </c>
      <c r="C5" s="13">
        <v>360.0</v>
      </c>
      <c r="D5" s="13">
        <v>1920.0</v>
      </c>
      <c r="E5" s="13">
        <v>4400.0</v>
      </c>
      <c r="F5" s="36">
        <v>2490.0</v>
      </c>
      <c r="G5" s="36">
        <v>1890.0</v>
      </c>
      <c r="H5" s="36">
        <v>4800.0</v>
      </c>
      <c r="I5" s="13">
        <v>3710.0</v>
      </c>
      <c r="J5" s="42">
        <v>3615.0</v>
      </c>
      <c r="K5" s="13">
        <v>2625.0</v>
      </c>
      <c r="L5" s="37">
        <f t="shared" si="3"/>
        <v>25810</v>
      </c>
      <c r="M5" s="38">
        <f t="shared" si="4"/>
        <v>21872.88136</v>
      </c>
    </row>
    <row r="6" outlineLevel="1">
      <c r="A6" s="26"/>
      <c r="B6" s="31" t="s">
        <v>25</v>
      </c>
      <c r="C6" s="13">
        <v>0.0</v>
      </c>
      <c r="D6" s="13">
        <v>0.0</v>
      </c>
      <c r="E6" s="13">
        <v>7550.0</v>
      </c>
      <c r="F6" s="36">
        <v>0.0</v>
      </c>
      <c r="G6" s="37">
        <v>0.0</v>
      </c>
      <c r="H6" s="37">
        <v>0.0</v>
      </c>
      <c r="I6" s="13">
        <v>0.0</v>
      </c>
      <c r="J6" s="42">
        <v>0.0</v>
      </c>
      <c r="K6" s="13">
        <v>0.0</v>
      </c>
      <c r="L6" s="37">
        <f t="shared" si="3"/>
        <v>7550</v>
      </c>
      <c r="M6" s="38">
        <f t="shared" si="4"/>
        <v>6398.305085</v>
      </c>
    </row>
    <row r="7" outlineLevel="1">
      <c r="A7" s="26"/>
      <c r="B7" s="31" t="s">
        <v>26</v>
      </c>
      <c r="C7" s="13">
        <v>0.0</v>
      </c>
      <c r="D7" s="13">
        <v>5520.0</v>
      </c>
      <c r="E7" s="13">
        <v>6010.0</v>
      </c>
      <c r="F7" s="36">
        <v>4320.0</v>
      </c>
      <c r="G7" s="36">
        <v>14320.0</v>
      </c>
      <c r="H7" s="36">
        <v>27395.0</v>
      </c>
      <c r="I7" s="13">
        <v>40218.0</v>
      </c>
      <c r="J7" s="42">
        <v>20360.0</v>
      </c>
      <c r="K7" s="13">
        <v>23960.0</v>
      </c>
      <c r="L7" s="37">
        <f t="shared" si="3"/>
        <v>142103</v>
      </c>
      <c r="M7" s="38">
        <f t="shared" si="4"/>
        <v>120426.2712</v>
      </c>
    </row>
    <row r="8">
      <c r="A8" s="26"/>
      <c r="B8" s="44" t="s">
        <v>28</v>
      </c>
      <c r="C8" s="48">
        <f t="shared" ref="C8:K8" si="5">sum(C9:C13)</f>
        <v>88280</v>
      </c>
      <c r="D8" s="48">
        <f t="shared" si="5"/>
        <v>212932</v>
      </c>
      <c r="E8" s="48">
        <f t="shared" si="5"/>
        <v>188454</v>
      </c>
      <c r="F8" s="48">
        <f t="shared" si="5"/>
        <v>118535</v>
      </c>
      <c r="G8" s="48">
        <f t="shared" si="5"/>
        <v>96029</v>
      </c>
      <c r="H8" s="48">
        <f t="shared" si="5"/>
        <v>97326</v>
      </c>
      <c r="I8" s="48">
        <f t="shared" si="5"/>
        <v>130380</v>
      </c>
      <c r="J8" s="48">
        <f t="shared" si="5"/>
        <v>106075</v>
      </c>
      <c r="K8" s="48">
        <f t="shared" si="5"/>
        <v>167600</v>
      </c>
      <c r="L8" s="27">
        <f t="shared" si="3"/>
        <v>1205611</v>
      </c>
      <c r="M8" s="38">
        <f t="shared" si="4"/>
        <v>1021704.237</v>
      </c>
    </row>
    <row r="9" outlineLevel="1">
      <c r="A9" s="26"/>
      <c r="B9" s="32" t="s">
        <v>33</v>
      </c>
      <c r="C9" s="13">
        <v>73440.0</v>
      </c>
      <c r="D9" s="13">
        <v>160060.0</v>
      </c>
      <c r="E9" s="13">
        <v>160060.0</v>
      </c>
      <c r="F9" s="36">
        <v>96165.0</v>
      </c>
      <c r="G9" s="36">
        <v>65915.0</v>
      </c>
      <c r="H9" s="36">
        <v>66215.0</v>
      </c>
      <c r="I9" s="13">
        <v>76022.0</v>
      </c>
      <c r="J9" s="42">
        <v>53245.0</v>
      </c>
      <c r="K9" s="13">
        <v>100520.0</v>
      </c>
      <c r="L9" s="37">
        <f t="shared" si="3"/>
        <v>851642</v>
      </c>
      <c r="M9" s="52"/>
    </row>
    <row r="10" outlineLevel="1">
      <c r="A10" s="26"/>
      <c r="B10" s="32" t="s">
        <v>34</v>
      </c>
      <c r="C10" s="13">
        <v>14840.0</v>
      </c>
      <c r="D10" s="13">
        <v>44490.0</v>
      </c>
      <c r="E10" s="47">
        <v>24400.0</v>
      </c>
      <c r="F10" s="36">
        <v>17870.0</v>
      </c>
      <c r="G10" s="36">
        <v>11080.0</v>
      </c>
      <c r="H10" s="37">
        <v>5361.0</v>
      </c>
      <c r="I10" s="13">
        <v>20344.0</v>
      </c>
      <c r="J10" s="42">
        <v>14830.0</v>
      </c>
      <c r="K10" s="13">
        <v>24855.0</v>
      </c>
      <c r="L10" s="37">
        <f t="shared" si="3"/>
        <v>178070</v>
      </c>
      <c r="M10" s="52"/>
    </row>
    <row r="11" outlineLevel="1">
      <c r="A11" s="26"/>
      <c r="B11" s="31" t="s">
        <v>36</v>
      </c>
      <c r="C11" s="13">
        <v>0.0</v>
      </c>
      <c r="D11" s="13">
        <v>0.0</v>
      </c>
      <c r="E11" s="13">
        <v>0.0</v>
      </c>
      <c r="F11" s="36">
        <v>0.0</v>
      </c>
      <c r="G11" s="37">
        <v>0.0</v>
      </c>
      <c r="H11" s="36">
        <v>8950.0</v>
      </c>
      <c r="I11" s="13">
        <v>24400.0</v>
      </c>
      <c r="J11" s="42">
        <v>35200.0</v>
      </c>
      <c r="K11" s="13">
        <v>41425.0</v>
      </c>
      <c r="L11" s="37">
        <f t="shared" si="3"/>
        <v>109975</v>
      </c>
      <c r="M11" s="52"/>
    </row>
    <row r="12" outlineLevel="1">
      <c r="A12" s="26"/>
      <c r="B12" s="32" t="s">
        <v>37</v>
      </c>
      <c r="C12" s="13">
        <v>0.0</v>
      </c>
      <c r="D12" s="13">
        <v>8382.0</v>
      </c>
      <c r="E12" s="53">
        <v>3994.0</v>
      </c>
      <c r="F12" s="36">
        <v>4500.0</v>
      </c>
      <c r="G12" s="37">
        <v>19034.0</v>
      </c>
      <c r="H12" s="37">
        <v>16800.0</v>
      </c>
      <c r="I12" s="13">
        <v>9614.0</v>
      </c>
      <c r="J12" s="42">
        <v>2800.0</v>
      </c>
      <c r="K12" s="13">
        <v>800.0</v>
      </c>
      <c r="L12" s="37">
        <f t="shared" si="3"/>
        <v>65924</v>
      </c>
      <c r="M12" s="52"/>
    </row>
    <row r="13" outlineLevel="1">
      <c r="A13" s="26"/>
      <c r="B13" s="31" t="s">
        <v>38</v>
      </c>
      <c r="C13" s="36">
        <v>0.0</v>
      </c>
      <c r="D13" s="36">
        <v>0.0</v>
      </c>
      <c r="E13" s="36">
        <v>0.0</v>
      </c>
      <c r="F13" s="36">
        <v>0.0</v>
      </c>
      <c r="G13" s="36">
        <v>0.0</v>
      </c>
      <c r="H13" s="36">
        <v>0.0</v>
      </c>
      <c r="I13" s="36">
        <v>0.0</v>
      </c>
      <c r="J13" s="42">
        <v>0.0</v>
      </c>
      <c r="K13" s="13">
        <v>0.0</v>
      </c>
      <c r="L13" s="37">
        <f t="shared" si="3"/>
        <v>0</v>
      </c>
      <c r="M13" s="52"/>
    </row>
    <row r="14">
      <c r="A14" s="26"/>
      <c r="B14" s="44" t="s">
        <v>39</v>
      </c>
      <c r="C14" s="45">
        <f t="shared" ref="C14:G14" si="6">sum(C17:C18)</f>
        <v>10500</v>
      </c>
      <c r="D14" s="45">
        <f t="shared" si="6"/>
        <v>15087</v>
      </c>
      <c r="E14" s="45">
        <f t="shared" si="6"/>
        <v>28530</v>
      </c>
      <c r="F14" s="45">
        <f t="shared" si="6"/>
        <v>13550</v>
      </c>
      <c r="G14" s="45">
        <f t="shared" si="6"/>
        <v>1100</v>
      </c>
      <c r="H14" s="27">
        <f>SUM(H16:H18)</f>
        <v>6030</v>
      </c>
      <c r="I14" s="27">
        <f t="shared" ref="I14:K14" si="7">SUM(I15:I18)</f>
        <v>67200</v>
      </c>
      <c r="J14" s="27">
        <f t="shared" si="7"/>
        <v>54550</v>
      </c>
      <c r="K14" s="27">
        <f t="shared" si="7"/>
        <v>34360</v>
      </c>
      <c r="L14" s="27">
        <f t="shared" si="3"/>
        <v>230907</v>
      </c>
      <c r="M14" s="38">
        <f>L14/1.18</f>
        <v>195683.8983</v>
      </c>
    </row>
    <row r="15" outlineLevel="1">
      <c r="A15" s="26"/>
      <c r="B15" s="32" t="s">
        <v>42</v>
      </c>
      <c r="C15" s="36">
        <v>0.0</v>
      </c>
      <c r="D15" s="36">
        <v>0.0</v>
      </c>
      <c r="E15" s="36">
        <v>0.0</v>
      </c>
      <c r="F15" s="36">
        <v>0.0</v>
      </c>
      <c r="G15" s="37">
        <v>0.0</v>
      </c>
      <c r="H15" s="37">
        <v>0.0</v>
      </c>
      <c r="I15" s="13">
        <v>38300.0</v>
      </c>
      <c r="J15" s="42">
        <v>0.0</v>
      </c>
      <c r="K15" s="13">
        <v>0.0</v>
      </c>
      <c r="L15" s="37">
        <f t="shared" si="3"/>
        <v>38300</v>
      </c>
      <c r="M15" s="52"/>
    </row>
    <row r="16" outlineLevel="1">
      <c r="A16" s="26"/>
      <c r="B16" s="32" t="s">
        <v>44</v>
      </c>
      <c r="C16" s="13">
        <v>0.0</v>
      </c>
      <c r="D16" s="13">
        <v>0.0</v>
      </c>
      <c r="E16" s="13">
        <v>0.0</v>
      </c>
      <c r="F16" s="36">
        <v>0.0</v>
      </c>
      <c r="G16" s="36">
        <v>0.0</v>
      </c>
      <c r="H16" s="37">
        <v>6030.0</v>
      </c>
      <c r="I16" s="13">
        <v>13650.0</v>
      </c>
      <c r="J16" s="42">
        <v>34100.0</v>
      </c>
      <c r="K16" s="13">
        <v>11800.0</v>
      </c>
      <c r="L16" s="37">
        <f t="shared" si="3"/>
        <v>65580</v>
      </c>
      <c r="M16" s="52"/>
    </row>
    <row r="17" outlineLevel="1">
      <c r="A17" s="26"/>
      <c r="B17" s="32" t="s">
        <v>45</v>
      </c>
      <c r="C17" s="13">
        <v>10500.0</v>
      </c>
      <c r="D17" s="13">
        <v>15087.0</v>
      </c>
      <c r="E17" s="13">
        <v>19900.0</v>
      </c>
      <c r="F17" s="36">
        <v>11830.0</v>
      </c>
      <c r="G17" s="37">
        <v>1100.0</v>
      </c>
      <c r="H17" s="37">
        <v>0.0</v>
      </c>
      <c r="I17" s="13">
        <v>15250.0</v>
      </c>
      <c r="J17" s="42">
        <v>20450.0</v>
      </c>
      <c r="K17" s="13">
        <v>22560.0</v>
      </c>
      <c r="L17" s="37">
        <f t="shared" si="3"/>
        <v>116677</v>
      </c>
      <c r="M17" s="52"/>
    </row>
    <row r="18" outlineLevel="1">
      <c r="A18" s="26"/>
      <c r="B18" s="32" t="s">
        <v>46</v>
      </c>
      <c r="C18" s="13">
        <v>0.0</v>
      </c>
      <c r="D18" s="36">
        <v>0.0</v>
      </c>
      <c r="E18" s="53">
        <v>8630.0</v>
      </c>
      <c r="F18" s="36">
        <v>1720.0</v>
      </c>
      <c r="G18" s="37">
        <v>0.0</v>
      </c>
      <c r="H18" s="37">
        <v>0.0</v>
      </c>
      <c r="I18" s="13">
        <v>0.0</v>
      </c>
      <c r="J18" s="42">
        <v>0.0</v>
      </c>
      <c r="K18" s="13">
        <v>0.0</v>
      </c>
      <c r="L18" s="37">
        <f t="shared" si="3"/>
        <v>10350</v>
      </c>
      <c r="M18" s="52"/>
    </row>
    <row r="19">
      <c r="A19" s="26"/>
      <c r="B19" s="24" t="s">
        <v>48</v>
      </c>
      <c r="C19" s="48">
        <v>0.0</v>
      </c>
      <c r="D19" s="48">
        <v>50000.0</v>
      </c>
      <c r="E19" s="48">
        <v>0.0</v>
      </c>
      <c r="F19" s="45">
        <v>50000.0</v>
      </c>
      <c r="G19" s="27">
        <v>50000.0</v>
      </c>
      <c r="H19" s="27">
        <v>55000.0</v>
      </c>
      <c r="I19" s="48">
        <v>0.0</v>
      </c>
      <c r="J19" s="65">
        <v>50000.0</v>
      </c>
      <c r="K19" s="48">
        <v>0.0</v>
      </c>
      <c r="L19" s="27">
        <f t="shared" si="3"/>
        <v>255000</v>
      </c>
      <c r="M19" s="38">
        <f t="shared" ref="M19:M24" si="8">L19/1.18</f>
        <v>216101.6949</v>
      </c>
    </row>
    <row r="20">
      <c r="A20" s="26"/>
      <c r="B20" s="58" t="s">
        <v>49</v>
      </c>
      <c r="C20" s="13">
        <v>0.0</v>
      </c>
      <c r="D20" s="13">
        <v>0.0</v>
      </c>
      <c r="E20" s="13">
        <v>0.0</v>
      </c>
      <c r="F20" s="36">
        <v>0.0</v>
      </c>
      <c r="G20" s="36">
        <v>0.0</v>
      </c>
      <c r="H20" s="36">
        <v>0.0</v>
      </c>
      <c r="I20" s="13">
        <v>44000.0</v>
      </c>
      <c r="J20" s="42">
        <f>16500</f>
        <v>16500</v>
      </c>
      <c r="K20" s="13">
        <f>6500+5000</f>
        <v>11500</v>
      </c>
      <c r="L20" s="27">
        <f t="shared" si="3"/>
        <v>72000</v>
      </c>
      <c r="M20" s="38">
        <f t="shared" si="8"/>
        <v>61016.94915</v>
      </c>
    </row>
    <row r="21">
      <c r="A21" s="26"/>
      <c r="B21" s="24" t="s">
        <v>50</v>
      </c>
      <c r="C21" s="13">
        <v>0.0</v>
      </c>
      <c r="D21" s="13">
        <v>0.0</v>
      </c>
      <c r="E21" s="13">
        <v>0.0</v>
      </c>
      <c r="F21" s="36">
        <v>5400.0</v>
      </c>
      <c r="G21" s="37">
        <v>0.0</v>
      </c>
      <c r="H21" s="37">
        <v>0.0</v>
      </c>
      <c r="I21" s="13">
        <v>0.0</v>
      </c>
      <c r="J21" s="42">
        <v>0.0</v>
      </c>
      <c r="K21" s="13">
        <v>0.0</v>
      </c>
      <c r="L21" s="27">
        <f t="shared" si="3"/>
        <v>5400</v>
      </c>
      <c r="M21" s="38">
        <f t="shared" si="8"/>
        <v>4576.271186</v>
      </c>
    </row>
    <row r="22">
      <c r="A22" s="26"/>
      <c r="B22" s="24" t="s">
        <v>51</v>
      </c>
      <c r="C22" s="13">
        <v>0.0</v>
      </c>
      <c r="D22" s="13">
        <v>0.0</v>
      </c>
      <c r="E22" s="13">
        <v>0.0</v>
      </c>
      <c r="F22" s="37">
        <v>0.0</v>
      </c>
      <c r="G22" s="37">
        <v>0.0</v>
      </c>
      <c r="H22" s="37">
        <v>0.0</v>
      </c>
      <c r="I22" s="13">
        <v>0.0</v>
      </c>
      <c r="J22" s="42">
        <v>0.0</v>
      </c>
      <c r="K22" s="13">
        <v>0.0</v>
      </c>
      <c r="L22" s="27">
        <f t="shared" si="3"/>
        <v>0</v>
      </c>
      <c r="M22" s="38">
        <f t="shared" si="8"/>
        <v>0</v>
      </c>
    </row>
    <row r="23">
      <c r="A23" s="26"/>
      <c r="B23" s="24" t="s">
        <v>52</v>
      </c>
      <c r="C23" s="13">
        <v>0.0</v>
      </c>
      <c r="D23" s="13">
        <v>0.0</v>
      </c>
      <c r="E23" s="13">
        <v>0.0</v>
      </c>
      <c r="F23" s="36">
        <v>0.0</v>
      </c>
      <c r="G23" s="37">
        <v>0.0</v>
      </c>
      <c r="H23" s="37">
        <v>0.0</v>
      </c>
      <c r="I23" s="13">
        <v>0.0</v>
      </c>
      <c r="J23" s="42">
        <v>0.0</v>
      </c>
      <c r="K23" s="13">
        <v>0.0</v>
      </c>
      <c r="L23" s="27">
        <f t="shared" si="3"/>
        <v>0</v>
      </c>
      <c r="M23" s="38">
        <f t="shared" si="8"/>
        <v>0</v>
      </c>
    </row>
    <row r="24">
      <c r="A24" s="26"/>
      <c r="B24" s="55" t="s">
        <v>47</v>
      </c>
      <c r="C24" s="64">
        <f t="shared" ref="C24:K24" si="9">SUM(C3,C8,C14,C19,C20,C21,C22,C23)</f>
        <v>103615</v>
      </c>
      <c r="D24" s="64">
        <f t="shared" si="9"/>
        <v>298839</v>
      </c>
      <c r="E24" s="64">
        <f t="shared" si="9"/>
        <v>245054</v>
      </c>
      <c r="F24" s="64">
        <f t="shared" si="9"/>
        <v>200720</v>
      </c>
      <c r="G24" s="64">
        <f t="shared" si="9"/>
        <v>168129</v>
      </c>
      <c r="H24" s="64">
        <f t="shared" si="9"/>
        <v>206326</v>
      </c>
      <c r="I24" s="64">
        <f t="shared" si="9"/>
        <v>301217</v>
      </c>
      <c r="J24" s="64">
        <f t="shared" si="9"/>
        <v>263730</v>
      </c>
      <c r="K24" s="64">
        <f t="shared" si="9"/>
        <v>251120</v>
      </c>
      <c r="L24" s="64">
        <f>sum(L3,L8,L14,L19,L20,L21,L22,L23)</f>
        <v>2038750</v>
      </c>
      <c r="M24" s="38">
        <f t="shared" si="8"/>
        <v>1727754.237</v>
      </c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>
      <c r="A25" s="26"/>
      <c r="B25" s="77" t="s">
        <v>54</v>
      </c>
      <c r="C25" s="48">
        <v>87758.59</v>
      </c>
      <c r="D25" s="48">
        <v>275765.0</v>
      </c>
      <c r="E25" s="48">
        <v>171043.0</v>
      </c>
      <c r="F25" s="45">
        <v>160536.0</v>
      </c>
      <c r="G25" s="48">
        <v>153608.68</v>
      </c>
      <c r="H25" s="48">
        <v>195900.27</v>
      </c>
      <c r="I25" s="48">
        <v>286550.0</v>
      </c>
      <c r="J25" s="65">
        <v>237720.94</v>
      </c>
      <c r="K25" s="48">
        <v>226823.45</v>
      </c>
    </row>
    <row r="26">
      <c r="A26" s="26"/>
      <c r="B26" s="68" t="s">
        <v>55</v>
      </c>
      <c r="C26" s="48">
        <f t="shared" ref="C26:K26" si="10">C25/1.18</f>
        <v>74371.68644</v>
      </c>
      <c r="D26" s="48">
        <f t="shared" si="10"/>
        <v>233699.1525</v>
      </c>
      <c r="E26" s="48">
        <f t="shared" si="10"/>
        <v>144951.6949</v>
      </c>
      <c r="F26" s="48">
        <f t="shared" si="10"/>
        <v>136047.4576</v>
      </c>
      <c r="G26" s="48">
        <f t="shared" si="10"/>
        <v>130176.8475</v>
      </c>
      <c r="H26" s="48">
        <f t="shared" si="10"/>
        <v>166017.178</v>
      </c>
      <c r="I26" s="48">
        <f t="shared" si="10"/>
        <v>242838.9831</v>
      </c>
      <c r="J26" s="48">
        <f t="shared" si="10"/>
        <v>201458.4237</v>
      </c>
      <c r="K26" s="48">
        <f t="shared" si="10"/>
        <v>192223.2627</v>
      </c>
    </row>
    <row r="27">
      <c r="A27" s="41"/>
      <c r="B27" s="72" t="s">
        <v>56</v>
      </c>
      <c r="C27" s="14"/>
      <c r="D27" s="14"/>
      <c r="E27" s="14"/>
      <c r="F27" s="14"/>
      <c r="G27" s="14"/>
      <c r="H27" s="14"/>
      <c r="I27" s="14"/>
      <c r="J27" s="14"/>
      <c r="K27" s="14"/>
    </row>
    <row r="28">
      <c r="A28" s="86"/>
      <c r="B28" s="46" t="s">
        <v>60</v>
      </c>
      <c r="C28" s="14"/>
      <c r="D28" s="14"/>
      <c r="E28" s="14"/>
      <c r="F28" s="14"/>
      <c r="G28" s="14"/>
      <c r="H28" s="14"/>
      <c r="I28" s="14"/>
      <c r="J28" s="14"/>
      <c r="K28" s="14"/>
    </row>
    <row r="29">
      <c r="D29" s="51"/>
    </row>
    <row r="30">
      <c r="D30" s="23"/>
      <c r="E30" s="74"/>
    </row>
    <row r="31">
      <c r="D31" s="23"/>
      <c r="E31" s="74"/>
    </row>
    <row r="32">
      <c r="D32" s="23"/>
      <c r="E32" s="87"/>
    </row>
    <row r="33">
      <c r="D33" s="23"/>
      <c r="E33" s="87"/>
    </row>
    <row r="34">
      <c r="D34" s="23"/>
      <c r="E34" s="87"/>
    </row>
    <row r="35">
      <c r="D35" s="23"/>
      <c r="E35" s="87"/>
    </row>
    <row r="36">
      <c r="D36" s="23"/>
      <c r="E36" s="87"/>
    </row>
    <row r="37">
      <c r="D37" s="51"/>
    </row>
    <row r="38">
      <c r="D38" s="51"/>
    </row>
    <row r="39">
      <c r="D39" s="51"/>
    </row>
    <row r="40">
      <c r="D40" s="51"/>
    </row>
    <row r="41">
      <c r="D41" s="51"/>
    </row>
    <row r="42">
      <c r="D42" s="51"/>
    </row>
    <row r="43">
      <c r="D43" s="51"/>
    </row>
    <row r="44">
      <c r="D44" s="51"/>
    </row>
    <row r="45">
      <c r="D45" s="51"/>
    </row>
    <row r="46">
      <c r="D46" s="51"/>
    </row>
    <row r="47">
      <c r="D47" s="51"/>
    </row>
    <row r="48">
      <c r="D48" s="51"/>
    </row>
    <row r="49">
      <c r="D49" s="51"/>
    </row>
    <row r="50">
      <c r="D50" s="51"/>
    </row>
    <row r="51">
      <c r="D51" s="51"/>
    </row>
    <row r="52">
      <c r="D52" s="51"/>
    </row>
    <row r="53">
      <c r="D53" s="51"/>
    </row>
    <row r="54">
      <c r="D54" s="51"/>
    </row>
    <row r="55">
      <c r="D55" s="51"/>
    </row>
    <row r="56">
      <c r="D56" s="51"/>
    </row>
    <row r="57">
      <c r="D57" s="51"/>
    </row>
    <row r="58">
      <c r="D58" s="51"/>
    </row>
    <row r="59">
      <c r="D59" s="51"/>
    </row>
    <row r="60">
      <c r="D60" s="51"/>
    </row>
    <row r="61">
      <c r="D61" s="51"/>
    </row>
    <row r="62">
      <c r="D62" s="51"/>
    </row>
    <row r="63">
      <c r="D63" s="51"/>
    </row>
    <row r="64">
      <c r="D64" s="51"/>
    </row>
    <row r="65">
      <c r="D65" s="51"/>
    </row>
    <row r="66">
      <c r="D66" s="51"/>
    </row>
    <row r="67">
      <c r="D67" s="51"/>
    </row>
    <row r="68">
      <c r="D68" s="51"/>
    </row>
    <row r="69">
      <c r="D69" s="51"/>
    </row>
    <row r="70">
      <c r="D70" s="51"/>
    </row>
    <row r="71">
      <c r="D71" s="51"/>
    </row>
    <row r="72">
      <c r="D72" s="51"/>
    </row>
    <row r="73">
      <c r="D73" s="51"/>
    </row>
    <row r="74">
      <c r="D74" s="51"/>
    </row>
    <row r="75">
      <c r="D75" s="51"/>
    </row>
    <row r="76">
      <c r="D76" s="51"/>
    </row>
    <row r="77">
      <c r="D77" s="51"/>
    </row>
    <row r="78">
      <c r="D78" s="51"/>
    </row>
    <row r="79">
      <c r="D79" s="51"/>
    </row>
    <row r="80">
      <c r="D80" s="51"/>
    </row>
    <row r="81">
      <c r="D81" s="51"/>
    </row>
    <row r="82">
      <c r="D82" s="51"/>
    </row>
    <row r="83">
      <c r="D83" s="51"/>
    </row>
    <row r="84">
      <c r="D84" s="51"/>
    </row>
    <row r="85">
      <c r="D85" s="51"/>
    </row>
    <row r="86">
      <c r="D86" s="51"/>
    </row>
    <row r="87">
      <c r="D87" s="51"/>
    </row>
    <row r="88">
      <c r="D88" s="51"/>
    </row>
    <row r="89">
      <c r="D89" s="51"/>
    </row>
    <row r="90">
      <c r="D90" s="51"/>
    </row>
    <row r="91">
      <c r="D91" s="51"/>
    </row>
    <row r="92">
      <c r="D92" s="51"/>
    </row>
    <row r="93">
      <c r="D93" s="51"/>
    </row>
    <row r="94">
      <c r="D94" s="51"/>
    </row>
    <row r="95">
      <c r="D95" s="51"/>
    </row>
    <row r="96">
      <c r="D96" s="51"/>
    </row>
    <row r="97">
      <c r="D97" s="51"/>
    </row>
    <row r="98">
      <c r="D98" s="51"/>
    </row>
    <row r="99">
      <c r="D99" s="51"/>
    </row>
    <row r="100">
      <c r="D100" s="51"/>
    </row>
    <row r="101">
      <c r="D101" s="51"/>
    </row>
    <row r="102">
      <c r="D102" s="51"/>
    </row>
    <row r="103">
      <c r="D103" s="51"/>
    </row>
    <row r="104">
      <c r="D104" s="51"/>
    </row>
    <row r="105">
      <c r="D105" s="51"/>
    </row>
    <row r="106">
      <c r="D106" s="51"/>
    </row>
    <row r="107">
      <c r="D107" s="51"/>
    </row>
    <row r="108">
      <c r="D108" s="51"/>
    </row>
    <row r="109">
      <c r="D109" s="51"/>
    </row>
    <row r="110">
      <c r="D110" s="51"/>
    </row>
    <row r="111">
      <c r="D111" s="51"/>
    </row>
    <row r="112">
      <c r="D112" s="51"/>
    </row>
    <row r="113">
      <c r="D113" s="51"/>
    </row>
    <row r="114">
      <c r="D114" s="51"/>
    </row>
    <row r="115">
      <c r="D115" s="51"/>
    </row>
    <row r="116">
      <c r="D116" s="51"/>
    </row>
    <row r="117">
      <c r="D117" s="51"/>
    </row>
    <row r="118">
      <c r="D118" s="51"/>
    </row>
    <row r="119">
      <c r="D119" s="51"/>
    </row>
    <row r="120">
      <c r="D120" s="51"/>
    </row>
    <row r="121">
      <c r="D121" s="51"/>
    </row>
    <row r="122">
      <c r="D122" s="51"/>
    </row>
    <row r="123">
      <c r="D123" s="51"/>
    </row>
    <row r="124">
      <c r="D124" s="51"/>
    </row>
    <row r="125">
      <c r="D125" s="51"/>
    </row>
    <row r="126">
      <c r="D126" s="51"/>
    </row>
    <row r="127">
      <c r="D127" s="51"/>
    </row>
    <row r="128">
      <c r="D128" s="51"/>
    </row>
    <row r="129">
      <c r="D129" s="51"/>
    </row>
    <row r="130">
      <c r="D130" s="51"/>
    </row>
    <row r="131">
      <c r="D131" s="51"/>
    </row>
    <row r="132">
      <c r="D132" s="51"/>
    </row>
    <row r="133">
      <c r="D133" s="51"/>
    </row>
    <row r="134">
      <c r="D134" s="51"/>
    </row>
    <row r="135">
      <c r="D135" s="51"/>
    </row>
    <row r="136">
      <c r="D136" s="51"/>
    </row>
    <row r="137">
      <c r="D137" s="51"/>
    </row>
    <row r="138">
      <c r="D138" s="51"/>
    </row>
    <row r="139">
      <c r="D139" s="51"/>
    </row>
    <row r="140">
      <c r="D140" s="51"/>
    </row>
    <row r="141">
      <c r="D141" s="51"/>
    </row>
    <row r="142">
      <c r="D142" s="51"/>
    </row>
    <row r="143">
      <c r="D143" s="51"/>
    </row>
    <row r="144">
      <c r="D144" s="51"/>
    </row>
    <row r="145">
      <c r="D145" s="51"/>
    </row>
    <row r="146">
      <c r="D146" s="51"/>
    </row>
    <row r="147">
      <c r="D147" s="51"/>
    </row>
    <row r="148">
      <c r="D148" s="51"/>
    </row>
    <row r="149">
      <c r="D149" s="51"/>
    </row>
    <row r="150">
      <c r="D150" s="51"/>
    </row>
    <row r="151">
      <c r="D151" s="51"/>
    </row>
    <row r="152">
      <c r="D152" s="51"/>
    </row>
    <row r="153">
      <c r="D153" s="51"/>
    </row>
    <row r="154">
      <c r="D154" s="51"/>
    </row>
    <row r="155">
      <c r="D155" s="51"/>
    </row>
    <row r="156">
      <c r="D156" s="51"/>
    </row>
    <row r="157">
      <c r="D157" s="51"/>
    </row>
    <row r="158">
      <c r="D158" s="51"/>
    </row>
    <row r="159">
      <c r="D159" s="51"/>
    </row>
    <row r="160">
      <c r="D160" s="51"/>
    </row>
    <row r="161">
      <c r="D161" s="51"/>
    </row>
    <row r="162">
      <c r="D162" s="51"/>
    </row>
    <row r="163">
      <c r="D163" s="51"/>
    </row>
    <row r="164">
      <c r="D164" s="51"/>
    </row>
    <row r="165">
      <c r="D165" s="51"/>
    </row>
    <row r="166">
      <c r="D166" s="51"/>
    </row>
    <row r="167">
      <c r="D167" s="51"/>
    </row>
    <row r="168">
      <c r="D168" s="51"/>
    </row>
    <row r="169">
      <c r="D169" s="51"/>
    </row>
    <row r="170">
      <c r="D170" s="51"/>
    </row>
    <row r="171">
      <c r="D171" s="51"/>
    </row>
    <row r="172">
      <c r="D172" s="51"/>
    </row>
    <row r="173">
      <c r="D173" s="51"/>
    </row>
    <row r="174">
      <c r="D174" s="51"/>
    </row>
    <row r="175">
      <c r="D175" s="51"/>
    </row>
    <row r="176">
      <c r="D176" s="51"/>
    </row>
    <row r="177">
      <c r="D177" s="51"/>
    </row>
    <row r="178">
      <c r="D178" s="51"/>
    </row>
    <row r="179">
      <c r="D179" s="51"/>
    </row>
    <row r="180">
      <c r="D180" s="51"/>
    </row>
    <row r="181">
      <c r="D181" s="51"/>
    </row>
    <row r="182">
      <c r="D182" s="51"/>
    </row>
    <row r="183">
      <c r="D183" s="51"/>
    </row>
    <row r="184">
      <c r="D184" s="51"/>
    </row>
    <row r="185">
      <c r="D185" s="51"/>
    </row>
    <row r="186">
      <c r="D186" s="51"/>
    </row>
    <row r="187">
      <c r="D187" s="51"/>
    </row>
    <row r="188">
      <c r="D188" s="51"/>
    </row>
    <row r="189">
      <c r="D189" s="51"/>
    </row>
    <row r="190">
      <c r="D190" s="51"/>
    </row>
    <row r="191">
      <c r="D191" s="51"/>
    </row>
    <row r="192">
      <c r="D192" s="51"/>
    </row>
    <row r="193">
      <c r="D193" s="51"/>
    </row>
    <row r="194">
      <c r="D194" s="51"/>
    </row>
    <row r="195">
      <c r="D195" s="51"/>
    </row>
    <row r="196">
      <c r="D196" s="51"/>
    </row>
    <row r="197">
      <c r="D197" s="51"/>
    </row>
    <row r="198">
      <c r="D198" s="51"/>
    </row>
    <row r="199">
      <c r="D199" s="51"/>
    </row>
    <row r="200">
      <c r="D200" s="51"/>
    </row>
    <row r="201">
      <c r="D201" s="51"/>
    </row>
    <row r="202">
      <c r="D202" s="51"/>
    </row>
    <row r="203">
      <c r="D203" s="51"/>
    </row>
    <row r="204">
      <c r="D204" s="51"/>
    </row>
    <row r="205">
      <c r="D205" s="51"/>
    </row>
    <row r="206">
      <c r="D206" s="51"/>
    </row>
    <row r="207">
      <c r="D207" s="51"/>
    </row>
    <row r="208">
      <c r="D208" s="51"/>
    </row>
    <row r="209">
      <c r="D209" s="51"/>
    </row>
    <row r="210">
      <c r="D210" s="51"/>
    </row>
    <row r="211">
      <c r="D211" s="51"/>
    </row>
    <row r="212">
      <c r="D212" s="51"/>
    </row>
    <row r="213">
      <c r="D213" s="51"/>
    </row>
    <row r="214">
      <c r="D214" s="51"/>
    </row>
    <row r="215">
      <c r="D215" s="51"/>
    </row>
    <row r="216">
      <c r="D216" s="51"/>
    </row>
    <row r="217">
      <c r="D217" s="51"/>
    </row>
    <row r="218">
      <c r="D218" s="51"/>
    </row>
    <row r="219">
      <c r="D219" s="51"/>
    </row>
    <row r="220">
      <c r="D220" s="51"/>
    </row>
    <row r="221">
      <c r="D221" s="51"/>
    </row>
    <row r="222">
      <c r="D222" s="51"/>
    </row>
    <row r="223">
      <c r="D223" s="51"/>
    </row>
    <row r="224">
      <c r="D224" s="51"/>
    </row>
    <row r="225">
      <c r="D225" s="51"/>
    </row>
    <row r="226">
      <c r="D226" s="51"/>
    </row>
    <row r="227">
      <c r="D227" s="51"/>
    </row>
    <row r="228">
      <c r="D228" s="51"/>
    </row>
    <row r="229">
      <c r="D229" s="51"/>
    </row>
    <row r="230">
      <c r="D230" s="51"/>
    </row>
    <row r="231">
      <c r="D231" s="51"/>
    </row>
    <row r="232">
      <c r="D232" s="51"/>
    </row>
    <row r="233">
      <c r="D233" s="51"/>
    </row>
    <row r="234">
      <c r="D234" s="51"/>
    </row>
    <row r="235">
      <c r="D235" s="51"/>
    </row>
    <row r="236">
      <c r="D236" s="51"/>
    </row>
    <row r="237">
      <c r="D237" s="51"/>
    </row>
    <row r="238">
      <c r="D238" s="51"/>
    </row>
    <row r="239">
      <c r="D239" s="51"/>
    </row>
    <row r="240">
      <c r="D240" s="51"/>
    </row>
    <row r="241">
      <c r="D241" s="51"/>
    </row>
    <row r="242">
      <c r="D242" s="51"/>
    </row>
    <row r="243">
      <c r="D243" s="51"/>
    </row>
    <row r="244">
      <c r="D244" s="51"/>
    </row>
    <row r="245">
      <c r="D245" s="51"/>
    </row>
    <row r="246">
      <c r="D246" s="51"/>
    </row>
    <row r="247">
      <c r="D247" s="51"/>
    </row>
    <row r="248">
      <c r="D248" s="51"/>
    </row>
    <row r="249">
      <c r="D249" s="51"/>
    </row>
    <row r="250">
      <c r="D250" s="51"/>
    </row>
    <row r="251">
      <c r="D251" s="51"/>
    </row>
    <row r="252">
      <c r="D252" s="51"/>
    </row>
    <row r="253">
      <c r="D253" s="51"/>
    </row>
    <row r="254">
      <c r="D254" s="51"/>
    </row>
    <row r="255">
      <c r="D255" s="51"/>
    </row>
    <row r="256">
      <c r="D256" s="51"/>
    </row>
    <row r="257">
      <c r="D257" s="51"/>
    </row>
    <row r="258">
      <c r="D258" s="51"/>
    </row>
    <row r="259">
      <c r="D259" s="51"/>
    </row>
    <row r="260">
      <c r="D260" s="51"/>
    </row>
    <row r="261">
      <c r="D261" s="51"/>
    </row>
    <row r="262">
      <c r="D262" s="51"/>
    </row>
    <row r="263">
      <c r="D263" s="51"/>
    </row>
    <row r="264">
      <c r="D264" s="51"/>
    </row>
    <row r="265">
      <c r="D265" s="51"/>
    </row>
    <row r="266">
      <c r="D266" s="51"/>
    </row>
    <row r="267">
      <c r="D267" s="51"/>
    </row>
    <row r="268">
      <c r="D268" s="51"/>
    </row>
    <row r="269">
      <c r="D269" s="51"/>
    </row>
    <row r="270">
      <c r="D270" s="51"/>
    </row>
    <row r="271">
      <c r="D271" s="51"/>
    </row>
    <row r="272">
      <c r="D272" s="51"/>
    </row>
    <row r="273">
      <c r="D273" s="51"/>
    </row>
    <row r="274">
      <c r="D274" s="51"/>
    </row>
    <row r="275">
      <c r="D275" s="51"/>
    </row>
    <row r="276">
      <c r="D276" s="51"/>
    </row>
    <row r="277">
      <c r="D277" s="51"/>
    </row>
    <row r="278">
      <c r="D278" s="51"/>
    </row>
    <row r="279">
      <c r="D279" s="51"/>
    </row>
    <row r="280">
      <c r="D280" s="51"/>
    </row>
    <row r="281">
      <c r="D281" s="51"/>
    </row>
    <row r="282">
      <c r="D282" s="51"/>
    </row>
    <row r="283">
      <c r="D283" s="51"/>
    </row>
    <row r="284">
      <c r="D284" s="51"/>
    </row>
    <row r="285">
      <c r="D285" s="51"/>
    </row>
    <row r="286">
      <c r="D286" s="51"/>
    </row>
    <row r="287">
      <c r="D287" s="51"/>
    </row>
    <row r="288">
      <c r="D288" s="51"/>
    </row>
    <row r="289">
      <c r="D289" s="51"/>
    </row>
    <row r="290">
      <c r="D290" s="51"/>
    </row>
    <row r="291">
      <c r="D291" s="51"/>
    </row>
    <row r="292">
      <c r="D292" s="51"/>
    </row>
    <row r="293">
      <c r="D293" s="51"/>
    </row>
    <row r="294">
      <c r="D294" s="51"/>
    </row>
    <row r="295">
      <c r="D295" s="51"/>
    </row>
    <row r="296">
      <c r="D296" s="51"/>
    </row>
    <row r="297">
      <c r="D297" s="51"/>
    </row>
    <row r="298">
      <c r="D298" s="51"/>
    </row>
    <row r="299">
      <c r="D299" s="51"/>
    </row>
    <row r="300">
      <c r="D300" s="51"/>
    </row>
    <row r="301">
      <c r="D301" s="51"/>
    </row>
    <row r="302">
      <c r="D302" s="51"/>
    </row>
    <row r="303">
      <c r="D303" s="51"/>
    </row>
    <row r="304">
      <c r="D304" s="51"/>
    </row>
    <row r="305">
      <c r="D305" s="51"/>
    </row>
    <row r="306">
      <c r="D306" s="51"/>
    </row>
    <row r="307">
      <c r="D307" s="51"/>
    </row>
    <row r="308">
      <c r="D308" s="51"/>
    </row>
    <row r="309">
      <c r="D309" s="51"/>
    </row>
    <row r="310">
      <c r="D310" s="51"/>
    </row>
    <row r="311">
      <c r="D311" s="51"/>
    </row>
    <row r="312">
      <c r="D312" s="51"/>
    </row>
    <row r="313">
      <c r="D313" s="51"/>
    </row>
    <row r="314">
      <c r="D314" s="51"/>
    </row>
    <row r="315">
      <c r="D315" s="51"/>
    </row>
    <row r="316">
      <c r="D316" s="51"/>
    </row>
    <row r="317">
      <c r="D317" s="51"/>
    </row>
    <row r="318">
      <c r="D318" s="51"/>
    </row>
    <row r="319">
      <c r="D319" s="51"/>
    </row>
    <row r="320">
      <c r="D320" s="51"/>
    </row>
    <row r="321">
      <c r="D321" s="51"/>
    </row>
    <row r="322">
      <c r="D322" s="51"/>
    </row>
    <row r="323">
      <c r="D323" s="51"/>
    </row>
    <row r="324">
      <c r="D324" s="51"/>
    </row>
    <row r="325">
      <c r="D325" s="51"/>
    </row>
    <row r="326">
      <c r="D326" s="51"/>
    </row>
    <row r="327">
      <c r="D327" s="51"/>
    </row>
    <row r="328">
      <c r="D328" s="51"/>
    </row>
    <row r="329">
      <c r="D329" s="51"/>
    </row>
    <row r="330">
      <c r="D330" s="51"/>
    </row>
    <row r="331">
      <c r="D331" s="51"/>
    </row>
    <row r="332">
      <c r="D332" s="51"/>
    </row>
    <row r="333">
      <c r="D333" s="51"/>
    </row>
    <row r="334">
      <c r="D334" s="51"/>
    </row>
    <row r="335">
      <c r="D335" s="51"/>
    </row>
    <row r="336">
      <c r="D336" s="51"/>
    </row>
    <row r="337">
      <c r="D337" s="51"/>
    </row>
    <row r="338">
      <c r="D338" s="51"/>
    </row>
    <row r="339">
      <c r="D339" s="51"/>
    </row>
    <row r="340">
      <c r="D340" s="51"/>
    </row>
    <row r="341">
      <c r="D341" s="51"/>
    </row>
    <row r="342">
      <c r="D342" s="51"/>
    </row>
    <row r="343">
      <c r="D343" s="51"/>
    </row>
    <row r="344">
      <c r="D344" s="51"/>
    </row>
    <row r="345">
      <c r="D345" s="51"/>
    </row>
    <row r="346">
      <c r="D346" s="51"/>
    </row>
    <row r="347">
      <c r="D347" s="51"/>
    </row>
    <row r="348">
      <c r="D348" s="51"/>
    </row>
    <row r="349">
      <c r="D349" s="51"/>
    </row>
    <row r="350">
      <c r="D350" s="51"/>
    </row>
    <row r="351">
      <c r="D351" s="51"/>
    </row>
    <row r="352">
      <c r="D352" s="51"/>
    </row>
    <row r="353">
      <c r="D353" s="51"/>
    </row>
    <row r="354">
      <c r="D354" s="51"/>
    </row>
    <row r="355">
      <c r="D355" s="51"/>
    </row>
    <row r="356">
      <c r="D356" s="51"/>
    </row>
    <row r="357">
      <c r="D357" s="51"/>
    </row>
    <row r="358">
      <c r="D358" s="51"/>
    </row>
    <row r="359">
      <c r="D359" s="51"/>
    </row>
    <row r="360">
      <c r="D360" s="51"/>
    </row>
    <row r="361">
      <c r="D361" s="51"/>
    </row>
    <row r="362">
      <c r="D362" s="51"/>
    </row>
    <row r="363">
      <c r="D363" s="51"/>
    </row>
    <row r="364">
      <c r="D364" s="51"/>
    </row>
    <row r="365">
      <c r="D365" s="51"/>
    </row>
    <row r="366">
      <c r="D366" s="51"/>
    </row>
    <row r="367">
      <c r="D367" s="51"/>
    </row>
    <row r="368">
      <c r="D368" s="51"/>
    </row>
    <row r="369">
      <c r="D369" s="51"/>
    </row>
    <row r="370">
      <c r="D370" s="51"/>
    </row>
    <row r="371">
      <c r="D371" s="51"/>
    </row>
    <row r="372">
      <c r="D372" s="51"/>
    </row>
    <row r="373">
      <c r="D373" s="51"/>
    </row>
    <row r="374">
      <c r="D374" s="51"/>
    </row>
    <row r="375">
      <c r="D375" s="51"/>
    </row>
    <row r="376">
      <c r="D376" s="51"/>
    </row>
    <row r="377">
      <c r="D377" s="51"/>
    </row>
    <row r="378">
      <c r="D378" s="51"/>
    </row>
    <row r="379">
      <c r="D379" s="51"/>
    </row>
    <row r="380">
      <c r="D380" s="51"/>
    </row>
    <row r="381">
      <c r="D381" s="51"/>
    </row>
    <row r="382">
      <c r="D382" s="51"/>
    </row>
    <row r="383">
      <c r="D383" s="51"/>
    </row>
    <row r="384">
      <c r="D384" s="51"/>
    </row>
    <row r="385">
      <c r="D385" s="51"/>
    </row>
    <row r="386">
      <c r="D386" s="51"/>
    </row>
    <row r="387">
      <c r="D387" s="51"/>
    </row>
    <row r="388">
      <c r="D388" s="51"/>
    </row>
    <row r="389">
      <c r="D389" s="51"/>
    </row>
    <row r="390">
      <c r="D390" s="51"/>
    </row>
    <row r="391">
      <c r="D391" s="51"/>
    </row>
    <row r="392">
      <c r="D392" s="51"/>
    </row>
    <row r="393">
      <c r="D393" s="51"/>
    </row>
    <row r="394">
      <c r="D394" s="51"/>
    </row>
    <row r="395">
      <c r="D395" s="51"/>
    </row>
    <row r="396">
      <c r="D396" s="51"/>
    </row>
    <row r="397">
      <c r="D397" s="51"/>
    </row>
    <row r="398">
      <c r="D398" s="51"/>
    </row>
    <row r="399">
      <c r="D399" s="51"/>
    </row>
    <row r="400">
      <c r="D400" s="51"/>
    </row>
    <row r="401">
      <c r="D401" s="51"/>
    </row>
    <row r="402">
      <c r="D402" s="51"/>
    </row>
    <row r="403">
      <c r="D403" s="51"/>
    </row>
    <row r="404">
      <c r="D404" s="51"/>
    </row>
    <row r="405">
      <c r="D405" s="51"/>
    </row>
    <row r="406">
      <c r="D406" s="51"/>
    </row>
    <row r="407">
      <c r="D407" s="51"/>
    </row>
    <row r="408">
      <c r="D408" s="51"/>
    </row>
    <row r="409">
      <c r="D409" s="51"/>
    </row>
    <row r="410">
      <c r="D410" s="51"/>
    </row>
    <row r="411">
      <c r="D411" s="51"/>
    </row>
    <row r="412">
      <c r="D412" s="51"/>
    </row>
    <row r="413">
      <c r="D413" s="51"/>
    </row>
    <row r="414">
      <c r="D414" s="51"/>
    </row>
    <row r="415">
      <c r="D415" s="51"/>
    </row>
    <row r="416">
      <c r="D416" s="51"/>
    </row>
    <row r="417">
      <c r="D417" s="51"/>
    </row>
    <row r="418">
      <c r="D418" s="51"/>
    </row>
    <row r="419">
      <c r="D419" s="51"/>
    </row>
    <row r="420">
      <c r="D420" s="51"/>
    </row>
    <row r="421">
      <c r="D421" s="51"/>
    </row>
    <row r="422">
      <c r="D422" s="51"/>
    </row>
    <row r="423">
      <c r="D423" s="51"/>
    </row>
    <row r="424">
      <c r="D424" s="51"/>
    </row>
    <row r="425">
      <c r="D425" s="51"/>
    </row>
    <row r="426">
      <c r="D426" s="51"/>
    </row>
    <row r="427">
      <c r="D427" s="51"/>
    </row>
    <row r="428">
      <c r="D428" s="51"/>
    </row>
    <row r="429">
      <c r="D429" s="51"/>
    </row>
    <row r="430">
      <c r="D430" s="51"/>
    </row>
    <row r="431">
      <c r="D431" s="51"/>
    </row>
    <row r="432">
      <c r="D432" s="51"/>
    </row>
    <row r="433">
      <c r="D433" s="51"/>
    </row>
    <row r="434">
      <c r="D434" s="51"/>
    </row>
    <row r="435">
      <c r="D435" s="51"/>
    </row>
    <row r="436">
      <c r="D436" s="51"/>
    </row>
    <row r="437">
      <c r="D437" s="51"/>
    </row>
    <row r="438">
      <c r="D438" s="51"/>
    </row>
    <row r="439">
      <c r="D439" s="51"/>
    </row>
    <row r="440">
      <c r="D440" s="51"/>
    </row>
    <row r="441">
      <c r="D441" s="51"/>
    </row>
    <row r="442">
      <c r="D442" s="51"/>
    </row>
    <row r="443">
      <c r="D443" s="51"/>
    </row>
    <row r="444">
      <c r="D444" s="51"/>
    </row>
    <row r="445">
      <c r="D445" s="51"/>
    </row>
    <row r="446">
      <c r="D446" s="51"/>
    </row>
    <row r="447">
      <c r="D447" s="51"/>
    </row>
    <row r="448">
      <c r="D448" s="51"/>
    </row>
    <row r="449">
      <c r="D449" s="51"/>
    </row>
    <row r="450">
      <c r="D450" s="51"/>
    </row>
    <row r="451">
      <c r="D451" s="51"/>
    </row>
    <row r="452">
      <c r="D452" s="51"/>
    </row>
    <row r="453">
      <c r="D453" s="51"/>
    </row>
    <row r="454">
      <c r="D454" s="51"/>
    </row>
    <row r="455">
      <c r="D455" s="51"/>
    </row>
    <row r="456">
      <c r="D456" s="51"/>
    </row>
    <row r="457">
      <c r="D457" s="51"/>
    </row>
    <row r="458">
      <c r="D458" s="51"/>
    </row>
    <row r="459">
      <c r="D459" s="51"/>
    </row>
    <row r="460">
      <c r="D460" s="51"/>
    </row>
    <row r="461">
      <c r="D461" s="51"/>
    </row>
    <row r="462">
      <c r="D462" s="51"/>
    </row>
    <row r="463">
      <c r="D463" s="51"/>
    </row>
    <row r="464">
      <c r="D464" s="51"/>
    </row>
    <row r="465">
      <c r="D465" s="51"/>
    </row>
    <row r="466">
      <c r="D466" s="51"/>
    </row>
    <row r="467">
      <c r="D467" s="51"/>
    </row>
    <row r="468">
      <c r="D468" s="51"/>
    </row>
    <row r="469">
      <c r="D469" s="51"/>
    </row>
    <row r="470">
      <c r="D470" s="51"/>
    </row>
    <row r="471">
      <c r="D471" s="51"/>
    </row>
    <row r="472">
      <c r="D472" s="51"/>
    </row>
    <row r="473">
      <c r="D473" s="51"/>
    </row>
    <row r="474">
      <c r="D474" s="51"/>
    </row>
    <row r="475">
      <c r="D475" s="51"/>
    </row>
    <row r="476">
      <c r="D476" s="51"/>
    </row>
    <row r="477">
      <c r="D477" s="51"/>
    </row>
    <row r="478">
      <c r="D478" s="51"/>
    </row>
    <row r="479">
      <c r="D479" s="51"/>
    </row>
    <row r="480">
      <c r="D480" s="51"/>
    </row>
    <row r="481">
      <c r="D481" s="51"/>
    </row>
    <row r="482">
      <c r="D482" s="51"/>
    </row>
    <row r="483">
      <c r="D483" s="51"/>
    </row>
    <row r="484">
      <c r="D484" s="51"/>
    </row>
    <row r="485">
      <c r="D485" s="51"/>
    </row>
    <row r="486">
      <c r="D486" s="51"/>
    </row>
    <row r="487">
      <c r="D487" s="51"/>
    </row>
    <row r="488">
      <c r="D488" s="51"/>
    </row>
    <row r="489">
      <c r="D489" s="51"/>
    </row>
    <row r="490">
      <c r="D490" s="51"/>
    </row>
    <row r="491">
      <c r="D491" s="51"/>
    </row>
    <row r="492">
      <c r="D492" s="51"/>
    </row>
    <row r="493">
      <c r="D493" s="51"/>
    </row>
    <row r="494">
      <c r="D494" s="51"/>
    </row>
    <row r="495">
      <c r="D495" s="51"/>
    </row>
    <row r="496">
      <c r="D496" s="51"/>
    </row>
    <row r="497">
      <c r="D497" s="51"/>
    </row>
    <row r="498">
      <c r="D498" s="51"/>
    </row>
    <row r="499">
      <c r="D499" s="51"/>
    </row>
    <row r="500">
      <c r="D500" s="51"/>
    </row>
    <row r="501">
      <c r="D501" s="51"/>
    </row>
    <row r="502">
      <c r="D502" s="51"/>
    </row>
    <row r="503">
      <c r="D503" s="51"/>
    </row>
    <row r="504">
      <c r="D504" s="51"/>
    </row>
    <row r="505">
      <c r="D505" s="51"/>
    </row>
    <row r="506">
      <c r="D506" s="51"/>
    </row>
    <row r="507">
      <c r="D507" s="51"/>
    </row>
    <row r="508">
      <c r="D508" s="51"/>
    </row>
    <row r="509">
      <c r="D509" s="51"/>
    </row>
    <row r="510">
      <c r="D510" s="51"/>
    </row>
    <row r="511">
      <c r="D511" s="51"/>
    </row>
    <row r="512">
      <c r="D512" s="51"/>
    </row>
    <row r="513">
      <c r="D513" s="51"/>
    </row>
    <row r="514">
      <c r="D514" s="51"/>
    </row>
    <row r="515">
      <c r="D515" s="51"/>
    </row>
    <row r="516">
      <c r="D516" s="51"/>
    </row>
    <row r="517">
      <c r="D517" s="51"/>
    </row>
    <row r="518">
      <c r="D518" s="51"/>
    </row>
    <row r="519">
      <c r="D519" s="51"/>
    </row>
    <row r="520">
      <c r="D520" s="51"/>
    </row>
    <row r="521">
      <c r="D521" s="51"/>
    </row>
    <row r="522">
      <c r="D522" s="51"/>
    </row>
    <row r="523">
      <c r="D523" s="51"/>
    </row>
    <row r="524">
      <c r="D524" s="51"/>
    </row>
    <row r="525">
      <c r="D525" s="51"/>
    </row>
    <row r="526">
      <c r="D526" s="51"/>
    </row>
    <row r="527">
      <c r="D527" s="51"/>
    </row>
    <row r="528">
      <c r="D528" s="51"/>
    </row>
    <row r="529">
      <c r="D529" s="51"/>
    </row>
    <row r="530">
      <c r="D530" s="51"/>
    </row>
    <row r="531">
      <c r="D531" s="51"/>
    </row>
    <row r="532">
      <c r="D532" s="51"/>
    </row>
    <row r="533">
      <c r="D533" s="51"/>
    </row>
    <row r="534">
      <c r="D534" s="51"/>
    </row>
    <row r="535">
      <c r="D535" s="51"/>
    </row>
    <row r="536">
      <c r="D536" s="51"/>
    </row>
    <row r="537">
      <c r="D537" s="51"/>
    </row>
    <row r="538">
      <c r="D538" s="51"/>
    </row>
    <row r="539">
      <c r="D539" s="51"/>
    </row>
    <row r="540">
      <c r="D540" s="51"/>
    </row>
    <row r="541">
      <c r="D541" s="51"/>
    </row>
    <row r="542">
      <c r="D542" s="51"/>
    </row>
    <row r="543">
      <c r="D543" s="51"/>
    </row>
    <row r="544">
      <c r="D544" s="51"/>
    </row>
    <row r="545">
      <c r="D545" s="51"/>
    </row>
    <row r="546">
      <c r="D546" s="51"/>
    </row>
    <row r="547">
      <c r="D547" s="51"/>
    </row>
    <row r="548">
      <c r="D548" s="51"/>
    </row>
    <row r="549">
      <c r="D549" s="51"/>
    </row>
    <row r="550">
      <c r="D550" s="51"/>
    </row>
    <row r="551">
      <c r="D551" s="51"/>
    </row>
    <row r="552">
      <c r="D552" s="51"/>
    </row>
    <row r="553">
      <c r="D553" s="51"/>
    </row>
    <row r="554">
      <c r="D554" s="51"/>
    </row>
    <row r="555">
      <c r="D555" s="51"/>
    </row>
    <row r="556">
      <c r="D556" s="51"/>
    </row>
    <row r="557">
      <c r="D557" s="51"/>
    </row>
    <row r="558">
      <c r="D558" s="51"/>
    </row>
    <row r="559">
      <c r="D559" s="51"/>
    </row>
    <row r="560">
      <c r="D560" s="51"/>
    </row>
    <row r="561">
      <c r="D561" s="51"/>
    </row>
    <row r="562">
      <c r="D562" s="51"/>
    </row>
    <row r="563">
      <c r="D563" s="51"/>
    </row>
    <row r="564">
      <c r="D564" s="51"/>
    </row>
    <row r="565">
      <c r="D565" s="51"/>
    </row>
    <row r="566">
      <c r="D566" s="51"/>
    </row>
    <row r="567">
      <c r="D567" s="51"/>
    </row>
    <row r="568">
      <c r="D568" s="51"/>
    </row>
    <row r="569">
      <c r="D569" s="51"/>
    </row>
    <row r="570">
      <c r="D570" s="51"/>
    </row>
    <row r="571">
      <c r="D571" s="51"/>
    </row>
    <row r="572">
      <c r="D572" s="51"/>
    </row>
    <row r="573">
      <c r="D573" s="51"/>
    </row>
    <row r="574">
      <c r="D574" s="51"/>
    </row>
    <row r="575">
      <c r="D575" s="51"/>
    </row>
    <row r="576">
      <c r="D576" s="51"/>
    </row>
    <row r="577">
      <c r="D577" s="51"/>
    </row>
    <row r="578">
      <c r="D578" s="51"/>
    </row>
    <row r="579">
      <c r="D579" s="51"/>
    </row>
    <row r="580">
      <c r="D580" s="51"/>
    </row>
    <row r="581">
      <c r="D581" s="51"/>
    </row>
    <row r="582">
      <c r="D582" s="51"/>
    </row>
    <row r="583">
      <c r="D583" s="51"/>
    </row>
    <row r="584">
      <c r="D584" s="51"/>
    </row>
    <row r="585">
      <c r="D585" s="51"/>
    </row>
    <row r="586">
      <c r="D586" s="51"/>
    </row>
    <row r="587">
      <c r="D587" s="51"/>
    </row>
    <row r="588">
      <c r="D588" s="51"/>
    </row>
    <row r="589">
      <c r="D589" s="51"/>
    </row>
    <row r="590">
      <c r="D590" s="51"/>
    </row>
    <row r="591">
      <c r="D591" s="51"/>
    </row>
    <row r="592">
      <c r="D592" s="51"/>
    </row>
    <row r="593">
      <c r="D593" s="51"/>
    </row>
    <row r="594">
      <c r="D594" s="51"/>
    </row>
    <row r="595">
      <c r="D595" s="51"/>
    </row>
    <row r="596">
      <c r="D596" s="51"/>
    </row>
    <row r="597">
      <c r="D597" s="51"/>
    </row>
    <row r="598">
      <c r="D598" s="51"/>
    </row>
    <row r="599">
      <c r="D599" s="51"/>
    </row>
    <row r="600">
      <c r="D600" s="51"/>
    </row>
    <row r="601">
      <c r="D601" s="51"/>
    </row>
    <row r="602">
      <c r="D602" s="51"/>
    </row>
    <row r="603">
      <c r="D603" s="51"/>
    </row>
    <row r="604">
      <c r="D604" s="51"/>
    </row>
    <row r="605">
      <c r="D605" s="51"/>
    </row>
    <row r="606">
      <c r="D606" s="51"/>
    </row>
    <row r="607">
      <c r="D607" s="51"/>
    </row>
    <row r="608">
      <c r="D608" s="51"/>
    </row>
    <row r="609">
      <c r="D609" s="51"/>
    </row>
    <row r="610">
      <c r="D610" s="51"/>
    </row>
    <row r="611">
      <c r="D611" s="51"/>
    </row>
    <row r="612">
      <c r="D612" s="51"/>
    </row>
    <row r="613">
      <c r="D613" s="51"/>
    </row>
    <row r="614">
      <c r="D614" s="51"/>
    </row>
    <row r="615">
      <c r="D615" s="51"/>
    </row>
    <row r="616">
      <c r="D616" s="51"/>
    </row>
    <row r="617">
      <c r="D617" s="51"/>
    </row>
    <row r="618">
      <c r="D618" s="51"/>
    </row>
    <row r="619">
      <c r="D619" s="51"/>
    </row>
    <row r="620">
      <c r="D620" s="51"/>
    </row>
    <row r="621">
      <c r="D621" s="51"/>
    </row>
    <row r="622">
      <c r="D622" s="51"/>
    </row>
    <row r="623">
      <c r="D623" s="51"/>
    </row>
    <row r="624">
      <c r="D624" s="51"/>
    </row>
    <row r="625">
      <c r="D625" s="51"/>
    </row>
    <row r="626">
      <c r="D626" s="51"/>
    </row>
    <row r="627">
      <c r="D627" s="51"/>
    </row>
    <row r="628">
      <c r="D628" s="51"/>
    </row>
    <row r="629">
      <c r="D629" s="51"/>
    </row>
    <row r="630">
      <c r="D630" s="51"/>
    </row>
    <row r="631">
      <c r="D631" s="51"/>
    </row>
    <row r="632">
      <c r="D632" s="51"/>
    </row>
    <row r="633">
      <c r="D633" s="51"/>
    </row>
    <row r="634">
      <c r="D634" s="51"/>
    </row>
    <row r="635">
      <c r="D635" s="51"/>
    </row>
    <row r="636">
      <c r="D636" s="51"/>
    </row>
    <row r="637">
      <c r="D637" s="51"/>
    </row>
    <row r="638">
      <c r="D638" s="51"/>
    </row>
    <row r="639">
      <c r="D639" s="51"/>
    </row>
    <row r="640">
      <c r="D640" s="51"/>
    </row>
    <row r="641">
      <c r="D641" s="51"/>
    </row>
    <row r="642">
      <c r="D642" s="51"/>
    </row>
    <row r="643">
      <c r="D643" s="51"/>
    </row>
    <row r="644">
      <c r="D644" s="51"/>
    </row>
    <row r="645">
      <c r="D645" s="51"/>
    </row>
    <row r="646">
      <c r="D646" s="51"/>
    </row>
    <row r="647">
      <c r="D647" s="51"/>
    </row>
    <row r="648">
      <c r="D648" s="51"/>
    </row>
    <row r="649">
      <c r="D649" s="51"/>
    </row>
    <row r="650">
      <c r="D650" s="51"/>
    </row>
    <row r="651">
      <c r="D651" s="51"/>
    </row>
    <row r="652">
      <c r="D652" s="51"/>
    </row>
    <row r="653">
      <c r="D653" s="51"/>
    </row>
    <row r="654">
      <c r="D654" s="51"/>
    </row>
    <row r="655">
      <c r="D655" s="51"/>
    </row>
    <row r="656">
      <c r="D656" s="51"/>
    </row>
    <row r="657">
      <c r="D657" s="51"/>
    </row>
    <row r="658">
      <c r="D658" s="51"/>
    </row>
    <row r="659">
      <c r="D659" s="51"/>
    </row>
    <row r="660">
      <c r="D660" s="51"/>
    </row>
    <row r="661">
      <c r="D661" s="51"/>
    </row>
    <row r="662">
      <c r="D662" s="51"/>
    </row>
    <row r="663">
      <c r="D663" s="51"/>
    </row>
    <row r="664">
      <c r="D664" s="51"/>
    </row>
    <row r="665">
      <c r="D665" s="51"/>
    </row>
    <row r="666">
      <c r="D666" s="51"/>
    </row>
    <row r="667">
      <c r="D667" s="51"/>
    </row>
    <row r="668">
      <c r="D668" s="51"/>
    </row>
    <row r="669">
      <c r="D669" s="51"/>
    </row>
    <row r="670">
      <c r="D670" s="51"/>
    </row>
    <row r="671">
      <c r="D671" s="51"/>
    </row>
    <row r="672">
      <c r="D672" s="51"/>
    </row>
    <row r="673">
      <c r="D673" s="51"/>
    </row>
    <row r="674">
      <c r="D674" s="51"/>
    </row>
    <row r="675">
      <c r="D675" s="51"/>
    </row>
    <row r="676">
      <c r="D676" s="51"/>
    </row>
    <row r="677">
      <c r="D677" s="51"/>
    </row>
    <row r="678">
      <c r="D678" s="51"/>
    </row>
    <row r="679">
      <c r="D679" s="51"/>
    </row>
    <row r="680">
      <c r="D680" s="51"/>
    </row>
    <row r="681">
      <c r="D681" s="51"/>
    </row>
    <row r="682">
      <c r="D682" s="51"/>
    </row>
    <row r="683">
      <c r="D683" s="51"/>
    </row>
    <row r="684">
      <c r="D684" s="51"/>
    </row>
    <row r="685">
      <c r="D685" s="51"/>
    </row>
    <row r="686">
      <c r="D686" s="51"/>
    </row>
    <row r="687">
      <c r="D687" s="51"/>
    </row>
    <row r="688">
      <c r="D688" s="51"/>
    </row>
    <row r="689">
      <c r="D689" s="51"/>
    </row>
    <row r="690">
      <c r="D690" s="51"/>
    </row>
    <row r="691">
      <c r="D691" s="51"/>
    </row>
    <row r="692">
      <c r="D692" s="51"/>
    </row>
    <row r="693">
      <c r="D693" s="51"/>
    </row>
    <row r="694">
      <c r="D694" s="51"/>
    </row>
    <row r="695">
      <c r="D695" s="51"/>
    </row>
    <row r="696">
      <c r="D696" s="51"/>
    </row>
    <row r="697">
      <c r="D697" s="51"/>
    </row>
    <row r="698">
      <c r="D698" s="51"/>
    </row>
    <row r="699">
      <c r="D699" s="51"/>
    </row>
    <row r="700">
      <c r="D700" s="51"/>
    </row>
    <row r="701">
      <c r="D701" s="51"/>
    </row>
    <row r="702">
      <c r="D702" s="51"/>
    </row>
    <row r="703">
      <c r="D703" s="51"/>
    </row>
    <row r="704">
      <c r="D704" s="51"/>
    </row>
    <row r="705">
      <c r="D705" s="51"/>
    </row>
    <row r="706">
      <c r="D706" s="51"/>
    </row>
    <row r="707">
      <c r="D707" s="51"/>
    </row>
    <row r="708">
      <c r="D708" s="51"/>
    </row>
    <row r="709">
      <c r="D709" s="51"/>
    </row>
    <row r="710">
      <c r="D710" s="51"/>
    </row>
    <row r="711">
      <c r="D711" s="51"/>
    </row>
    <row r="712">
      <c r="D712" s="51"/>
    </row>
    <row r="713">
      <c r="D713" s="51"/>
    </row>
    <row r="714">
      <c r="D714" s="51"/>
    </row>
    <row r="715">
      <c r="D715" s="51"/>
    </row>
    <row r="716">
      <c r="D716" s="51"/>
    </row>
    <row r="717">
      <c r="D717" s="51"/>
    </row>
    <row r="718">
      <c r="D718" s="51"/>
    </row>
    <row r="719">
      <c r="D719" s="51"/>
    </row>
    <row r="720">
      <c r="D720" s="51"/>
    </row>
    <row r="721">
      <c r="D721" s="51"/>
    </row>
    <row r="722">
      <c r="D722" s="51"/>
    </row>
    <row r="723">
      <c r="D723" s="51"/>
    </row>
    <row r="724">
      <c r="D724" s="51"/>
    </row>
    <row r="725">
      <c r="D725" s="51"/>
    </row>
    <row r="726">
      <c r="D726" s="51"/>
    </row>
    <row r="727">
      <c r="D727" s="51"/>
    </row>
    <row r="728">
      <c r="D728" s="51"/>
    </row>
    <row r="729">
      <c r="D729" s="51"/>
    </row>
    <row r="730">
      <c r="D730" s="51"/>
    </row>
    <row r="731">
      <c r="D731" s="51"/>
    </row>
    <row r="732">
      <c r="D732" s="51"/>
    </row>
    <row r="733">
      <c r="D733" s="51"/>
    </row>
    <row r="734">
      <c r="D734" s="51"/>
    </row>
    <row r="735">
      <c r="D735" s="51"/>
    </row>
    <row r="736">
      <c r="D736" s="51"/>
    </row>
    <row r="737">
      <c r="D737" s="51"/>
    </row>
    <row r="738">
      <c r="D738" s="51"/>
    </row>
    <row r="739">
      <c r="D739" s="51"/>
    </row>
    <row r="740">
      <c r="D740" s="51"/>
    </row>
    <row r="741">
      <c r="D741" s="51"/>
    </row>
    <row r="742">
      <c r="D742" s="51"/>
    </row>
    <row r="743">
      <c r="D743" s="51"/>
    </row>
    <row r="744">
      <c r="D744" s="51"/>
    </row>
    <row r="745">
      <c r="D745" s="51"/>
    </row>
    <row r="746">
      <c r="D746" s="51"/>
    </row>
    <row r="747">
      <c r="D747" s="51"/>
    </row>
    <row r="748">
      <c r="D748" s="51"/>
    </row>
    <row r="749">
      <c r="D749" s="51"/>
    </row>
    <row r="750">
      <c r="D750" s="51"/>
    </row>
    <row r="751">
      <c r="D751" s="51"/>
    </row>
    <row r="752">
      <c r="D752" s="51"/>
    </row>
    <row r="753">
      <c r="D753" s="51"/>
    </row>
    <row r="754">
      <c r="D754" s="51"/>
    </row>
    <row r="755">
      <c r="D755" s="51"/>
    </row>
    <row r="756">
      <c r="D756" s="51"/>
    </row>
    <row r="757">
      <c r="D757" s="51"/>
    </row>
    <row r="758">
      <c r="D758" s="51"/>
    </row>
    <row r="759">
      <c r="D759" s="51"/>
    </row>
    <row r="760">
      <c r="D760" s="51"/>
    </row>
    <row r="761">
      <c r="D761" s="51"/>
    </row>
    <row r="762">
      <c r="D762" s="51"/>
    </row>
    <row r="763">
      <c r="D763" s="51"/>
    </row>
    <row r="764">
      <c r="D764" s="51"/>
    </row>
    <row r="765">
      <c r="D765" s="51"/>
    </row>
    <row r="766">
      <c r="D766" s="51"/>
    </row>
    <row r="767">
      <c r="D767" s="51"/>
    </row>
    <row r="768">
      <c r="D768" s="51"/>
    </row>
    <row r="769">
      <c r="D769" s="51"/>
    </row>
    <row r="770">
      <c r="D770" s="51"/>
    </row>
    <row r="771">
      <c r="D771" s="51"/>
    </row>
    <row r="772">
      <c r="D772" s="51"/>
    </row>
    <row r="773">
      <c r="D773" s="51"/>
    </row>
    <row r="774">
      <c r="D774" s="51"/>
    </row>
    <row r="775">
      <c r="D775" s="51"/>
    </row>
    <row r="776">
      <c r="D776" s="51"/>
    </row>
    <row r="777">
      <c r="D777" s="51"/>
    </row>
    <row r="778">
      <c r="D778" s="51"/>
    </row>
    <row r="779">
      <c r="D779" s="51"/>
    </row>
    <row r="780">
      <c r="D780" s="51"/>
    </row>
    <row r="781">
      <c r="D781" s="51"/>
    </row>
    <row r="782">
      <c r="D782" s="51"/>
    </row>
    <row r="783">
      <c r="D783" s="51"/>
    </row>
    <row r="784">
      <c r="D784" s="51"/>
    </row>
    <row r="785">
      <c r="D785" s="51"/>
    </row>
    <row r="786">
      <c r="D786" s="51"/>
    </row>
    <row r="787">
      <c r="D787" s="51"/>
    </row>
    <row r="788">
      <c r="D788" s="51"/>
    </row>
    <row r="789">
      <c r="D789" s="51"/>
    </row>
    <row r="790">
      <c r="D790" s="51"/>
    </row>
    <row r="791">
      <c r="D791" s="51"/>
    </row>
    <row r="792">
      <c r="D792" s="51"/>
    </row>
    <row r="793">
      <c r="D793" s="51"/>
    </row>
    <row r="794">
      <c r="D794" s="51"/>
    </row>
    <row r="795">
      <c r="D795" s="51"/>
    </row>
    <row r="796">
      <c r="D796" s="51"/>
    </row>
    <row r="797">
      <c r="D797" s="51"/>
    </row>
    <row r="798">
      <c r="D798" s="51"/>
    </row>
    <row r="799">
      <c r="D799" s="51"/>
    </row>
    <row r="800">
      <c r="D800" s="51"/>
    </row>
    <row r="801">
      <c r="D801" s="51"/>
    </row>
    <row r="802">
      <c r="D802" s="51"/>
    </row>
    <row r="803">
      <c r="D803" s="51"/>
    </row>
    <row r="804">
      <c r="D804" s="51"/>
    </row>
    <row r="805">
      <c r="D805" s="51"/>
    </row>
    <row r="806">
      <c r="D806" s="51"/>
    </row>
    <row r="807">
      <c r="D807" s="51"/>
    </row>
    <row r="808">
      <c r="D808" s="51"/>
    </row>
    <row r="809">
      <c r="D809" s="51"/>
    </row>
    <row r="810">
      <c r="D810" s="51"/>
    </row>
    <row r="811">
      <c r="D811" s="51"/>
    </row>
    <row r="812">
      <c r="D812" s="51"/>
    </row>
    <row r="813">
      <c r="D813" s="51"/>
    </row>
    <row r="814">
      <c r="D814" s="51"/>
    </row>
    <row r="815">
      <c r="D815" s="51"/>
    </row>
    <row r="816">
      <c r="D816" s="51"/>
    </row>
    <row r="817">
      <c r="D817" s="51"/>
    </row>
    <row r="818">
      <c r="D818" s="51"/>
    </row>
    <row r="819">
      <c r="D819" s="51"/>
    </row>
    <row r="820">
      <c r="D820" s="51"/>
    </row>
    <row r="821">
      <c r="D821" s="51"/>
    </row>
    <row r="822">
      <c r="D822" s="51"/>
    </row>
    <row r="823">
      <c r="D823" s="51"/>
    </row>
    <row r="824">
      <c r="D824" s="51"/>
    </row>
    <row r="825">
      <c r="D825" s="51"/>
    </row>
    <row r="826">
      <c r="D826" s="51"/>
    </row>
    <row r="827">
      <c r="D827" s="51"/>
    </row>
    <row r="828">
      <c r="D828" s="51"/>
    </row>
    <row r="829">
      <c r="D829" s="51"/>
    </row>
    <row r="830">
      <c r="D830" s="51"/>
    </row>
    <row r="831">
      <c r="D831" s="51"/>
    </row>
    <row r="832">
      <c r="D832" s="51"/>
    </row>
    <row r="833">
      <c r="D833" s="51"/>
    </row>
    <row r="834">
      <c r="D834" s="51"/>
    </row>
    <row r="835">
      <c r="D835" s="51"/>
    </row>
    <row r="836">
      <c r="D836" s="51"/>
    </row>
    <row r="837">
      <c r="D837" s="51"/>
    </row>
    <row r="838">
      <c r="D838" s="51"/>
    </row>
    <row r="839">
      <c r="D839" s="51"/>
    </row>
    <row r="840">
      <c r="D840" s="51"/>
    </row>
    <row r="841">
      <c r="D841" s="51"/>
    </row>
    <row r="842">
      <c r="D842" s="51"/>
    </row>
    <row r="843">
      <c r="D843" s="51"/>
    </row>
    <row r="844">
      <c r="D844" s="51"/>
    </row>
    <row r="845">
      <c r="D845" s="51"/>
    </row>
    <row r="846">
      <c r="D846" s="51"/>
    </row>
    <row r="847">
      <c r="D847" s="51"/>
    </row>
    <row r="848">
      <c r="D848" s="51"/>
    </row>
    <row r="849">
      <c r="D849" s="51"/>
    </row>
    <row r="850">
      <c r="D850" s="51"/>
    </row>
    <row r="851">
      <c r="D851" s="51"/>
    </row>
    <row r="852">
      <c r="D852" s="51"/>
    </row>
    <row r="853">
      <c r="D853" s="51"/>
    </row>
    <row r="854">
      <c r="D854" s="51"/>
    </row>
    <row r="855">
      <c r="D855" s="51"/>
    </row>
    <row r="856">
      <c r="D856" s="51"/>
    </row>
    <row r="857">
      <c r="D857" s="51"/>
    </row>
    <row r="858">
      <c r="D858" s="51"/>
    </row>
    <row r="859">
      <c r="D859" s="51"/>
    </row>
    <row r="860">
      <c r="D860" s="51"/>
    </row>
    <row r="861">
      <c r="D861" s="51"/>
    </row>
    <row r="862">
      <c r="D862" s="51"/>
    </row>
    <row r="863">
      <c r="D863" s="51"/>
    </row>
    <row r="864">
      <c r="D864" s="51"/>
    </row>
    <row r="865">
      <c r="D865" s="51"/>
    </row>
    <row r="866">
      <c r="D866" s="51"/>
    </row>
    <row r="867">
      <c r="D867" s="51"/>
    </row>
    <row r="868">
      <c r="D868" s="51"/>
    </row>
    <row r="869">
      <c r="D869" s="51"/>
    </row>
    <row r="870">
      <c r="D870" s="51"/>
    </row>
    <row r="871">
      <c r="D871" s="51"/>
    </row>
    <row r="872">
      <c r="D872" s="51"/>
    </row>
    <row r="873">
      <c r="D873" s="51"/>
    </row>
    <row r="874">
      <c r="D874" s="51"/>
    </row>
    <row r="875">
      <c r="D875" s="51"/>
    </row>
    <row r="876">
      <c r="D876" s="51"/>
    </row>
    <row r="877">
      <c r="D877" s="51"/>
    </row>
    <row r="878">
      <c r="D878" s="51"/>
    </row>
    <row r="879">
      <c r="D879" s="51"/>
    </row>
    <row r="880">
      <c r="D880" s="51"/>
    </row>
    <row r="881">
      <c r="D881" s="51"/>
    </row>
    <row r="882">
      <c r="D882" s="51"/>
    </row>
    <row r="883">
      <c r="D883" s="51"/>
    </row>
    <row r="884">
      <c r="D884" s="51"/>
    </row>
    <row r="885">
      <c r="D885" s="51"/>
    </row>
    <row r="886">
      <c r="D886" s="51"/>
    </row>
    <row r="887">
      <c r="D887" s="51"/>
    </row>
    <row r="888">
      <c r="D888" s="51"/>
    </row>
    <row r="889">
      <c r="D889" s="51"/>
    </row>
    <row r="890">
      <c r="D890" s="51"/>
    </row>
    <row r="891">
      <c r="D891" s="51"/>
    </row>
    <row r="892">
      <c r="D892" s="51"/>
    </row>
    <row r="893">
      <c r="D893" s="51"/>
    </row>
    <row r="894">
      <c r="D894" s="51"/>
    </row>
    <row r="895">
      <c r="D895" s="51"/>
    </row>
    <row r="896">
      <c r="D896" s="51"/>
    </row>
    <row r="897">
      <c r="D897" s="51"/>
    </row>
    <row r="898">
      <c r="D898" s="51"/>
    </row>
    <row r="899">
      <c r="D899" s="51"/>
    </row>
    <row r="900">
      <c r="D900" s="51"/>
    </row>
    <row r="901">
      <c r="D901" s="51"/>
    </row>
    <row r="902">
      <c r="D902" s="51"/>
    </row>
    <row r="903">
      <c r="D903" s="51"/>
    </row>
    <row r="904">
      <c r="D904" s="51"/>
    </row>
    <row r="905">
      <c r="D905" s="51"/>
    </row>
    <row r="906">
      <c r="D906" s="51"/>
    </row>
    <row r="907">
      <c r="D907" s="51"/>
    </row>
    <row r="908">
      <c r="D908" s="51"/>
    </row>
    <row r="909">
      <c r="D909" s="51"/>
    </row>
    <row r="910">
      <c r="D910" s="51"/>
    </row>
    <row r="911">
      <c r="D911" s="51"/>
    </row>
    <row r="912">
      <c r="D912" s="51"/>
    </row>
    <row r="913">
      <c r="D913" s="51"/>
    </row>
    <row r="914">
      <c r="D914" s="51"/>
    </row>
    <row r="915">
      <c r="D915" s="51"/>
    </row>
    <row r="916">
      <c r="D916" s="51"/>
    </row>
    <row r="917">
      <c r="D917" s="51"/>
    </row>
    <row r="918">
      <c r="D918" s="51"/>
    </row>
    <row r="919">
      <c r="D919" s="51"/>
    </row>
    <row r="920">
      <c r="D920" s="51"/>
    </row>
    <row r="921">
      <c r="D921" s="51"/>
    </row>
    <row r="922">
      <c r="D922" s="51"/>
    </row>
    <row r="923">
      <c r="D923" s="51"/>
    </row>
    <row r="924">
      <c r="D924" s="51"/>
    </row>
    <row r="925">
      <c r="D925" s="51"/>
    </row>
    <row r="926">
      <c r="D926" s="51"/>
    </row>
    <row r="927">
      <c r="D927" s="51"/>
    </row>
    <row r="928">
      <c r="D928" s="51"/>
    </row>
    <row r="929">
      <c r="D929" s="51"/>
    </row>
    <row r="930">
      <c r="D930" s="51"/>
    </row>
    <row r="931">
      <c r="D931" s="51"/>
    </row>
    <row r="932">
      <c r="D932" s="51"/>
    </row>
    <row r="933">
      <c r="D933" s="51"/>
    </row>
    <row r="934">
      <c r="D934" s="51"/>
    </row>
    <row r="935">
      <c r="D935" s="51"/>
    </row>
    <row r="936">
      <c r="D936" s="51"/>
    </row>
    <row r="937">
      <c r="D937" s="51"/>
    </row>
    <row r="938">
      <c r="D938" s="51"/>
    </row>
    <row r="939">
      <c r="D939" s="51"/>
    </row>
    <row r="940">
      <c r="D940" s="51"/>
    </row>
    <row r="941">
      <c r="D941" s="51"/>
    </row>
    <row r="942">
      <c r="D942" s="51"/>
    </row>
    <row r="943">
      <c r="D943" s="51"/>
    </row>
    <row r="944">
      <c r="D944" s="51"/>
    </row>
    <row r="945">
      <c r="D945" s="51"/>
    </row>
    <row r="946">
      <c r="D946" s="51"/>
    </row>
    <row r="947">
      <c r="D947" s="51"/>
    </row>
    <row r="948">
      <c r="D948" s="51"/>
    </row>
    <row r="949">
      <c r="D949" s="51"/>
    </row>
    <row r="950">
      <c r="D950" s="51"/>
    </row>
    <row r="951">
      <c r="D951" s="51"/>
    </row>
    <row r="952">
      <c r="D952" s="51"/>
    </row>
    <row r="953">
      <c r="D953" s="51"/>
    </row>
    <row r="954">
      <c r="D954" s="51"/>
    </row>
    <row r="955">
      <c r="D955" s="51"/>
    </row>
    <row r="956">
      <c r="D956" s="51"/>
    </row>
    <row r="957">
      <c r="D957" s="51"/>
    </row>
    <row r="958">
      <c r="D958" s="51"/>
    </row>
    <row r="959">
      <c r="D959" s="51"/>
    </row>
    <row r="960">
      <c r="D960" s="51"/>
    </row>
    <row r="961">
      <c r="D961" s="51"/>
    </row>
    <row r="962">
      <c r="D962" s="51"/>
    </row>
    <row r="963">
      <c r="D963" s="51"/>
    </row>
    <row r="964">
      <c r="D964" s="51"/>
    </row>
    <row r="965">
      <c r="D965" s="51"/>
    </row>
    <row r="966">
      <c r="D966" s="51"/>
    </row>
    <row r="967">
      <c r="D967" s="51"/>
    </row>
    <row r="968">
      <c r="D968" s="51"/>
    </row>
    <row r="969">
      <c r="D969" s="51"/>
    </row>
    <row r="970">
      <c r="D970" s="51"/>
    </row>
    <row r="971">
      <c r="D971" s="51"/>
    </row>
    <row r="972">
      <c r="D972" s="51"/>
    </row>
    <row r="973">
      <c r="D973" s="51"/>
    </row>
    <row r="974">
      <c r="D974" s="51"/>
    </row>
    <row r="975">
      <c r="D975" s="51"/>
    </row>
    <row r="976">
      <c r="D976" s="51"/>
    </row>
    <row r="977">
      <c r="D977" s="51"/>
    </row>
    <row r="978">
      <c r="D978" s="51"/>
    </row>
    <row r="979">
      <c r="D979" s="51"/>
    </row>
    <row r="980">
      <c r="D980" s="51"/>
    </row>
    <row r="981">
      <c r="D981" s="51"/>
    </row>
    <row r="982">
      <c r="D982" s="51"/>
    </row>
    <row r="983">
      <c r="D983" s="51"/>
    </row>
    <row r="984">
      <c r="D984" s="51"/>
    </row>
    <row r="985">
      <c r="D985" s="51"/>
    </row>
    <row r="986">
      <c r="D986" s="51"/>
    </row>
    <row r="987">
      <c r="D987" s="51"/>
    </row>
    <row r="988">
      <c r="D988" s="51"/>
    </row>
    <row r="989">
      <c r="D989" s="51"/>
    </row>
    <row r="990">
      <c r="D990" s="51"/>
    </row>
    <row r="991">
      <c r="D991" s="51"/>
    </row>
    <row r="992">
      <c r="D992" s="51"/>
    </row>
    <row r="993">
      <c r="D993" s="51"/>
    </row>
    <row r="994">
      <c r="D994" s="51"/>
    </row>
    <row r="995">
      <c r="D995" s="51"/>
    </row>
    <row r="996">
      <c r="D996" s="51"/>
    </row>
    <row r="997">
      <c r="D997" s="51"/>
    </row>
    <row r="998">
      <c r="D998" s="51"/>
    </row>
    <row r="999">
      <c r="D999" s="51"/>
    </row>
    <row r="1000">
      <c r="D1000" s="51"/>
    </row>
    <row r="1001">
      <c r="D1001" s="51"/>
    </row>
    <row r="1002">
      <c r="D1002" s="51"/>
    </row>
    <row r="1003">
      <c r="D1003" s="51"/>
    </row>
    <row r="1004">
      <c r="D1004" s="51"/>
    </row>
    <row r="1005">
      <c r="D1005" s="51"/>
    </row>
    <row r="1006">
      <c r="D1006" s="51"/>
    </row>
    <row r="1007">
      <c r="D1007" s="51"/>
    </row>
    <row r="1008">
      <c r="D1008" s="51"/>
    </row>
    <row r="1009">
      <c r="D1009" s="51"/>
    </row>
    <row r="1010">
      <c r="D1010" s="51"/>
    </row>
    <row r="1011">
      <c r="D1011" s="51"/>
    </row>
    <row r="1012">
      <c r="D1012" s="51"/>
    </row>
    <row r="1013">
      <c r="D1013" s="51"/>
    </row>
    <row r="1014">
      <c r="D1014" s="51"/>
    </row>
    <row r="1015">
      <c r="D1015" s="51"/>
    </row>
    <row r="1016">
      <c r="D1016" s="51"/>
    </row>
  </sheetData>
  <hyperlinks>
    <hyperlink r:id="rId1" ref="F1"/>
    <hyperlink r:id="rId2" ref="G1"/>
    <hyperlink r:id="rId3" ref="H1"/>
    <hyperlink r:id="rId4" ref="I1"/>
    <hyperlink r:id="rId5" ref="J1"/>
    <hyperlink r:id="rId6" ref="K1"/>
  </hyperlinks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3.75"/>
    <col customWidth="1" min="2" max="2" width="28.0"/>
  </cols>
  <sheetData>
    <row r="1">
      <c r="B1" s="2" t="s">
        <v>0</v>
      </c>
      <c r="C1" s="5"/>
      <c r="D1" s="5"/>
      <c r="E1" s="5"/>
      <c r="F1" s="6" t="s">
        <v>1</v>
      </c>
      <c r="G1" s="12" t="s">
        <v>1</v>
      </c>
      <c r="H1" s="12" t="s">
        <v>1</v>
      </c>
      <c r="I1" s="12" t="s">
        <v>1</v>
      </c>
      <c r="J1" s="12" t="s">
        <v>1</v>
      </c>
      <c r="K1" s="12" t="s">
        <v>1</v>
      </c>
    </row>
    <row r="2">
      <c r="A2" s="17"/>
      <c r="B2" s="18" t="s">
        <v>16</v>
      </c>
      <c r="C2" s="5" t="s">
        <v>4</v>
      </c>
      <c r="D2" s="5" t="s">
        <v>5</v>
      </c>
      <c r="E2" s="5" t="s">
        <v>6</v>
      </c>
      <c r="F2" s="18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19" t="s">
        <v>17</v>
      </c>
    </row>
    <row r="3">
      <c r="A3" s="22"/>
      <c r="B3" s="24" t="s">
        <v>18</v>
      </c>
      <c r="C3" s="27">
        <f t="shared" ref="C3:G3" si="1">SUM(C4,C5,C6, C7)</f>
        <v>0</v>
      </c>
      <c r="D3" s="27">
        <f t="shared" si="1"/>
        <v>30220</v>
      </c>
      <c r="E3" s="27">
        <f t="shared" si="1"/>
        <v>105260</v>
      </c>
      <c r="F3" s="27">
        <f t="shared" si="1"/>
        <v>36030</v>
      </c>
      <c r="G3" s="27">
        <f t="shared" si="1"/>
        <v>92435</v>
      </c>
      <c r="H3" s="27">
        <f t="shared" ref="H3:K3" si="2">SUM(H4,H5,H6,H7)</f>
        <v>79990</v>
      </c>
      <c r="I3" s="27">
        <f t="shared" si="2"/>
        <v>97445</v>
      </c>
      <c r="J3" s="27">
        <f t="shared" si="2"/>
        <v>120420</v>
      </c>
      <c r="K3" s="27">
        <f t="shared" si="2"/>
        <v>110460</v>
      </c>
      <c r="L3" s="29">
        <f t="shared" ref="L3:L23" si="3">SUM(C3:K3)</f>
        <v>672260</v>
      </c>
      <c r="M3" s="30"/>
    </row>
    <row r="4" outlineLevel="1">
      <c r="A4" s="22"/>
      <c r="B4" s="31" t="s">
        <v>21</v>
      </c>
      <c r="C4" s="13">
        <v>0.0</v>
      </c>
      <c r="D4" s="34">
        <v>2200.0</v>
      </c>
      <c r="E4" s="13">
        <v>7820.0</v>
      </c>
      <c r="F4" s="36">
        <v>6330.0</v>
      </c>
      <c r="G4" s="36">
        <v>6595.0</v>
      </c>
      <c r="H4" s="37">
        <v>7725.0</v>
      </c>
      <c r="I4" s="13">
        <v>8155.0</v>
      </c>
      <c r="J4" s="13">
        <v>10250.0</v>
      </c>
      <c r="K4" s="13">
        <v>12700.0</v>
      </c>
      <c r="L4" s="14">
        <f t="shared" si="3"/>
        <v>61775</v>
      </c>
      <c r="M4" s="30"/>
    </row>
    <row r="5" outlineLevel="1">
      <c r="A5" s="22"/>
      <c r="B5" s="31" t="s">
        <v>23</v>
      </c>
      <c r="C5" s="13">
        <v>0.0</v>
      </c>
      <c r="D5" s="13">
        <v>0.0</v>
      </c>
      <c r="E5" s="13">
        <v>0.0</v>
      </c>
      <c r="F5" s="36">
        <v>0.0</v>
      </c>
      <c r="G5" s="37">
        <v>0.0</v>
      </c>
      <c r="H5" s="37">
        <v>0.0</v>
      </c>
      <c r="I5" s="13">
        <v>0.0</v>
      </c>
      <c r="J5" s="13">
        <v>0.0</v>
      </c>
      <c r="K5" s="13">
        <v>0.0</v>
      </c>
      <c r="L5" s="14">
        <f t="shared" si="3"/>
        <v>0</v>
      </c>
      <c r="M5" s="30"/>
    </row>
    <row r="6" outlineLevel="1">
      <c r="A6" s="22"/>
      <c r="B6" s="31" t="s">
        <v>25</v>
      </c>
      <c r="C6" s="13">
        <v>0.0</v>
      </c>
      <c r="D6" s="13">
        <v>0.0</v>
      </c>
      <c r="E6" s="13">
        <v>4500.0</v>
      </c>
      <c r="F6" s="36">
        <v>0.0</v>
      </c>
      <c r="G6" s="37">
        <v>0.0</v>
      </c>
      <c r="H6" s="37">
        <v>0.0</v>
      </c>
      <c r="I6" s="13">
        <v>0.0</v>
      </c>
      <c r="J6" s="13">
        <v>0.0</v>
      </c>
      <c r="K6" s="13">
        <v>0.0</v>
      </c>
      <c r="L6" s="14">
        <f t="shared" si="3"/>
        <v>4500</v>
      </c>
      <c r="M6" s="30"/>
    </row>
    <row r="7" outlineLevel="1">
      <c r="A7" s="22"/>
      <c r="B7" s="31" t="s">
        <v>26</v>
      </c>
      <c r="C7" s="13">
        <v>0.0</v>
      </c>
      <c r="D7" s="13">
        <v>28020.0</v>
      </c>
      <c r="E7" s="13">
        <v>92940.0</v>
      </c>
      <c r="F7" s="36">
        <v>29700.0</v>
      </c>
      <c r="G7" s="36">
        <v>85840.0</v>
      </c>
      <c r="H7" s="37">
        <v>72265.0</v>
      </c>
      <c r="I7" s="13">
        <v>89290.0</v>
      </c>
      <c r="J7" s="13">
        <v>110170.0</v>
      </c>
      <c r="K7" s="13">
        <v>97760.0</v>
      </c>
      <c r="L7" s="14">
        <f t="shared" si="3"/>
        <v>605985</v>
      </c>
      <c r="M7" s="30"/>
    </row>
    <row r="8">
      <c r="A8" s="22"/>
      <c r="B8" s="44" t="s">
        <v>28</v>
      </c>
      <c r="C8" s="27">
        <f t="shared" ref="C8:K8" si="4">SUM(C9:C13)</f>
        <v>0</v>
      </c>
      <c r="D8" s="27">
        <f t="shared" si="4"/>
        <v>7200</v>
      </c>
      <c r="E8" s="27">
        <f t="shared" si="4"/>
        <v>21741</v>
      </c>
      <c r="F8" s="27">
        <f t="shared" si="4"/>
        <v>19085</v>
      </c>
      <c r="G8" s="27">
        <f t="shared" si="4"/>
        <v>20021</v>
      </c>
      <c r="H8" s="27">
        <f t="shared" si="4"/>
        <v>39150</v>
      </c>
      <c r="I8" s="27">
        <f t="shared" si="4"/>
        <v>47466</v>
      </c>
      <c r="J8" s="27">
        <f t="shared" si="4"/>
        <v>41060</v>
      </c>
      <c r="K8" s="27">
        <f t="shared" si="4"/>
        <v>45510</v>
      </c>
      <c r="L8" s="29">
        <f t="shared" si="3"/>
        <v>241233</v>
      </c>
      <c r="M8" s="30"/>
    </row>
    <row r="9" outlineLevel="1">
      <c r="A9" s="22"/>
      <c r="B9" s="32" t="s">
        <v>33</v>
      </c>
      <c r="C9" s="13">
        <v>0.0</v>
      </c>
      <c r="D9" s="34">
        <v>2600.0</v>
      </c>
      <c r="E9" s="47">
        <v>16121.0</v>
      </c>
      <c r="F9" s="36">
        <v>13485.0</v>
      </c>
      <c r="G9" s="36">
        <v>18445.0</v>
      </c>
      <c r="H9" s="36">
        <v>34800.0</v>
      </c>
      <c r="I9" s="13">
        <v>25407.0</v>
      </c>
      <c r="J9" s="13">
        <v>21460.0</v>
      </c>
      <c r="K9" s="13">
        <v>28110.0</v>
      </c>
      <c r="L9" s="14">
        <f t="shared" si="3"/>
        <v>160428</v>
      </c>
      <c r="M9" s="30"/>
    </row>
    <row r="10" outlineLevel="1">
      <c r="A10" s="22"/>
      <c r="B10" s="32" t="s">
        <v>34</v>
      </c>
      <c r="C10" s="13">
        <v>0.0</v>
      </c>
      <c r="D10" s="34">
        <v>2300.0</v>
      </c>
      <c r="E10" s="47">
        <v>5620.0</v>
      </c>
      <c r="F10" s="36">
        <v>5000.0</v>
      </c>
      <c r="G10" s="37">
        <v>800.0</v>
      </c>
      <c r="H10" s="37">
        <v>2050.0</v>
      </c>
      <c r="I10" s="13">
        <v>4460.0</v>
      </c>
      <c r="J10" s="13">
        <v>3200.0</v>
      </c>
      <c r="K10" s="13">
        <v>5000.0</v>
      </c>
      <c r="L10" s="14">
        <f t="shared" si="3"/>
        <v>28430</v>
      </c>
      <c r="M10" s="30"/>
    </row>
    <row r="11" outlineLevel="1">
      <c r="A11" s="22"/>
      <c r="B11" s="31" t="s">
        <v>36</v>
      </c>
      <c r="C11" s="13">
        <v>0.0</v>
      </c>
      <c r="D11" s="13">
        <v>0.0</v>
      </c>
      <c r="E11" s="13">
        <v>0.0</v>
      </c>
      <c r="F11" s="36">
        <v>0.0</v>
      </c>
      <c r="G11" s="37">
        <v>776.0</v>
      </c>
      <c r="H11" s="36">
        <v>2300.0</v>
      </c>
      <c r="I11" s="13">
        <v>17200.0</v>
      </c>
      <c r="J11" s="13">
        <v>16400.0</v>
      </c>
      <c r="K11" s="13">
        <v>12400.0</v>
      </c>
      <c r="L11" s="14">
        <f t="shared" si="3"/>
        <v>49076</v>
      </c>
      <c r="M11" s="30"/>
    </row>
    <row r="12" outlineLevel="1">
      <c r="A12" s="22"/>
      <c r="B12" s="32" t="s">
        <v>37</v>
      </c>
      <c r="C12" s="13">
        <v>0.0</v>
      </c>
      <c r="D12" s="34">
        <v>2300.0</v>
      </c>
      <c r="E12" s="13">
        <v>0.0</v>
      </c>
      <c r="F12" s="36">
        <v>600.0</v>
      </c>
      <c r="G12" s="37">
        <v>0.0</v>
      </c>
      <c r="H12" s="37">
        <v>0.0</v>
      </c>
      <c r="I12" s="13">
        <v>399.0</v>
      </c>
      <c r="J12" s="13">
        <v>0.0</v>
      </c>
      <c r="K12" s="13">
        <v>0.0</v>
      </c>
      <c r="L12" s="14">
        <f t="shared" si="3"/>
        <v>3299</v>
      </c>
      <c r="M12" s="30"/>
    </row>
    <row r="13">
      <c r="A13" s="22"/>
      <c r="B13" s="31" t="s">
        <v>38</v>
      </c>
      <c r="C13" s="36">
        <v>0.0</v>
      </c>
      <c r="D13" s="36">
        <v>0.0</v>
      </c>
      <c r="E13" s="36">
        <v>0.0</v>
      </c>
      <c r="F13" s="36">
        <v>0.0</v>
      </c>
      <c r="G13" s="36">
        <v>0.0</v>
      </c>
      <c r="H13" s="36">
        <v>0.0</v>
      </c>
      <c r="I13" s="36">
        <v>0.0</v>
      </c>
      <c r="J13" s="13">
        <v>0.0</v>
      </c>
      <c r="K13" s="13">
        <v>0.0</v>
      </c>
      <c r="L13" s="14">
        <f t="shared" si="3"/>
        <v>0</v>
      </c>
      <c r="M13" s="30"/>
    </row>
    <row r="14">
      <c r="A14" s="22"/>
      <c r="B14" s="44" t="s">
        <v>39</v>
      </c>
      <c r="C14" s="45">
        <f t="shared" ref="C14:F14" si="5">sum(C17:C18)</f>
        <v>0</v>
      </c>
      <c r="D14" s="45">
        <f t="shared" si="5"/>
        <v>0</v>
      </c>
      <c r="E14" s="45">
        <f t="shared" si="5"/>
        <v>960</v>
      </c>
      <c r="F14" s="45">
        <f t="shared" si="5"/>
        <v>6080</v>
      </c>
      <c r="G14" s="45">
        <f>sum(G15:G18)</f>
        <v>9960</v>
      </c>
      <c r="H14" s="27">
        <f t="shared" ref="H14:K14" si="6">sum(H16:H18)</f>
        <v>1500</v>
      </c>
      <c r="I14" s="27">
        <f t="shared" si="6"/>
        <v>3000</v>
      </c>
      <c r="J14" s="27">
        <f t="shared" si="6"/>
        <v>0</v>
      </c>
      <c r="K14" s="27">
        <f t="shared" si="6"/>
        <v>2400</v>
      </c>
      <c r="L14" s="29">
        <f t="shared" si="3"/>
        <v>23900</v>
      </c>
      <c r="M14" s="30"/>
    </row>
    <row r="15" outlineLevel="1">
      <c r="A15" s="22"/>
      <c r="B15" s="32" t="s">
        <v>42</v>
      </c>
      <c r="C15" s="36">
        <v>0.0</v>
      </c>
      <c r="D15" s="36">
        <v>0.0</v>
      </c>
      <c r="E15" s="36">
        <v>0.0</v>
      </c>
      <c r="F15" s="45">
        <v>0.0</v>
      </c>
      <c r="G15" s="36">
        <v>2000.0</v>
      </c>
      <c r="H15" s="37">
        <v>0.0</v>
      </c>
      <c r="I15" s="13">
        <v>0.0</v>
      </c>
      <c r="J15" s="13">
        <v>0.0</v>
      </c>
      <c r="K15" s="13">
        <v>0.0</v>
      </c>
      <c r="L15" s="14">
        <f t="shared" si="3"/>
        <v>2000</v>
      </c>
      <c r="M15" s="30"/>
    </row>
    <row r="16" outlineLevel="1">
      <c r="A16" s="22"/>
      <c r="B16" s="32" t="s">
        <v>44</v>
      </c>
      <c r="C16" s="13">
        <v>0.0</v>
      </c>
      <c r="D16" s="13">
        <v>0.0</v>
      </c>
      <c r="E16" s="13">
        <v>0.0</v>
      </c>
      <c r="F16" s="36">
        <v>0.0</v>
      </c>
      <c r="G16" s="36">
        <v>0.0</v>
      </c>
      <c r="H16" s="37">
        <v>320.0</v>
      </c>
      <c r="I16" s="13">
        <v>0.0</v>
      </c>
      <c r="J16" s="13">
        <v>0.0</v>
      </c>
      <c r="K16" s="13">
        <v>0.0</v>
      </c>
      <c r="L16" s="14">
        <f t="shared" si="3"/>
        <v>320</v>
      </c>
      <c r="M16" s="30"/>
    </row>
    <row r="17" outlineLevel="1">
      <c r="A17" s="22"/>
      <c r="B17" s="32" t="s">
        <v>45</v>
      </c>
      <c r="C17" s="13">
        <v>0.0</v>
      </c>
      <c r="D17" s="13">
        <v>0.0</v>
      </c>
      <c r="E17" s="13">
        <v>0.0</v>
      </c>
      <c r="F17" s="36">
        <v>3250.0</v>
      </c>
      <c r="G17" s="37">
        <v>3320.0</v>
      </c>
      <c r="H17" s="37">
        <v>360.0</v>
      </c>
      <c r="I17" s="13">
        <v>3000.0</v>
      </c>
      <c r="J17" s="13">
        <v>0.0</v>
      </c>
      <c r="K17" s="13">
        <v>600.0</v>
      </c>
      <c r="L17" s="14">
        <f t="shared" si="3"/>
        <v>10530</v>
      </c>
      <c r="M17" s="30"/>
    </row>
    <row r="18" outlineLevel="1">
      <c r="A18" s="22"/>
      <c r="B18" s="32" t="s">
        <v>46</v>
      </c>
      <c r="C18" s="13">
        <v>0.0</v>
      </c>
      <c r="D18" s="45">
        <v>0.0</v>
      </c>
      <c r="E18" s="36">
        <v>960.0</v>
      </c>
      <c r="F18" s="36">
        <v>2830.0</v>
      </c>
      <c r="G18" s="37">
        <v>4640.0</v>
      </c>
      <c r="H18" s="37">
        <v>820.0</v>
      </c>
      <c r="I18" s="13">
        <v>0.0</v>
      </c>
      <c r="J18" s="13">
        <v>0.0</v>
      </c>
      <c r="K18" s="13">
        <v>1800.0</v>
      </c>
      <c r="L18" s="14">
        <f t="shared" si="3"/>
        <v>11050</v>
      </c>
      <c r="M18" s="30"/>
    </row>
    <row r="19">
      <c r="A19" s="22"/>
      <c r="B19" s="24" t="s">
        <v>48</v>
      </c>
      <c r="C19" s="48">
        <v>0.0</v>
      </c>
      <c r="D19" s="48">
        <v>0.0</v>
      </c>
      <c r="E19" s="56">
        <v>27000.0</v>
      </c>
      <c r="F19" s="45">
        <v>26000.0</v>
      </c>
      <c r="G19" s="27">
        <v>24380.0</v>
      </c>
      <c r="H19" s="27">
        <v>34380.0</v>
      </c>
      <c r="I19" s="48">
        <v>18880.0</v>
      </c>
      <c r="J19" s="48">
        <v>43880.0</v>
      </c>
      <c r="K19" s="48">
        <v>62880.0</v>
      </c>
      <c r="L19" s="29">
        <f t="shared" si="3"/>
        <v>237400</v>
      </c>
      <c r="M19" s="30"/>
    </row>
    <row r="20">
      <c r="A20" s="22"/>
      <c r="B20" s="58" t="s">
        <v>49</v>
      </c>
      <c r="C20" s="13">
        <v>0.0</v>
      </c>
      <c r="D20" s="13">
        <v>0.0</v>
      </c>
      <c r="E20" s="13">
        <v>0.0</v>
      </c>
      <c r="F20" s="36">
        <v>0.0</v>
      </c>
      <c r="G20" s="36">
        <v>0.0</v>
      </c>
      <c r="H20" s="36">
        <v>0.0</v>
      </c>
      <c r="I20" s="13">
        <v>0.0</v>
      </c>
      <c r="J20" s="13">
        <v>0.0</v>
      </c>
      <c r="K20" s="13">
        <v>0.0</v>
      </c>
      <c r="L20" s="29">
        <f t="shared" si="3"/>
        <v>0</v>
      </c>
      <c r="M20" s="30"/>
    </row>
    <row r="21">
      <c r="A21" s="22"/>
      <c r="B21" s="24" t="s">
        <v>50</v>
      </c>
      <c r="C21" s="13">
        <v>0.0</v>
      </c>
      <c r="D21" s="13">
        <v>0.0</v>
      </c>
      <c r="E21" s="13">
        <v>0.0</v>
      </c>
      <c r="F21" s="37">
        <v>0.0</v>
      </c>
      <c r="G21" s="37">
        <v>0.0</v>
      </c>
      <c r="H21" s="37">
        <v>20680.0</v>
      </c>
      <c r="I21" s="13">
        <v>2730.0</v>
      </c>
      <c r="J21" s="13">
        <v>5520.0</v>
      </c>
      <c r="K21" s="13">
        <v>5520.0</v>
      </c>
      <c r="L21" s="29">
        <f t="shared" si="3"/>
        <v>34450</v>
      </c>
      <c r="M21" s="30"/>
    </row>
    <row r="22">
      <c r="A22" s="22"/>
      <c r="B22" s="24" t="s">
        <v>51</v>
      </c>
      <c r="C22" s="13">
        <v>0.0</v>
      </c>
      <c r="D22" s="13">
        <v>0.0</v>
      </c>
      <c r="E22" s="13">
        <v>0.0</v>
      </c>
      <c r="F22" s="37">
        <v>0.0</v>
      </c>
      <c r="G22" s="37">
        <v>4480.0</v>
      </c>
      <c r="H22" s="37">
        <v>0.0</v>
      </c>
      <c r="I22" s="13">
        <v>0.0</v>
      </c>
      <c r="J22" s="13">
        <v>0.0</v>
      </c>
      <c r="K22" s="13">
        <v>0.0</v>
      </c>
      <c r="L22" s="29">
        <f t="shared" si="3"/>
        <v>4480</v>
      </c>
      <c r="M22" s="30"/>
    </row>
    <row r="23">
      <c r="A23" s="22"/>
      <c r="B23" s="24" t="s">
        <v>52</v>
      </c>
      <c r="C23" s="13">
        <v>0.0</v>
      </c>
      <c r="D23" s="13">
        <v>0.0</v>
      </c>
      <c r="E23" s="13">
        <v>0.0</v>
      </c>
      <c r="F23" s="36">
        <v>0.0</v>
      </c>
      <c r="G23" s="37">
        <v>0.0</v>
      </c>
      <c r="H23" s="37">
        <v>0.0</v>
      </c>
      <c r="I23" s="13">
        <v>0.0</v>
      </c>
      <c r="J23" s="13">
        <v>0.0</v>
      </c>
      <c r="K23" s="13">
        <v>0.0</v>
      </c>
      <c r="L23" s="29">
        <f t="shared" si="3"/>
        <v>0</v>
      </c>
      <c r="M23" s="30"/>
    </row>
    <row r="24">
      <c r="A24" s="62"/>
      <c r="B24" s="55" t="s">
        <v>47</v>
      </c>
      <c r="C24" s="64">
        <f t="shared" ref="C24:K24" si="7">sum(C3,C8,C19,C21,C22,C23,C14, C20)</f>
        <v>0</v>
      </c>
      <c r="D24" s="64">
        <f t="shared" si="7"/>
        <v>37420</v>
      </c>
      <c r="E24" s="64">
        <f t="shared" si="7"/>
        <v>154961</v>
      </c>
      <c r="F24" s="64">
        <f t="shared" si="7"/>
        <v>87195</v>
      </c>
      <c r="G24" s="64">
        <f t="shared" si="7"/>
        <v>151276</v>
      </c>
      <c r="H24" s="64">
        <f t="shared" si="7"/>
        <v>175700</v>
      </c>
      <c r="I24" s="64">
        <f t="shared" si="7"/>
        <v>169521</v>
      </c>
      <c r="J24" s="64">
        <f t="shared" si="7"/>
        <v>210880</v>
      </c>
      <c r="K24" s="64">
        <f t="shared" si="7"/>
        <v>226770</v>
      </c>
      <c r="L24" s="64">
        <f>sum(L3,L8,L14,L19,L20,L21,L22,L23)</f>
        <v>1213723</v>
      </c>
    </row>
    <row r="25">
      <c r="A25" s="22"/>
      <c r="B25" s="66" t="s">
        <v>54</v>
      </c>
      <c r="C25" s="48">
        <v>0.0</v>
      </c>
      <c r="D25" s="48">
        <v>36852.0</v>
      </c>
      <c r="E25" s="48">
        <v>143412.5</v>
      </c>
      <c r="F25" s="45">
        <v>84073.0</v>
      </c>
      <c r="G25" s="48">
        <v>147818.0</v>
      </c>
      <c r="H25" s="48">
        <v>170690.0</v>
      </c>
      <c r="I25" s="48">
        <v>165384.0</v>
      </c>
      <c r="J25" s="48">
        <v>207434.28</v>
      </c>
      <c r="K25" s="48">
        <v>220596.66</v>
      </c>
      <c r="L25" s="35">
        <f t="shared" ref="L25:L26" si="9">SUM(C25:K25)</f>
        <v>1176260.44</v>
      </c>
    </row>
    <row r="26">
      <c r="A26" s="67"/>
      <c r="B26" s="68" t="s">
        <v>55</v>
      </c>
      <c r="C26" s="45">
        <f t="shared" ref="C26:K26" si="8">C25/1.18</f>
        <v>0</v>
      </c>
      <c r="D26" s="45">
        <f t="shared" si="8"/>
        <v>31230.50847</v>
      </c>
      <c r="E26" s="45">
        <f t="shared" si="8"/>
        <v>121536.0169</v>
      </c>
      <c r="F26" s="45">
        <f t="shared" si="8"/>
        <v>71248.30508</v>
      </c>
      <c r="G26" s="45">
        <f t="shared" si="8"/>
        <v>125269.4915</v>
      </c>
      <c r="H26" s="45">
        <f t="shared" si="8"/>
        <v>144652.5424</v>
      </c>
      <c r="I26" s="45">
        <f t="shared" si="8"/>
        <v>140155.9322</v>
      </c>
      <c r="J26" s="45">
        <f t="shared" si="8"/>
        <v>175791.7627</v>
      </c>
      <c r="K26" s="45">
        <f t="shared" si="8"/>
        <v>186946.322</v>
      </c>
      <c r="L26" s="35">
        <f t="shared" si="9"/>
        <v>996830.8814</v>
      </c>
    </row>
    <row r="27">
      <c r="B27" s="72" t="s">
        <v>56</v>
      </c>
      <c r="C27" s="14"/>
      <c r="D27" s="14"/>
      <c r="E27" s="14"/>
      <c r="F27" s="14"/>
      <c r="G27" s="14"/>
      <c r="H27" s="14"/>
      <c r="I27" s="14"/>
      <c r="J27" s="14"/>
      <c r="K27" s="14"/>
    </row>
    <row r="28">
      <c r="B28" s="46" t="s">
        <v>57</v>
      </c>
      <c r="C28" s="14"/>
      <c r="D28" s="14"/>
      <c r="E28" s="14"/>
      <c r="F28" s="14"/>
      <c r="G28" s="14"/>
      <c r="H28" s="14"/>
      <c r="I28" s="14"/>
      <c r="J28" s="14"/>
      <c r="K28" s="14"/>
    </row>
    <row r="29">
      <c r="D29" s="73"/>
      <c r="E29" s="74"/>
    </row>
  </sheetData>
  <hyperlinks>
    <hyperlink r:id="rId1" ref="F1"/>
    <hyperlink r:id="rId2" ref="G1"/>
    <hyperlink r:id="rId3" ref="H1"/>
    <hyperlink r:id="rId4" ref="I1"/>
    <hyperlink r:id="rId5" ref="J1"/>
    <hyperlink r:id="rId6" ref="K1"/>
  </hyperlinks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 outlineLevelRow="1"/>
  <cols>
    <col customWidth="1" min="1" max="1" width="3.25"/>
    <col customWidth="1" min="2" max="2" width="28.0"/>
  </cols>
  <sheetData>
    <row r="1">
      <c r="B1" s="2" t="s">
        <v>0</v>
      </c>
      <c r="C1" s="2"/>
      <c r="D1" s="2"/>
      <c r="E1" s="2"/>
      <c r="F1" s="6" t="s">
        <v>1</v>
      </c>
      <c r="G1" s="12" t="s">
        <v>1</v>
      </c>
      <c r="H1" s="12" t="s">
        <v>1</v>
      </c>
      <c r="I1" s="12" t="s">
        <v>1</v>
      </c>
      <c r="J1" s="12" t="s">
        <v>1</v>
      </c>
      <c r="K1" s="12" t="s">
        <v>1</v>
      </c>
    </row>
    <row r="2">
      <c r="A2" s="16"/>
      <c r="B2" s="18" t="s">
        <v>16</v>
      </c>
      <c r="C2" s="5" t="s">
        <v>4</v>
      </c>
      <c r="D2" s="5" t="s">
        <v>5</v>
      </c>
      <c r="E2" s="5" t="s">
        <v>6</v>
      </c>
      <c r="F2" s="18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19" t="s">
        <v>17</v>
      </c>
    </row>
    <row r="3">
      <c r="A3" s="21"/>
      <c r="B3" s="24" t="s">
        <v>18</v>
      </c>
      <c r="C3" s="27">
        <f t="shared" ref="C3:F3" si="1">SUM(C4,C5,C6,C18, C7)</f>
        <v>0</v>
      </c>
      <c r="D3" s="27">
        <f t="shared" si="1"/>
        <v>0</v>
      </c>
      <c r="E3" s="27">
        <f t="shared" si="1"/>
        <v>6190</v>
      </c>
      <c r="F3" s="27">
        <f t="shared" si="1"/>
        <v>15260</v>
      </c>
      <c r="G3" s="27">
        <f>SUM(G4,G5,G6, G7)</f>
        <v>24530</v>
      </c>
      <c r="H3" s="27">
        <f t="shared" ref="H3:K3" si="2">SUM(H4,H5,H6,H7)</f>
        <v>23250</v>
      </c>
      <c r="I3" s="27">
        <f t="shared" si="2"/>
        <v>31691</v>
      </c>
      <c r="J3" s="27">
        <f t="shared" si="2"/>
        <v>53390</v>
      </c>
      <c r="K3" s="27">
        <f t="shared" si="2"/>
        <v>38330</v>
      </c>
      <c r="L3" s="29">
        <f t="shared" ref="L3:L23" si="3">SUM(C3:K3)</f>
        <v>192641</v>
      </c>
      <c r="M3" s="30"/>
    </row>
    <row r="4" outlineLevel="1">
      <c r="A4" s="21"/>
      <c r="B4" s="32" t="s">
        <v>21</v>
      </c>
      <c r="C4" s="13">
        <v>0.0</v>
      </c>
      <c r="D4" s="13">
        <v>0.0</v>
      </c>
      <c r="E4" s="13">
        <v>4350.0</v>
      </c>
      <c r="F4" s="36">
        <v>6550.0</v>
      </c>
      <c r="G4" s="36">
        <v>6750.0</v>
      </c>
      <c r="H4" s="37">
        <v>6150.0</v>
      </c>
      <c r="I4" s="13">
        <v>10650.0</v>
      </c>
      <c r="J4" s="36">
        <v>17940.0</v>
      </c>
      <c r="K4" s="13">
        <v>10550.0</v>
      </c>
      <c r="L4" s="14">
        <f t="shared" si="3"/>
        <v>62940</v>
      </c>
      <c r="M4" s="30"/>
      <c r="N4" s="40" t="s">
        <v>24</v>
      </c>
    </row>
    <row r="5" outlineLevel="1">
      <c r="A5" s="21"/>
      <c r="B5" s="32" t="s">
        <v>23</v>
      </c>
      <c r="C5" s="13">
        <v>0.0</v>
      </c>
      <c r="D5" s="13">
        <v>0.0</v>
      </c>
      <c r="E5" s="13">
        <v>0.0</v>
      </c>
      <c r="F5" s="36">
        <v>0.0</v>
      </c>
      <c r="G5" s="37">
        <v>0.0</v>
      </c>
      <c r="H5" s="37">
        <v>460.0</v>
      </c>
      <c r="I5" s="13">
        <v>205.0</v>
      </c>
      <c r="J5" s="36">
        <v>1830.0</v>
      </c>
      <c r="K5" s="13">
        <v>1200.0</v>
      </c>
      <c r="L5" s="14">
        <f t="shared" si="3"/>
        <v>3695</v>
      </c>
      <c r="M5" s="30"/>
      <c r="N5" s="43" t="s">
        <v>27</v>
      </c>
    </row>
    <row r="6" outlineLevel="1">
      <c r="A6" s="21"/>
      <c r="B6" s="32" t="s">
        <v>25</v>
      </c>
      <c r="C6" s="13">
        <v>0.0</v>
      </c>
      <c r="D6" s="13">
        <v>0.0</v>
      </c>
      <c r="E6" s="13">
        <v>0.0</v>
      </c>
      <c r="F6" s="36">
        <v>0.0</v>
      </c>
      <c r="G6" s="37">
        <v>0.0</v>
      </c>
      <c r="H6" s="37">
        <v>0.0</v>
      </c>
      <c r="I6" s="13">
        <v>0.0</v>
      </c>
      <c r="J6" s="36">
        <v>0.0</v>
      </c>
      <c r="K6" s="13">
        <v>0.0</v>
      </c>
      <c r="L6" s="14">
        <f t="shared" si="3"/>
        <v>0</v>
      </c>
      <c r="M6" s="30"/>
      <c r="N6" s="43" t="s">
        <v>30</v>
      </c>
    </row>
    <row r="7" outlineLevel="1">
      <c r="A7" s="21"/>
      <c r="B7" s="32" t="s">
        <v>26</v>
      </c>
      <c r="C7" s="13">
        <v>0.0</v>
      </c>
      <c r="D7" s="13">
        <v>0.0</v>
      </c>
      <c r="E7" s="13">
        <v>1840.0</v>
      </c>
      <c r="F7" s="36">
        <v>3510.0</v>
      </c>
      <c r="G7" s="36">
        <v>17780.0</v>
      </c>
      <c r="H7" s="37">
        <v>16640.0</v>
      </c>
      <c r="I7" s="13">
        <v>20836.0</v>
      </c>
      <c r="J7" s="36">
        <v>33620.0</v>
      </c>
      <c r="K7" s="13">
        <v>26580.0</v>
      </c>
      <c r="L7" s="14">
        <f t="shared" si="3"/>
        <v>120806</v>
      </c>
      <c r="M7" s="30"/>
      <c r="N7" s="40" t="s">
        <v>31</v>
      </c>
    </row>
    <row r="8">
      <c r="A8" s="21"/>
      <c r="B8" s="24" t="s">
        <v>28</v>
      </c>
      <c r="C8" s="45">
        <v>0.0</v>
      </c>
      <c r="D8" s="27">
        <f t="shared" ref="D8:K8" si="4">SUM(D9:D13)</f>
        <v>0</v>
      </c>
      <c r="E8" s="27">
        <f t="shared" si="4"/>
        <v>72668.8</v>
      </c>
      <c r="F8" s="27">
        <f t="shared" si="4"/>
        <v>127472.6</v>
      </c>
      <c r="G8" s="27">
        <f t="shared" si="4"/>
        <v>99954</v>
      </c>
      <c r="H8" s="27">
        <f t="shared" si="4"/>
        <v>54376</v>
      </c>
      <c r="I8" s="27">
        <f t="shared" si="4"/>
        <v>96047</v>
      </c>
      <c r="J8" s="27">
        <f t="shared" si="4"/>
        <v>113165</v>
      </c>
      <c r="K8" s="27">
        <f t="shared" si="4"/>
        <v>156968</v>
      </c>
      <c r="L8" s="29">
        <f t="shared" si="3"/>
        <v>720651.4</v>
      </c>
      <c r="M8" s="30"/>
      <c r="N8" s="40" t="s">
        <v>35</v>
      </c>
    </row>
    <row r="9" outlineLevel="1">
      <c r="A9" s="21"/>
      <c r="B9" s="32" t="s">
        <v>33</v>
      </c>
      <c r="C9" s="13">
        <v>0.0</v>
      </c>
      <c r="D9" s="13">
        <v>0.0</v>
      </c>
      <c r="E9" s="34">
        <v>67870.0</v>
      </c>
      <c r="F9" s="13">
        <v>115555.0</v>
      </c>
      <c r="G9" s="37">
        <v>87600.0</v>
      </c>
      <c r="H9" s="36">
        <v>38450.0</v>
      </c>
      <c r="I9" s="13">
        <v>66479.0</v>
      </c>
      <c r="J9" s="36">
        <v>70765.0</v>
      </c>
      <c r="K9" s="13">
        <v>97168.0</v>
      </c>
      <c r="L9" s="14">
        <f t="shared" si="3"/>
        <v>543887</v>
      </c>
      <c r="M9" s="30"/>
    </row>
    <row r="10" outlineLevel="1">
      <c r="A10" s="21"/>
      <c r="B10" s="32" t="s">
        <v>34</v>
      </c>
      <c r="C10" s="13">
        <v>0.0</v>
      </c>
      <c r="D10" s="13">
        <v>0.0</v>
      </c>
      <c r="E10" s="34">
        <v>2638.8</v>
      </c>
      <c r="F10" s="13">
        <v>5917.6</v>
      </c>
      <c r="G10" s="37">
        <v>6600.0</v>
      </c>
      <c r="H10" s="37">
        <v>6326.0</v>
      </c>
      <c r="I10" s="13">
        <v>3168.0</v>
      </c>
      <c r="J10" s="36">
        <v>5200.0</v>
      </c>
      <c r="K10" s="13">
        <v>7250.0</v>
      </c>
      <c r="L10" s="14">
        <f t="shared" si="3"/>
        <v>37100.4</v>
      </c>
      <c r="M10" s="30"/>
    </row>
    <row r="11" outlineLevel="1">
      <c r="A11" s="21"/>
      <c r="B11" s="32" t="s">
        <v>36</v>
      </c>
      <c r="C11" s="13">
        <v>0.0</v>
      </c>
      <c r="D11" s="13">
        <v>0.0</v>
      </c>
      <c r="E11" s="13">
        <v>0.0</v>
      </c>
      <c r="F11" s="49">
        <v>1200.0</v>
      </c>
      <c r="G11" s="37">
        <v>2330.0</v>
      </c>
      <c r="H11" s="37">
        <v>6000.0</v>
      </c>
      <c r="I11" s="13">
        <v>26400.0</v>
      </c>
      <c r="J11" s="50">
        <v>37200.0</v>
      </c>
      <c r="K11" s="13">
        <v>51350.0</v>
      </c>
      <c r="L11" s="14">
        <f t="shared" si="3"/>
        <v>124480</v>
      </c>
      <c r="M11" s="30"/>
    </row>
    <row r="12" outlineLevel="1">
      <c r="A12" s="21"/>
      <c r="B12" s="32" t="s">
        <v>37</v>
      </c>
      <c r="C12" s="13">
        <v>0.0</v>
      </c>
      <c r="D12" s="13">
        <v>0.0</v>
      </c>
      <c r="E12" s="34">
        <v>2160.0</v>
      </c>
      <c r="F12" s="49">
        <v>4800.0</v>
      </c>
      <c r="G12" s="37">
        <v>3424.0</v>
      </c>
      <c r="H12" s="37">
        <v>3600.0</v>
      </c>
      <c r="I12" s="13">
        <v>0.0</v>
      </c>
      <c r="J12" s="36">
        <v>0.0</v>
      </c>
      <c r="K12" s="13">
        <v>1200.0</v>
      </c>
      <c r="L12" s="14">
        <f t="shared" si="3"/>
        <v>15184</v>
      </c>
      <c r="M12" s="30"/>
    </row>
    <row r="13">
      <c r="A13" s="51"/>
      <c r="B13" s="31" t="s">
        <v>38</v>
      </c>
      <c r="C13" s="36">
        <v>0.0</v>
      </c>
      <c r="D13" s="36">
        <v>0.0</v>
      </c>
      <c r="E13" s="36">
        <v>0.0</v>
      </c>
      <c r="F13" s="36">
        <v>0.0</v>
      </c>
      <c r="G13" s="36">
        <v>0.0</v>
      </c>
      <c r="H13" s="36">
        <v>0.0</v>
      </c>
      <c r="I13" s="36">
        <v>0.0</v>
      </c>
      <c r="J13" s="36">
        <v>0.0</v>
      </c>
      <c r="K13" s="13">
        <v>0.0</v>
      </c>
      <c r="L13" s="14">
        <f t="shared" si="3"/>
        <v>0</v>
      </c>
      <c r="M13" s="30"/>
    </row>
    <row r="14">
      <c r="A14" s="51"/>
      <c r="B14" s="44" t="s">
        <v>39</v>
      </c>
      <c r="C14" s="45">
        <f t="shared" ref="C14:G14" si="5">sum(C15:C18)</f>
        <v>0</v>
      </c>
      <c r="D14" s="45">
        <f t="shared" si="5"/>
        <v>0</v>
      </c>
      <c r="E14" s="45">
        <f t="shared" si="5"/>
        <v>0</v>
      </c>
      <c r="F14" s="45">
        <f t="shared" si="5"/>
        <v>10400</v>
      </c>
      <c r="G14" s="45">
        <f t="shared" si="5"/>
        <v>12800</v>
      </c>
      <c r="H14" s="27">
        <f t="shared" ref="H14:I14" si="6">SUM(H16,H17,H18)</f>
        <v>12399</v>
      </c>
      <c r="I14" s="27">
        <f t="shared" si="6"/>
        <v>43729</v>
      </c>
      <c r="J14" s="27">
        <f t="shared" ref="J14:K14" si="7">SUM(J16,J17,J18,J15)</f>
        <v>103699</v>
      </c>
      <c r="K14" s="27">
        <f t="shared" si="7"/>
        <v>42466</v>
      </c>
      <c r="L14" s="29">
        <f t="shared" si="3"/>
        <v>225493</v>
      </c>
      <c r="M14" s="30"/>
    </row>
    <row r="15" outlineLevel="1">
      <c r="A15" s="22"/>
      <c r="B15" s="32" t="s">
        <v>42</v>
      </c>
      <c r="C15" s="36">
        <v>0.0</v>
      </c>
      <c r="D15" s="36">
        <v>0.0</v>
      </c>
      <c r="E15" s="36">
        <v>0.0</v>
      </c>
      <c r="F15" s="36">
        <v>0.0</v>
      </c>
      <c r="G15" s="36">
        <v>3500.0</v>
      </c>
      <c r="H15" s="37">
        <v>0.0</v>
      </c>
      <c r="I15" s="13">
        <v>0.0</v>
      </c>
      <c r="J15" s="36">
        <v>55200.0</v>
      </c>
      <c r="K15" s="13">
        <v>0.0</v>
      </c>
      <c r="L15" s="14">
        <f t="shared" si="3"/>
        <v>58700</v>
      </c>
      <c r="M15" s="30"/>
    </row>
    <row r="16" outlineLevel="1">
      <c r="A16" s="21"/>
      <c r="B16" s="32" t="s">
        <v>44</v>
      </c>
      <c r="C16" s="13">
        <v>0.0</v>
      </c>
      <c r="D16" s="13">
        <v>0.0</v>
      </c>
      <c r="E16" s="36">
        <v>0.0</v>
      </c>
      <c r="F16" s="49">
        <v>0.0</v>
      </c>
      <c r="G16" s="36">
        <v>0.0</v>
      </c>
      <c r="H16" s="37">
        <v>8100.0</v>
      </c>
      <c r="I16" s="13">
        <v>0.0</v>
      </c>
      <c r="J16" s="36">
        <v>6900.0</v>
      </c>
      <c r="K16" s="13">
        <v>17590.0</v>
      </c>
      <c r="L16" s="14">
        <f t="shared" si="3"/>
        <v>32590</v>
      </c>
      <c r="M16" s="30"/>
    </row>
    <row r="17" outlineLevel="1">
      <c r="A17" s="21"/>
      <c r="B17" s="32" t="s">
        <v>45</v>
      </c>
      <c r="C17" s="13">
        <v>0.0</v>
      </c>
      <c r="D17" s="13">
        <v>0.0</v>
      </c>
      <c r="E17" s="36">
        <v>0.0</v>
      </c>
      <c r="F17" s="49">
        <v>5200.0</v>
      </c>
      <c r="G17" s="37">
        <v>3600.0</v>
      </c>
      <c r="H17" s="37">
        <v>450.0</v>
      </c>
      <c r="I17" s="13">
        <v>43729.0</v>
      </c>
      <c r="J17" s="36">
        <v>35380.0</v>
      </c>
      <c r="K17" s="13">
        <v>23280.0</v>
      </c>
      <c r="L17" s="14">
        <f t="shared" si="3"/>
        <v>111639</v>
      </c>
      <c r="M17" s="30"/>
    </row>
    <row r="18" outlineLevel="1">
      <c r="A18" s="21"/>
      <c r="B18" s="32" t="s">
        <v>46</v>
      </c>
      <c r="C18" s="13">
        <v>0.0</v>
      </c>
      <c r="D18" s="13">
        <v>0.0</v>
      </c>
      <c r="E18" s="13">
        <v>0.0</v>
      </c>
      <c r="F18" s="36">
        <v>5200.0</v>
      </c>
      <c r="G18" s="37">
        <v>5700.0</v>
      </c>
      <c r="H18" s="37">
        <v>3849.0</v>
      </c>
      <c r="I18" s="13">
        <v>0.0</v>
      </c>
      <c r="J18" s="36">
        <v>6219.0</v>
      </c>
      <c r="K18" s="13">
        <v>1596.0</v>
      </c>
      <c r="L18" s="14">
        <f t="shared" si="3"/>
        <v>22564</v>
      </c>
      <c r="M18" s="30"/>
    </row>
    <row r="19">
      <c r="A19" s="21"/>
      <c r="B19" s="24" t="s">
        <v>48</v>
      </c>
      <c r="C19" s="56">
        <v>0.0</v>
      </c>
      <c r="D19" s="56">
        <v>0.0</v>
      </c>
      <c r="E19" s="56">
        <v>0.0</v>
      </c>
      <c r="F19" s="63">
        <v>15300.0</v>
      </c>
      <c r="G19" s="27">
        <v>0.0</v>
      </c>
      <c r="H19" s="27">
        <v>10000.0</v>
      </c>
      <c r="I19" s="48">
        <v>27000.0</v>
      </c>
      <c r="J19" s="48">
        <v>40000.0</v>
      </c>
      <c r="K19" s="48">
        <v>38300.0</v>
      </c>
      <c r="L19" s="29">
        <f t="shared" si="3"/>
        <v>130600</v>
      </c>
      <c r="M19" s="30"/>
    </row>
    <row r="20">
      <c r="A20" s="21"/>
      <c r="B20" s="58" t="s">
        <v>49</v>
      </c>
      <c r="C20" s="13">
        <v>0.0</v>
      </c>
      <c r="D20" s="13">
        <v>0.0</v>
      </c>
      <c r="E20" s="13">
        <v>0.0</v>
      </c>
      <c r="F20" s="36">
        <v>0.0</v>
      </c>
      <c r="G20" s="36">
        <v>0.0</v>
      </c>
      <c r="H20" s="36">
        <v>0.0</v>
      </c>
      <c r="I20" s="13">
        <v>54000.0</v>
      </c>
      <c r="J20" s="36">
        <f>15000+6000</f>
        <v>21000</v>
      </c>
      <c r="K20" s="13">
        <v>0.0</v>
      </c>
      <c r="L20" s="29">
        <f t="shared" si="3"/>
        <v>75000</v>
      </c>
      <c r="M20" s="30"/>
    </row>
    <row r="21">
      <c r="A21" s="21"/>
      <c r="B21" s="24" t="s">
        <v>50</v>
      </c>
      <c r="C21" s="13">
        <v>0.0</v>
      </c>
      <c r="D21" s="13">
        <v>0.0</v>
      </c>
      <c r="E21" s="13">
        <v>0.0</v>
      </c>
      <c r="F21" s="37">
        <v>0.0</v>
      </c>
      <c r="G21" s="37">
        <v>0.0</v>
      </c>
      <c r="H21" s="37">
        <v>0.0</v>
      </c>
      <c r="I21" s="13">
        <v>3000.0</v>
      </c>
      <c r="J21" s="36">
        <v>3900.0</v>
      </c>
      <c r="K21" s="13">
        <v>5000.0</v>
      </c>
      <c r="L21" s="29">
        <f t="shared" si="3"/>
        <v>11900</v>
      </c>
      <c r="M21" s="30"/>
    </row>
    <row r="22">
      <c r="A22" s="21"/>
      <c r="B22" s="24" t="s">
        <v>51</v>
      </c>
      <c r="C22" s="13">
        <v>0.0</v>
      </c>
      <c r="D22" s="13">
        <v>0.0</v>
      </c>
      <c r="E22" s="13">
        <v>0.0</v>
      </c>
      <c r="F22" s="49">
        <v>15000.0</v>
      </c>
      <c r="G22" s="37">
        <v>0.0</v>
      </c>
      <c r="H22" s="37">
        <v>23313.0</v>
      </c>
      <c r="I22" s="13">
        <v>24100.0</v>
      </c>
      <c r="J22" s="36">
        <v>30000.0</v>
      </c>
      <c r="K22" s="13">
        <v>0.0</v>
      </c>
      <c r="L22" s="29">
        <f t="shared" si="3"/>
        <v>92413</v>
      </c>
      <c r="M22" s="30"/>
    </row>
    <row r="23">
      <c r="A23" s="21"/>
      <c r="B23" s="24" t="s">
        <v>52</v>
      </c>
      <c r="C23" s="13">
        <v>0.0</v>
      </c>
      <c r="D23" s="13">
        <v>0.0</v>
      </c>
      <c r="E23" s="13">
        <v>0.0</v>
      </c>
      <c r="F23" s="36">
        <v>0.0</v>
      </c>
      <c r="G23" s="36">
        <v>7000.0</v>
      </c>
      <c r="H23" s="37">
        <v>0.0</v>
      </c>
      <c r="I23" s="13">
        <v>0.0</v>
      </c>
      <c r="J23" s="36">
        <v>0.0</v>
      </c>
      <c r="K23" s="13">
        <v>0.0</v>
      </c>
      <c r="L23" s="29">
        <f t="shared" si="3"/>
        <v>7000</v>
      </c>
      <c r="M23" s="30"/>
    </row>
    <row r="24">
      <c r="A24" s="21"/>
      <c r="B24" s="55" t="s">
        <v>47</v>
      </c>
      <c r="C24" s="64">
        <f t="shared" ref="C24:H24" si="8">sum(C3,C8,C19,C21,C22,C23,C14, C20)</f>
        <v>0</v>
      </c>
      <c r="D24" s="64">
        <f t="shared" si="8"/>
        <v>0</v>
      </c>
      <c r="E24" s="64">
        <f t="shared" si="8"/>
        <v>78858.8</v>
      </c>
      <c r="F24" s="64">
        <f t="shared" si="8"/>
        <v>183432.6</v>
      </c>
      <c r="G24" s="64">
        <f t="shared" si="8"/>
        <v>144284</v>
      </c>
      <c r="H24" s="64">
        <f t="shared" si="8"/>
        <v>123338</v>
      </c>
      <c r="I24" s="64">
        <f t="shared" ref="I24:L24" si="9">sum(I3,I8,I14,I19,I20,I21,I22,I23)</f>
        <v>279567</v>
      </c>
      <c r="J24" s="64">
        <f t="shared" si="9"/>
        <v>365154</v>
      </c>
      <c r="K24" s="64">
        <f t="shared" si="9"/>
        <v>281064</v>
      </c>
      <c r="L24" s="64">
        <f t="shared" si="9"/>
        <v>1455698.4</v>
      </c>
    </row>
    <row r="25">
      <c r="A25" s="21"/>
      <c r="B25" s="69" t="s">
        <v>54</v>
      </c>
      <c r="C25" s="70">
        <v>0.0</v>
      </c>
      <c r="D25" s="71">
        <v>0.0</v>
      </c>
      <c r="E25" s="71">
        <v>69297.0</v>
      </c>
      <c r="F25" s="70">
        <v>161389.0</v>
      </c>
      <c r="G25" s="71">
        <v>136408.0</v>
      </c>
      <c r="H25" s="70">
        <v>117393.0</v>
      </c>
      <c r="I25" s="48">
        <v>264290.0</v>
      </c>
      <c r="J25" s="35">
        <v>354855.96</v>
      </c>
      <c r="K25" s="35">
        <v>227496.86</v>
      </c>
      <c r="L25" s="35">
        <f t="shared" ref="L25:L26" si="11">SUM(C25:K25)</f>
        <v>1331129.82</v>
      </c>
    </row>
    <row r="26">
      <c r="A26" s="41"/>
      <c r="B26" s="75" t="s">
        <v>55</v>
      </c>
      <c r="C26" s="76">
        <f t="shared" ref="C26:K26" si="10">C25/1.18</f>
        <v>0</v>
      </c>
      <c r="D26" s="76">
        <f t="shared" si="10"/>
        <v>0</v>
      </c>
      <c r="E26" s="76">
        <f t="shared" si="10"/>
        <v>58726.27119</v>
      </c>
      <c r="F26" s="76">
        <f t="shared" si="10"/>
        <v>136770.339</v>
      </c>
      <c r="G26" s="76">
        <f t="shared" si="10"/>
        <v>115600</v>
      </c>
      <c r="H26" s="80">
        <f t="shared" si="10"/>
        <v>99485.59322</v>
      </c>
      <c r="I26" s="80">
        <f t="shared" si="10"/>
        <v>223974.5763</v>
      </c>
      <c r="J26" s="80">
        <f t="shared" si="10"/>
        <v>300725.3898</v>
      </c>
      <c r="K26" s="80">
        <f t="shared" si="10"/>
        <v>192793.9492</v>
      </c>
      <c r="L26" s="35">
        <f t="shared" si="11"/>
        <v>1128076.119</v>
      </c>
    </row>
    <row r="27">
      <c r="A27" s="41"/>
      <c r="B27" s="72" t="s">
        <v>56</v>
      </c>
      <c r="C27" s="14"/>
      <c r="D27" s="14"/>
      <c r="E27" s="14"/>
      <c r="F27" s="14"/>
      <c r="G27" s="14"/>
      <c r="H27" s="14"/>
      <c r="I27" s="13"/>
      <c r="J27" s="14"/>
      <c r="K27" s="14"/>
      <c r="L27" s="67"/>
    </row>
    <row r="28">
      <c r="A28" s="41"/>
      <c r="B28" s="46" t="s">
        <v>59</v>
      </c>
      <c r="C28" s="14"/>
      <c r="D28" s="14"/>
      <c r="E28" s="14"/>
      <c r="F28" s="14"/>
      <c r="G28" s="14"/>
      <c r="H28" s="14"/>
      <c r="I28" s="13"/>
      <c r="J28" s="14"/>
      <c r="K28" s="14"/>
      <c r="L28" s="67"/>
    </row>
    <row r="29">
      <c r="A29" s="41"/>
      <c r="B29" s="67"/>
      <c r="C29" s="14"/>
      <c r="D29" s="85"/>
      <c r="E29" s="37"/>
      <c r="F29" s="14"/>
      <c r="G29" s="14"/>
      <c r="H29" s="14"/>
      <c r="I29" s="13"/>
      <c r="J29" s="14"/>
      <c r="K29" s="14"/>
      <c r="L29" s="67"/>
    </row>
    <row r="30">
      <c r="A30" s="41"/>
      <c r="B30" s="67"/>
      <c r="C30" s="14"/>
      <c r="D30" s="85"/>
      <c r="E30" s="37"/>
      <c r="F30" s="14"/>
      <c r="G30" s="14"/>
      <c r="H30" s="14"/>
      <c r="I30" s="13"/>
      <c r="J30" s="14"/>
      <c r="K30" s="14"/>
      <c r="L30" s="67"/>
    </row>
    <row r="31">
      <c r="A31" s="41"/>
      <c r="D31" s="73"/>
      <c r="E31" s="87"/>
    </row>
    <row r="32">
      <c r="A32" s="41"/>
      <c r="D32" s="73"/>
      <c r="E32" s="87"/>
    </row>
    <row r="33">
      <c r="A33" s="41"/>
      <c r="D33" s="73"/>
      <c r="E33" s="87"/>
    </row>
    <row r="34">
      <c r="A34" s="41"/>
      <c r="D34" s="73"/>
      <c r="E34" s="87"/>
    </row>
    <row r="35">
      <c r="A35" s="41"/>
      <c r="D35" s="73"/>
      <c r="E35" s="87"/>
    </row>
    <row r="36">
      <c r="A36" s="41"/>
    </row>
    <row r="37">
      <c r="A37" s="41"/>
    </row>
    <row r="38">
      <c r="A38" s="41"/>
    </row>
    <row r="39">
      <c r="A39" s="41"/>
    </row>
    <row r="40">
      <c r="A40" s="41"/>
    </row>
    <row r="41">
      <c r="A41" s="41"/>
    </row>
    <row r="42">
      <c r="A42" s="41"/>
    </row>
    <row r="43">
      <c r="A43" s="41"/>
    </row>
    <row r="44">
      <c r="A44" s="41"/>
    </row>
    <row r="45">
      <c r="A45" s="41"/>
    </row>
    <row r="46">
      <c r="A46" s="41"/>
    </row>
    <row r="47">
      <c r="A47" s="41"/>
    </row>
    <row r="48">
      <c r="A48" s="41"/>
    </row>
    <row r="49">
      <c r="A49" s="41"/>
    </row>
    <row r="50">
      <c r="A50" s="41"/>
    </row>
    <row r="51">
      <c r="A51" s="41"/>
    </row>
    <row r="52">
      <c r="A52" s="41"/>
    </row>
    <row r="53">
      <c r="A53" s="41"/>
    </row>
    <row r="54">
      <c r="A54" s="41"/>
    </row>
    <row r="55">
      <c r="A55" s="41"/>
    </row>
    <row r="56">
      <c r="A56" s="41"/>
    </row>
    <row r="57">
      <c r="A57" s="41"/>
    </row>
    <row r="58">
      <c r="A58" s="41"/>
    </row>
    <row r="59">
      <c r="A59" s="41"/>
    </row>
    <row r="60">
      <c r="A60" s="41"/>
    </row>
    <row r="61">
      <c r="A61" s="41"/>
    </row>
    <row r="62">
      <c r="A62" s="41"/>
    </row>
    <row r="63">
      <c r="A63" s="41"/>
    </row>
    <row r="64">
      <c r="A64" s="41"/>
    </row>
    <row r="65">
      <c r="A65" s="41"/>
    </row>
    <row r="66">
      <c r="A66" s="41"/>
    </row>
    <row r="67">
      <c r="A67" s="41"/>
    </row>
    <row r="68">
      <c r="A68" s="41"/>
    </row>
    <row r="69">
      <c r="A69" s="41"/>
    </row>
    <row r="70">
      <c r="A70" s="41"/>
    </row>
    <row r="71">
      <c r="A71" s="41"/>
    </row>
    <row r="72">
      <c r="A72" s="41"/>
    </row>
    <row r="73">
      <c r="A73" s="41"/>
    </row>
    <row r="74">
      <c r="A74" s="41"/>
    </row>
    <row r="75">
      <c r="A75" s="41"/>
    </row>
    <row r="76">
      <c r="A76" s="41"/>
    </row>
    <row r="77">
      <c r="A77" s="41"/>
    </row>
    <row r="78">
      <c r="A78" s="41"/>
    </row>
    <row r="79">
      <c r="A79" s="41"/>
    </row>
    <row r="80">
      <c r="A80" s="41"/>
    </row>
    <row r="81">
      <c r="A81" s="41"/>
    </row>
    <row r="82">
      <c r="A82" s="41"/>
    </row>
    <row r="83">
      <c r="A83" s="41"/>
    </row>
    <row r="84">
      <c r="A84" s="41"/>
    </row>
    <row r="85">
      <c r="A85" s="41"/>
    </row>
    <row r="86">
      <c r="A86" s="41"/>
    </row>
    <row r="87">
      <c r="A87" s="41"/>
    </row>
    <row r="88">
      <c r="A88" s="41"/>
    </row>
    <row r="89">
      <c r="A89" s="41"/>
    </row>
    <row r="90">
      <c r="A90" s="41"/>
    </row>
    <row r="91">
      <c r="A91" s="41"/>
    </row>
    <row r="92">
      <c r="A92" s="41"/>
    </row>
    <row r="93">
      <c r="A93" s="41"/>
    </row>
    <row r="94">
      <c r="A94" s="41"/>
    </row>
    <row r="95">
      <c r="A95" s="41"/>
    </row>
    <row r="96">
      <c r="A96" s="41"/>
    </row>
    <row r="97">
      <c r="A97" s="41"/>
    </row>
    <row r="98">
      <c r="A98" s="41"/>
    </row>
    <row r="99">
      <c r="A99" s="41"/>
    </row>
    <row r="100">
      <c r="A100" s="41"/>
    </row>
    <row r="101">
      <c r="A101" s="41"/>
    </row>
    <row r="102">
      <c r="A102" s="41"/>
    </row>
    <row r="103">
      <c r="A103" s="41"/>
    </row>
    <row r="104">
      <c r="A104" s="41"/>
    </row>
    <row r="105">
      <c r="A105" s="41"/>
    </row>
    <row r="106">
      <c r="A106" s="41"/>
    </row>
    <row r="107">
      <c r="A107" s="41"/>
    </row>
    <row r="108">
      <c r="A108" s="41"/>
    </row>
    <row r="109">
      <c r="A109" s="41"/>
    </row>
    <row r="110">
      <c r="A110" s="41"/>
    </row>
    <row r="111">
      <c r="A111" s="41"/>
    </row>
    <row r="112">
      <c r="A112" s="41"/>
    </row>
    <row r="113">
      <c r="A113" s="41"/>
    </row>
    <row r="114">
      <c r="A114" s="41"/>
    </row>
    <row r="115">
      <c r="A115" s="41"/>
    </row>
    <row r="116">
      <c r="A116" s="41"/>
    </row>
    <row r="117">
      <c r="A117" s="41"/>
    </row>
    <row r="118">
      <c r="A118" s="41"/>
    </row>
    <row r="119">
      <c r="A119" s="41"/>
    </row>
    <row r="120">
      <c r="A120" s="41"/>
    </row>
    <row r="121">
      <c r="A121" s="41"/>
    </row>
    <row r="122">
      <c r="A122" s="41"/>
    </row>
    <row r="123">
      <c r="A123" s="41"/>
    </row>
    <row r="124">
      <c r="A124" s="41"/>
    </row>
    <row r="125">
      <c r="A125" s="41"/>
    </row>
    <row r="126">
      <c r="A126" s="41"/>
    </row>
    <row r="127">
      <c r="A127" s="41"/>
    </row>
    <row r="128">
      <c r="A128" s="41"/>
    </row>
    <row r="129">
      <c r="A129" s="41"/>
    </row>
    <row r="130">
      <c r="A130" s="41"/>
    </row>
    <row r="131">
      <c r="A131" s="41"/>
    </row>
    <row r="132">
      <c r="A132" s="41"/>
    </row>
    <row r="133">
      <c r="A133" s="41"/>
    </row>
    <row r="134">
      <c r="A134" s="41"/>
    </row>
    <row r="135">
      <c r="A135" s="41"/>
    </row>
    <row r="136">
      <c r="A136" s="41"/>
    </row>
    <row r="137">
      <c r="A137" s="41"/>
    </row>
    <row r="138">
      <c r="A138" s="41"/>
    </row>
    <row r="139">
      <c r="A139" s="41"/>
    </row>
    <row r="140">
      <c r="A140" s="41"/>
    </row>
    <row r="141">
      <c r="A141" s="41"/>
    </row>
    <row r="142">
      <c r="A142" s="41"/>
    </row>
    <row r="143">
      <c r="A143" s="41"/>
    </row>
    <row r="144">
      <c r="A144" s="41"/>
    </row>
    <row r="145">
      <c r="A145" s="41"/>
    </row>
    <row r="146">
      <c r="A146" s="41"/>
    </row>
    <row r="147">
      <c r="A147" s="41"/>
    </row>
    <row r="148">
      <c r="A148" s="41"/>
    </row>
    <row r="149">
      <c r="A149" s="41"/>
    </row>
    <row r="150">
      <c r="A150" s="41"/>
    </row>
    <row r="151">
      <c r="A151" s="41"/>
    </row>
    <row r="152">
      <c r="A152" s="41"/>
    </row>
    <row r="153">
      <c r="A153" s="41"/>
    </row>
    <row r="154">
      <c r="A154" s="41"/>
    </row>
    <row r="155">
      <c r="A155" s="41"/>
    </row>
    <row r="156">
      <c r="A156" s="41"/>
    </row>
    <row r="157">
      <c r="A157" s="41"/>
    </row>
    <row r="158">
      <c r="A158" s="41"/>
    </row>
    <row r="159">
      <c r="A159" s="41"/>
    </row>
    <row r="160">
      <c r="A160" s="41"/>
    </row>
    <row r="161">
      <c r="A161" s="41"/>
    </row>
    <row r="162">
      <c r="A162" s="41"/>
    </row>
    <row r="163">
      <c r="A163" s="41"/>
    </row>
    <row r="164">
      <c r="A164" s="41"/>
    </row>
    <row r="165">
      <c r="A165" s="41"/>
    </row>
    <row r="166">
      <c r="A166" s="41"/>
    </row>
    <row r="167">
      <c r="A167" s="41"/>
    </row>
    <row r="168">
      <c r="A168" s="41"/>
    </row>
    <row r="169">
      <c r="A169" s="41"/>
    </row>
    <row r="170">
      <c r="A170" s="41"/>
    </row>
    <row r="171">
      <c r="A171" s="41"/>
    </row>
    <row r="172">
      <c r="A172" s="41"/>
    </row>
    <row r="173">
      <c r="A173" s="41"/>
    </row>
    <row r="174">
      <c r="A174" s="41"/>
    </row>
    <row r="175">
      <c r="A175" s="41"/>
    </row>
    <row r="176">
      <c r="A176" s="41"/>
    </row>
    <row r="177">
      <c r="A177" s="41"/>
    </row>
    <row r="178">
      <c r="A178" s="41"/>
    </row>
    <row r="179">
      <c r="A179" s="41"/>
    </row>
    <row r="180">
      <c r="A180" s="41"/>
    </row>
    <row r="181">
      <c r="A181" s="41"/>
    </row>
    <row r="182">
      <c r="A182" s="41"/>
    </row>
    <row r="183">
      <c r="A183" s="41"/>
    </row>
    <row r="184">
      <c r="A184" s="41"/>
    </row>
    <row r="185">
      <c r="A185" s="41"/>
    </row>
    <row r="186">
      <c r="A186" s="41"/>
    </row>
    <row r="187">
      <c r="A187" s="41"/>
    </row>
    <row r="188">
      <c r="A188" s="41"/>
    </row>
    <row r="189">
      <c r="A189" s="41"/>
    </row>
    <row r="190">
      <c r="A190" s="41"/>
    </row>
    <row r="191">
      <c r="A191" s="41"/>
    </row>
    <row r="192">
      <c r="A192" s="41"/>
    </row>
    <row r="193">
      <c r="A193" s="41"/>
    </row>
    <row r="194">
      <c r="A194" s="41"/>
    </row>
    <row r="195">
      <c r="A195" s="41"/>
    </row>
    <row r="196">
      <c r="A196" s="41"/>
    </row>
    <row r="197">
      <c r="A197" s="41"/>
    </row>
    <row r="198">
      <c r="A198" s="41"/>
    </row>
    <row r="199">
      <c r="A199" s="41"/>
    </row>
    <row r="200">
      <c r="A200" s="41"/>
    </row>
    <row r="201">
      <c r="A201" s="41"/>
    </row>
    <row r="202">
      <c r="A202" s="41"/>
    </row>
    <row r="203">
      <c r="A203" s="41"/>
    </row>
    <row r="204">
      <c r="A204" s="41"/>
    </row>
    <row r="205">
      <c r="A205" s="41"/>
    </row>
    <row r="206">
      <c r="A206" s="41"/>
    </row>
    <row r="207">
      <c r="A207" s="41"/>
    </row>
    <row r="208">
      <c r="A208" s="41"/>
    </row>
    <row r="209">
      <c r="A209" s="41"/>
    </row>
    <row r="210">
      <c r="A210" s="41"/>
    </row>
    <row r="211">
      <c r="A211" s="41"/>
    </row>
    <row r="212">
      <c r="A212" s="41"/>
    </row>
    <row r="213">
      <c r="A213" s="41"/>
    </row>
    <row r="214">
      <c r="A214" s="41"/>
    </row>
    <row r="215">
      <c r="A215" s="41"/>
    </row>
    <row r="216">
      <c r="A216" s="41"/>
    </row>
    <row r="217">
      <c r="A217" s="41"/>
    </row>
    <row r="218">
      <c r="A218" s="41"/>
    </row>
    <row r="219">
      <c r="A219" s="41"/>
    </row>
    <row r="220">
      <c r="A220" s="41"/>
    </row>
    <row r="221">
      <c r="A221" s="41"/>
    </row>
    <row r="222">
      <c r="A222" s="41"/>
    </row>
    <row r="223">
      <c r="A223" s="41"/>
    </row>
    <row r="224">
      <c r="A224" s="41"/>
    </row>
    <row r="225">
      <c r="A225" s="41"/>
    </row>
    <row r="226">
      <c r="A226" s="41"/>
    </row>
    <row r="227">
      <c r="A227" s="41"/>
    </row>
    <row r="228">
      <c r="A228" s="41"/>
    </row>
    <row r="229">
      <c r="A229" s="41"/>
    </row>
    <row r="230">
      <c r="A230" s="41"/>
    </row>
    <row r="231">
      <c r="A231" s="41"/>
    </row>
    <row r="232">
      <c r="A232" s="41"/>
    </row>
    <row r="233">
      <c r="A233" s="41"/>
    </row>
    <row r="234">
      <c r="A234" s="41"/>
    </row>
    <row r="235">
      <c r="A235" s="41"/>
    </row>
    <row r="236">
      <c r="A236" s="41"/>
    </row>
    <row r="237">
      <c r="A237" s="41"/>
    </row>
    <row r="238">
      <c r="A238" s="41"/>
    </row>
    <row r="239">
      <c r="A239" s="41"/>
    </row>
    <row r="240">
      <c r="A240" s="41"/>
    </row>
    <row r="241">
      <c r="A241" s="41"/>
    </row>
    <row r="242">
      <c r="A242" s="41"/>
    </row>
    <row r="243">
      <c r="A243" s="41"/>
    </row>
    <row r="244">
      <c r="A244" s="41"/>
    </row>
    <row r="245">
      <c r="A245" s="41"/>
    </row>
    <row r="246">
      <c r="A246" s="41"/>
    </row>
    <row r="247">
      <c r="A247" s="41"/>
    </row>
    <row r="248">
      <c r="A248" s="41"/>
    </row>
    <row r="249">
      <c r="A249" s="41"/>
    </row>
    <row r="250">
      <c r="A250" s="41"/>
    </row>
    <row r="251">
      <c r="A251" s="41"/>
    </row>
    <row r="252">
      <c r="A252" s="41"/>
    </row>
    <row r="253">
      <c r="A253" s="41"/>
    </row>
    <row r="254">
      <c r="A254" s="41"/>
    </row>
    <row r="255">
      <c r="A255" s="41"/>
    </row>
    <row r="256">
      <c r="A256" s="41"/>
    </row>
    <row r="257">
      <c r="A257" s="41"/>
    </row>
    <row r="258">
      <c r="A258" s="41"/>
    </row>
    <row r="259">
      <c r="A259" s="41"/>
    </row>
    <row r="260">
      <c r="A260" s="41"/>
    </row>
    <row r="261">
      <c r="A261" s="41"/>
    </row>
    <row r="262">
      <c r="A262" s="41"/>
    </row>
    <row r="263">
      <c r="A263" s="41"/>
    </row>
    <row r="264">
      <c r="A264" s="41"/>
    </row>
    <row r="265">
      <c r="A265" s="41"/>
    </row>
    <row r="266">
      <c r="A266" s="41"/>
    </row>
    <row r="267">
      <c r="A267" s="41"/>
    </row>
    <row r="268">
      <c r="A268" s="41"/>
    </row>
    <row r="269">
      <c r="A269" s="41"/>
    </row>
    <row r="270">
      <c r="A270" s="41"/>
    </row>
    <row r="271">
      <c r="A271" s="41"/>
    </row>
    <row r="272">
      <c r="A272" s="41"/>
    </row>
    <row r="273">
      <c r="A273" s="41"/>
    </row>
    <row r="274">
      <c r="A274" s="41"/>
    </row>
    <row r="275">
      <c r="A275" s="41"/>
    </row>
    <row r="276">
      <c r="A276" s="41"/>
    </row>
    <row r="277">
      <c r="A277" s="41"/>
    </row>
    <row r="278">
      <c r="A278" s="41"/>
    </row>
    <row r="279">
      <c r="A279" s="41"/>
    </row>
    <row r="280">
      <c r="A280" s="41"/>
    </row>
    <row r="281">
      <c r="A281" s="41"/>
    </row>
    <row r="282">
      <c r="A282" s="41"/>
    </row>
    <row r="283">
      <c r="A283" s="41"/>
    </row>
    <row r="284">
      <c r="A284" s="41"/>
    </row>
    <row r="285">
      <c r="A285" s="41"/>
    </row>
    <row r="286">
      <c r="A286" s="41"/>
    </row>
    <row r="287">
      <c r="A287" s="41"/>
    </row>
    <row r="288">
      <c r="A288" s="41"/>
    </row>
    <row r="289">
      <c r="A289" s="41"/>
    </row>
    <row r="290">
      <c r="A290" s="41"/>
    </row>
    <row r="291">
      <c r="A291" s="41"/>
    </row>
    <row r="292">
      <c r="A292" s="41"/>
    </row>
    <row r="293">
      <c r="A293" s="41"/>
    </row>
    <row r="294">
      <c r="A294" s="41"/>
    </row>
    <row r="295">
      <c r="A295" s="41"/>
    </row>
    <row r="296">
      <c r="A296" s="41"/>
    </row>
    <row r="297">
      <c r="A297" s="41"/>
    </row>
    <row r="298">
      <c r="A298" s="41"/>
    </row>
    <row r="299">
      <c r="A299" s="41"/>
    </row>
    <row r="300">
      <c r="A300" s="41"/>
    </row>
    <row r="301">
      <c r="A301" s="41"/>
    </row>
    <row r="302">
      <c r="A302" s="41"/>
    </row>
    <row r="303">
      <c r="A303" s="41"/>
    </row>
    <row r="304">
      <c r="A304" s="41"/>
    </row>
    <row r="305">
      <c r="A305" s="41"/>
    </row>
    <row r="306">
      <c r="A306" s="41"/>
    </row>
    <row r="307">
      <c r="A307" s="41"/>
    </row>
    <row r="308">
      <c r="A308" s="41"/>
    </row>
    <row r="309">
      <c r="A309" s="41"/>
    </row>
    <row r="310">
      <c r="A310" s="41"/>
    </row>
    <row r="311">
      <c r="A311" s="41"/>
    </row>
    <row r="312">
      <c r="A312" s="41"/>
    </row>
    <row r="313">
      <c r="A313" s="41"/>
    </row>
    <row r="314">
      <c r="A314" s="41"/>
    </row>
    <row r="315">
      <c r="A315" s="41"/>
    </row>
    <row r="316">
      <c r="A316" s="41"/>
    </row>
    <row r="317">
      <c r="A317" s="41"/>
    </row>
    <row r="318">
      <c r="A318" s="41"/>
    </row>
    <row r="319">
      <c r="A319" s="41"/>
    </row>
    <row r="320">
      <c r="A320" s="41"/>
    </row>
    <row r="321">
      <c r="A321" s="41"/>
    </row>
    <row r="322">
      <c r="A322" s="41"/>
    </row>
    <row r="323">
      <c r="A323" s="41"/>
    </row>
    <row r="324">
      <c r="A324" s="41"/>
    </row>
    <row r="325">
      <c r="A325" s="41"/>
    </row>
    <row r="326">
      <c r="A326" s="41"/>
    </row>
    <row r="327">
      <c r="A327" s="41"/>
    </row>
    <row r="328">
      <c r="A328" s="41"/>
    </row>
    <row r="329">
      <c r="A329" s="41"/>
    </row>
    <row r="330">
      <c r="A330" s="41"/>
    </row>
    <row r="331">
      <c r="A331" s="41"/>
    </row>
    <row r="332">
      <c r="A332" s="41"/>
    </row>
    <row r="333">
      <c r="A333" s="41"/>
    </row>
    <row r="334">
      <c r="A334" s="41"/>
    </row>
    <row r="335">
      <c r="A335" s="41"/>
    </row>
    <row r="336">
      <c r="A336" s="41"/>
    </row>
    <row r="337">
      <c r="A337" s="41"/>
    </row>
    <row r="338">
      <c r="A338" s="41"/>
    </row>
    <row r="339">
      <c r="A339" s="41"/>
    </row>
    <row r="340">
      <c r="A340" s="41"/>
    </row>
    <row r="341">
      <c r="A341" s="41"/>
    </row>
    <row r="342">
      <c r="A342" s="41"/>
    </row>
    <row r="343">
      <c r="A343" s="41"/>
    </row>
    <row r="344">
      <c r="A344" s="41"/>
    </row>
    <row r="345">
      <c r="A345" s="41"/>
    </row>
    <row r="346">
      <c r="A346" s="41"/>
    </row>
    <row r="347">
      <c r="A347" s="41"/>
    </row>
    <row r="348">
      <c r="A348" s="41"/>
    </row>
    <row r="349">
      <c r="A349" s="41"/>
    </row>
    <row r="350">
      <c r="A350" s="41"/>
    </row>
    <row r="351">
      <c r="A351" s="41"/>
    </row>
    <row r="352">
      <c r="A352" s="41"/>
    </row>
    <row r="353">
      <c r="A353" s="41"/>
    </row>
    <row r="354">
      <c r="A354" s="41"/>
    </row>
    <row r="355">
      <c r="A355" s="41"/>
    </row>
    <row r="356">
      <c r="A356" s="41"/>
    </row>
    <row r="357">
      <c r="A357" s="41"/>
    </row>
    <row r="358">
      <c r="A358" s="41"/>
    </row>
    <row r="359">
      <c r="A359" s="41"/>
    </row>
    <row r="360">
      <c r="A360" s="41"/>
    </row>
    <row r="361">
      <c r="A361" s="41"/>
    </row>
    <row r="362">
      <c r="A362" s="41"/>
    </row>
    <row r="363">
      <c r="A363" s="41"/>
    </row>
    <row r="364">
      <c r="A364" s="41"/>
    </row>
    <row r="365">
      <c r="A365" s="41"/>
    </row>
    <row r="366">
      <c r="A366" s="41"/>
    </row>
    <row r="367">
      <c r="A367" s="41"/>
    </row>
    <row r="368">
      <c r="A368" s="41"/>
    </row>
    <row r="369">
      <c r="A369" s="41"/>
    </row>
    <row r="370">
      <c r="A370" s="41"/>
    </row>
    <row r="371">
      <c r="A371" s="41"/>
    </row>
    <row r="372">
      <c r="A372" s="41"/>
    </row>
    <row r="373">
      <c r="A373" s="41"/>
    </row>
    <row r="374">
      <c r="A374" s="41"/>
    </row>
    <row r="375">
      <c r="A375" s="41"/>
    </row>
    <row r="376">
      <c r="A376" s="41"/>
    </row>
    <row r="377">
      <c r="A377" s="41"/>
    </row>
    <row r="378">
      <c r="A378" s="41"/>
    </row>
    <row r="379">
      <c r="A379" s="41"/>
    </row>
    <row r="380">
      <c r="A380" s="41"/>
    </row>
    <row r="381">
      <c r="A381" s="41"/>
    </row>
    <row r="382">
      <c r="A382" s="41"/>
    </row>
    <row r="383">
      <c r="A383" s="41"/>
    </row>
    <row r="384">
      <c r="A384" s="41"/>
    </row>
    <row r="385">
      <c r="A385" s="41"/>
    </row>
    <row r="386">
      <c r="A386" s="41"/>
    </row>
    <row r="387">
      <c r="A387" s="41"/>
    </row>
    <row r="388">
      <c r="A388" s="41"/>
    </row>
    <row r="389">
      <c r="A389" s="41"/>
    </row>
    <row r="390">
      <c r="A390" s="41"/>
    </row>
    <row r="391">
      <c r="A391" s="41"/>
    </row>
    <row r="392">
      <c r="A392" s="41"/>
    </row>
    <row r="393">
      <c r="A393" s="41"/>
    </row>
    <row r="394">
      <c r="A394" s="41"/>
    </row>
    <row r="395">
      <c r="A395" s="41"/>
    </row>
    <row r="396">
      <c r="A396" s="41"/>
    </row>
    <row r="397">
      <c r="A397" s="41"/>
    </row>
    <row r="398">
      <c r="A398" s="41"/>
    </row>
    <row r="399">
      <c r="A399" s="41"/>
    </row>
    <row r="400">
      <c r="A400" s="41"/>
    </row>
    <row r="401">
      <c r="A401" s="41"/>
    </row>
    <row r="402">
      <c r="A402" s="41"/>
    </row>
    <row r="403">
      <c r="A403" s="41"/>
    </row>
    <row r="404">
      <c r="A404" s="41"/>
    </row>
    <row r="405">
      <c r="A405" s="41"/>
    </row>
    <row r="406">
      <c r="A406" s="41"/>
    </row>
    <row r="407">
      <c r="A407" s="41"/>
    </row>
    <row r="408">
      <c r="A408" s="41"/>
    </row>
    <row r="409">
      <c r="A409" s="41"/>
    </row>
    <row r="410">
      <c r="A410" s="41"/>
    </row>
    <row r="411">
      <c r="A411" s="41"/>
    </row>
    <row r="412">
      <c r="A412" s="41"/>
    </row>
    <row r="413">
      <c r="A413" s="41"/>
    </row>
    <row r="414">
      <c r="A414" s="41"/>
    </row>
    <row r="415">
      <c r="A415" s="41"/>
    </row>
    <row r="416">
      <c r="A416" s="41"/>
    </row>
    <row r="417">
      <c r="A417" s="41"/>
    </row>
    <row r="418">
      <c r="A418" s="41"/>
    </row>
    <row r="419">
      <c r="A419" s="41"/>
    </row>
    <row r="420">
      <c r="A420" s="41"/>
    </row>
    <row r="421">
      <c r="A421" s="41"/>
    </row>
    <row r="422">
      <c r="A422" s="41"/>
    </row>
    <row r="423">
      <c r="A423" s="41"/>
    </row>
    <row r="424">
      <c r="A424" s="41"/>
    </row>
    <row r="425">
      <c r="A425" s="41"/>
    </row>
    <row r="426">
      <c r="A426" s="41"/>
    </row>
    <row r="427">
      <c r="A427" s="41"/>
    </row>
    <row r="428">
      <c r="A428" s="41"/>
    </row>
    <row r="429">
      <c r="A429" s="41"/>
    </row>
    <row r="430">
      <c r="A430" s="41"/>
    </row>
    <row r="431">
      <c r="A431" s="41"/>
    </row>
    <row r="432">
      <c r="A432" s="41"/>
    </row>
    <row r="433">
      <c r="A433" s="41"/>
    </row>
    <row r="434">
      <c r="A434" s="41"/>
    </row>
    <row r="435">
      <c r="A435" s="41"/>
    </row>
    <row r="436">
      <c r="A436" s="41"/>
    </row>
    <row r="437">
      <c r="A437" s="41"/>
    </row>
    <row r="438">
      <c r="A438" s="41"/>
    </row>
    <row r="439">
      <c r="A439" s="41"/>
    </row>
    <row r="440">
      <c r="A440" s="41"/>
    </row>
    <row r="441">
      <c r="A441" s="41"/>
    </row>
    <row r="442">
      <c r="A442" s="41"/>
    </row>
    <row r="443">
      <c r="A443" s="41"/>
    </row>
    <row r="444">
      <c r="A444" s="41"/>
    </row>
    <row r="445">
      <c r="A445" s="41"/>
    </row>
    <row r="446">
      <c r="A446" s="41"/>
    </row>
    <row r="447">
      <c r="A447" s="41"/>
    </row>
    <row r="448">
      <c r="A448" s="41"/>
    </row>
    <row r="449">
      <c r="A449" s="41"/>
    </row>
    <row r="450">
      <c r="A450" s="41"/>
    </row>
    <row r="451">
      <c r="A451" s="41"/>
    </row>
    <row r="452">
      <c r="A452" s="41"/>
    </row>
    <row r="453">
      <c r="A453" s="41"/>
    </row>
    <row r="454">
      <c r="A454" s="41"/>
    </row>
    <row r="455">
      <c r="A455" s="41"/>
    </row>
    <row r="456">
      <c r="A456" s="41"/>
    </row>
    <row r="457">
      <c r="A457" s="41"/>
    </row>
    <row r="458">
      <c r="A458" s="41"/>
    </row>
    <row r="459">
      <c r="A459" s="41"/>
    </row>
    <row r="460">
      <c r="A460" s="41"/>
    </row>
    <row r="461">
      <c r="A461" s="41"/>
    </row>
    <row r="462">
      <c r="A462" s="41"/>
    </row>
    <row r="463">
      <c r="A463" s="41"/>
    </row>
    <row r="464">
      <c r="A464" s="41"/>
    </row>
    <row r="465">
      <c r="A465" s="41"/>
    </row>
    <row r="466">
      <c r="A466" s="41"/>
    </row>
    <row r="467">
      <c r="A467" s="41"/>
    </row>
    <row r="468">
      <c r="A468" s="41"/>
    </row>
    <row r="469">
      <c r="A469" s="41"/>
    </row>
    <row r="470">
      <c r="A470" s="41"/>
    </row>
    <row r="471">
      <c r="A471" s="41"/>
    </row>
    <row r="472">
      <c r="A472" s="41"/>
    </row>
    <row r="473">
      <c r="A473" s="41"/>
    </row>
    <row r="474">
      <c r="A474" s="41"/>
    </row>
    <row r="475">
      <c r="A475" s="41"/>
    </row>
    <row r="476">
      <c r="A476" s="41"/>
    </row>
    <row r="477">
      <c r="A477" s="41"/>
    </row>
    <row r="478">
      <c r="A478" s="41"/>
    </row>
    <row r="479">
      <c r="A479" s="41"/>
    </row>
    <row r="480">
      <c r="A480" s="41"/>
    </row>
    <row r="481">
      <c r="A481" s="41"/>
    </row>
    <row r="482">
      <c r="A482" s="41"/>
    </row>
    <row r="483">
      <c r="A483" s="41"/>
    </row>
    <row r="484">
      <c r="A484" s="41"/>
    </row>
    <row r="485">
      <c r="A485" s="41"/>
    </row>
    <row r="486">
      <c r="A486" s="41"/>
    </row>
    <row r="487">
      <c r="A487" s="41"/>
    </row>
    <row r="488">
      <c r="A488" s="41"/>
    </row>
    <row r="489">
      <c r="A489" s="41"/>
    </row>
    <row r="490">
      <c r="A490" s="41"/>
    </row>
    <row r="491">
      <c r="A491" s="41"/>
    </row>
    <row r="492">
      <c r="A492" s="41"/>
    </row>
    <row r="493">
      <c r="A493" s="41"/>
    </row>
    <row r="494">
      <c r="A494" s="41"/>
    </row>
    <row r="495">
      <c r="A495" s="41"/>
    </row>
    <row r="496">
      <c r="A496" s="41"/>
    </row>
    <row r="497">
      <c r="A497" s="41"/>
    </row>
    <row r="498">
      <c r="A498" s="41"/>
    </row>
    <row r="499">
      <c r="A499" s="41"/>
    </row>
    <row r="500">
      <c r="A500" s="41"/>
    </row>
    <row r="501">
      <c r="A501" s="41"/>
    </row>
    <row r="502">
      <c r="A502" s="41"/>
    </row>
    <row r="503">
      <c r="A503" s="41"/>
    </row>
    <row r="504">
      <c r="A504" s="41"/>
    </row>
    <row r="505">
      <c r="A505" s="41"/>
    </row>
    <row r="506">
      <c r="A506" s="41"/>
    </row>
    <row r="507">
      <c r="A507" s="41"/>
    </row>
    <row r="508">
      <c r="A508" s="41"/>
    </row>
    <row r="509">
      <c r="A509" s="41"/>
    </row>
    <row r="510">
      <c r="A510" s="41"/>
    </row>
    <row r="511">
      <c r="A511" s="41"/>
    </row>
    <row r="512">
      <c r="A512" s="41"/>
    </row>
    <row r="513">
      <c r="A513" s="41"/>
    </row>
    <row r="514">
      <c r="A514" s="41"/>
    </row>
    <row r="515">
      <c r="A515" s="41"/>
    </row>
    <row r="516">
      <c r="A516" s="41"/>
    </row>
    <row r="517">
      <c r="A517" s="41"/>
    </row>
    <row r="518">
      <c r="A518" s="41"/>
    </row>
    <row r="519">
      <c r="A519" s="41"/>
    </row>
    <row r="520">
      <c r="A520" s="41"/>
    </row>
    <row r="521">
      <c r="A521" s="41"/>
    </row>
    <row r="522">
      <c r="A522" s="41"/>
    </row>
    <row r="523">
      <c r="A523" s="41"/>
    </row>
    <row r="524">
      <c r="A524" s="41"/>
    </row>
    <row r="525">
      <c r="A525" s="41"/>
    </row>
    <row r="526">
      <c r="A526" s="41"/>
    </row>
    <row r="527">
      <c r="A527" s="41"/>
    </row>
    <row r="528">
      <c r="A528" s="41"/>
    </row>
    <row r="529">
      <c r="A529" s="41"/>
    </row>
    <row r="530">
      <c r="A530" s="41"/>
    </row>
    <row r="531">
      <c r="A531" s="41"/>
    </row>
    <row r="532">
      <c r="A532" s="41"/>
    </row>
    <row r="533">
      <c r="A533" s="41"/>
    </row>
    <row r="534">
      <c r="A534" s="41"/>
    </row>
    <row r="535">
      <c r="A535" s="41"/>
    </row>
    <row r="536">
      <c r="A536" s="41"/>
    </row>
    <row r="537">
      <c r="A537" s="41"/>
    </row>
    <row r="538">
      <c r="A538" s="41"/>
    </row>
    <row r="539">
      <c r="A539" s="41"/>
    </row>
    <row r="540">
      <c r="A540" s="41"/>
    </row>
    <row r="541">
      <c r="A541" s="41"/>
    </row>
    <row r="542">
      <c r="A542" s="41"/>
    </row>
    <row r="543">
      <c r="A543" s="41"/>
    </row>
    <row r="544">
      <c r="A544" s="41"/>
    </row>
    <row r="545">
      <c r="A545" s="41"/>
    </row>
    <row r="546">
      <c r="A546" s="41"/>
    </row>
    <row r="547">
      <c r="A547" s="41"/>
    </row>
    <row r="548">
      <c r="A548" s="41"/>
    </row>
    <row r="549">
      <c r="A549" s="41"/>
    </row>
    <row r="550">
      <c r="A550" s="41"/>
    </row>
    <row r="551">
      <c r="A551" s="41"/>
    </row>
    <row r="552">
      <c r="A552" s="41"/>
    </row>
    <row r="553">
      <c r="A553" s="41"/>
    </row>
    <row r="554">
      <c r="A554" s="41"/>
    </row>
    <row r="555">
      <c r="A555" s="41"/>
    </row>
    <row r="556">
      <c r="A556" s="41"/>
    </row>
    <row r="557">
      <c r="A557" s="41"/>
    </row>
    <row r="558">
      <c r="A558" s="41"/>
    </row>
    <row r="559">
      <c r="A559" s="41"/>
    </row>
    <row r="560">
      <c r="A560" s="41"/>
    </row>
    <row r="561">
      <c r="A561" s="41"/>
    </row>
    <row r="562">
      <c r="A562" s="41"/>
    </row>
    <row r="563">
      <c r="A563" s="41"/>
    </row>
    <row r="564">
      <c r="A564" s="41"/>
    </row>
    <row r="565">
      <c r="A565" s="41"/>
    </row>
    <row r="566">
      <c r="A566" s="41"/>
    </row>
    <row r="567">
      <c r="A567" s="41"/>
    </row>
    <row r="568">
      <c r="A568" s="41"/>
    </row>
    <row r="569">
      <c r="A569" s="41"/>
    </row>
    <row r="570">
      <c r="A570" s="41"/>
    </row>
    <row r="571">
      <c r="A571" s="41"/>
    </row>
    <row r="572">
      <c r="A572" s="41"/>
    </row>
    <row r="573">
      <c r="A573" s="41"/>
    </row>
    <row r="574">
      <c r="A574" s="41"/>
    </row>
    <row r="575">
      <c r="A575" s="41"/>
    </row>
    <row r="576">
      <c r="A576" s="41"/>
    </row>
    <row r="577">
      <c r="A577" s="41"/>
    </row>
    <row r="578">
      <c r="A578" s="41"/>
    </row>
    <row r="579">
      <c r="A579" s="41"/>
    </row>
    <row r="580">
      <c r="A580" s="41"/>
    </row>
    <row r="581">
      <c r="A581" s="41"/>
    </row>
    <row r="582">
      <c r="A582" s="41"/>
    </row>
    <row r="583">
      <c r="A583" s="41"/>
    </row>
    <row r="584">
      <c r="A584" s="41"/>
    </row>
    <row r="585">
      <c r="A585" s="41"/>
    </row>
    <row r="586">
      <c r="A586" s="41"/>
    </row>
    <row r="587">
      <c r="A587" s="41"/>
    </row>
    <row r="588">
      <c r="A588" s="41"/>
    </row>
    <row r="589">
      <c r="A589" s="41"/>
    </row>
    <row r="590">
      <c r="A590" s="41"/>
    </row>
    <row r="591">
      <c r="A591" s="41"/>
    </row>
    <row r="592">
      <c r="A592" s="41"/>
    </row>
    <row r="593">
      <c r="A593" s="41"/>
    </row>
    <row r="594">
      <c r="A594" s="41"/>
    </row>
    <row r="595">
      <c r="A595" s="41"/>
    </row>
    <row r="596">
      <c r="A596" s="41"/>
    </row>
    <row r="597">
      <c r="A597" s="41"/>
    </row>
    <row r="598">
      <c r="A598" s="41"/>
    </row>
    <row r="599">
      <c r="A599" s="41"/>
    </row>
    <row r="600">
      <c r="A600" s="41"/>
    </row>
    <row r="601">
      <c r="A601" s="41"/>
    </row>
    <row r="602">
      <c r="A602" s="41"/>
    </row>
    <row r="603">
      <c r="A603" s="41"/>
    </row>
    <row r="604">
      <c r="A604" s="41"/>
    </row>
    <row r="605">
      <c r="A605" s="41"/>
    </row>
    <row r="606">
      <c r="A606" s="41"/>
    </row>
    <row r="607">
      <c r="A607" s="41"/>
    </row>
    <row r="608">
      <c r="A608" s="41"/>
    </row>
    <row r="609">
      <c r="A609" s="41"/>
    </row>
    <row r="610">
      <c r="A610" s="41"/>
    </row>
    <row r="611">
      <c r="A611" s="41"/>
    </row>
    <row r="612">
      <c r="A612" s="41"/>
    </row>
    <row r="613">
      <c r="A613" s="41"/>
    </row>
    <row r="614">
      <c r="A614" s="41"/>
    </row>
    <row r="615">
      <c r="A615" s="41"/>
    </row>
    <row r="616">
      <c r="A616" s="41"/>
    </row>
    <row r="617">
      <c r="A617" s="41"/>
    </row>
    <row r="618">
      <c r="A618" s="41"/>
    </row>
    <row r="619">
      <c r="A619" s="41"/>
    </row>
    <row r="620">
      <c r="A620" s="41"/>
    </row>
    <row r="621">
      <c r="A621" s="41"/>
    </row>
    <row r="622">
      <c r="A622" s="41"/>
    </row>
    <row r="623">
      <c r="A623" s="41"/>
    </row>
    <row r="624">
      <c r="A624" s="41"/>
    </row>
    <row r="625">
      <c r="A625" s="41"/>
    </row>
    <row r="626">
      <c r="A626" s="41"/>
    </row>
    <row r="627">
      <c r="A627" s="41"/>
    </row>
    <row r="628">
      <c r="A628" s="41"/>
    </row>
    <row r="629">
      <c r="A629" s="41"/>
    </row>
    <row r="630">
      <c r="A630" s="41"/>
    </row>
    <row r="631">
      <c r="A631" s="41"/>
    </row>
    <row r="632">
      <c r="A632" s="41"/>
    </row>
    <row r="633">
      <c r="A633" s="41"/>
    </row>
    <row r="634">
      <c r="A634" s="41"/>
    </row>
    <row r="635">
      <c r="A635" s="41"/>
    </row>
    <row r="636">
      <c r="A636" s="41"/>
    </row>
    <row r="637">
      <c r="A637" s="41"/>
    </row>
    <row r="638">
      <c r="A638" s="41"/>
    </row>
    <row r="639">
      <c r="A639" s="41"/>
    </row>
    <row r="640">
      <c r="A640" s="41"/>
    </row>
    <row r="641">
      <c r="A641" s="41"/>
    </row>
    <row r="642">
      <c r="A642" s="41"/>
    </row>
    <row r="643">
      <c r="A643" s="41"/>
    </row>
    <row r="644">
      <c r="A644" s="41"/>
    </row>
    <row r="645">
      <c r="A645" s="41"/>
    </row>
    <row r="646">
      <c r="A646" s="41"/>
    </row>
    <row r="647">
      <c r="A647" s="41"/>
    </row>
    <row r="648">
      <c r="A648" s="41"/>
    </row>
    <row r="649">
      <c r="A649" s="41"/>
    </row>
    <row r="650">
      <c r="A650" s="41"/>
    </row>
    <row r="651">
      <c r="A651" s="41"/>
    </row>
    <row r="652">
      <c r="A652" s="41"/>
    </row>
    <row r="653">
      <c r="A653" s="41"/>
    </row>
    <row r="654">
      <c r="A654" s="41"/>
    </row>
    <row r="655">
      <c r="A655" s="41"/>
    </row>
    <row r="656">
      <c r="A656" s="41"/>
    </row>
    <row r="657">
      <c r="A657" s="41"/>
    </row>
    <row r="658">
      <c r="A658" s="41"/>
    </row>
    <row r="659">
      <c r="A659" s="41"/>
    </row>
    <row r="660">
      <c r="A660" s="41"/>
    </row>
    <row r="661">
      <c r="A661" s="41"/>
    </row>
    <row r="662">
      <c r="A662" s="41"/>
    </row>
    <row r="663">
      <c r="A663" s="41"/>
    </row>
    <row r="664">
      <c r="A664" s="41"/>
    </row>
    <row r="665">
      <c r="A665" s="41"/>
    </row>
    <row r="666">
      <c r="A666" s="41"/>
    </row>
    <row r="667">
      <c r="A667" s="41"/>
    </row>
    <row r="668">
      <c r="A668" s="41"/>
    </row>
    <row r="669">
      <c r="A669" s="41"/>
    </row>
    <row r="670">
      <c r="A670" s="41"/>
    </row>
    <row r="671">
      <c r="A671" s="41"/>
    </row>
    <row r="672">
      <c r="A672" s="41"/>
    </row>
    <row r="673">
      <c r="A673" s="41"/>
    </row>
    <row r="674">
      <c r="A674" s="41"/>
    </row>
    <row r="675">
      <c r="A675" s="41"/>
    </row>
    <row r="676">
      <c r="A676" s="41"/>
    </row>
    <row r="677">
      <c r="A677" s="41"/>
    </row>
    <row r="678">
      <c r="A678" s="41"/>
    </row>
    <row r="679">
      <c r="A679" s="41"/>
    </row>
    <row r="680">
      <c r="A680" s="41"/>
    </row>
    <row r="681">
      <c r="A681" s="41"/>
    </row>
    <row r="682">
      <c r="A682" s="41"/>
    </row>
    <row r="683">
      <c r="A683" s="41"/>
    </row>
    <row r="684">
      <c r="A684" s="41"/>
    </row>
    <row r="685">
      <c r="A685" s="41"/>
    </row>
    <row r="686">
      <c r="A686" s="41"/>
    </row>
    <row r="687">
      <c r="A687" s="41"/>
    </row>
    <row r="688">
      <c r="A688" s="41"/>
    </row>
    <row r="689">
      <c r="A689" s="41"/>
    </row>
    <row r="690">
      <c r="A690" s="41"/>
    </row>
    <row r="691">
      <c r="A691" s="41"/>
    </row>
    <row r="692">
      <c r="A692" s="41"/>
    </row>
    <row r="693">
      <c r="A693" s="41"/>
    </row>
    <row r="694">
      <c r="A694" s="41"/>
    </row>
    <row r="695">
      <c r="A695" s="41"/>
    </row>
    <row r="696">
      <c r="A696" s="41"/>
    </row>
    <row r="697">
      <c r="A697" s="41"/>
    </row>
    <row r="698">
      <c r="A698" s="41"/>
    </row>
    <row r="699">
      <c r="A699" s="41"/>
    </row>
    <row r="700">
      <c r="A700" s="41"/>
    </row>
    <row r="701">
      <c r="A701" s="41"/>
    </row>
    <row r="702">
      <c r="A702" s="41"/>
    </row>
    <row r="703">
      <c r="A703" s="41"/>
    </row>
    <row r="704">
      <c r="A704" s="41"/>
    </row>
    <row r="705">
      <c r="A705" s="41"/>
    </row>
    <row r="706">
      <c r="A706" s="41"/>
    </row>
    <row r="707">
      <c r="A707" s="41"/>
    </row>
    <row r="708">
      <c r="A708" s="41"/>
    </row>
    <row r="709">
      <c r="A709" s="41"/>
    </row>
    <row r="710">
      <c r="A710" s="41"/>
    </row>
    <row r="711">
      <c r="A711" s="41"/>
    </row>
    <row r="712">
      <c r="A712" s="41"/>
    </row>
    <row r="713">
      <c r="A713" s="41"/>
    </row>
    <row r="714">
      <c r="A714" s="41"/>
    </row>
    <row r="715">
      <c r="A715" s="41"/>
    </row>
    <row r="716">
      <c r="A716" s="41"/>
    </row>
    <row r="717">
      <c r="A717" s="41"/>
    </row>
    <row r="718">
      <c r="A718" s="41"/>
    </row>
    <row r="719">
      <c r="A719" s="41"/>
    </row>
    <row r="720">
      <c r="A720" s="41"/>
    </row>
    <row r="721">
      <c r="A721" s="41"/>
    </row>
    <row r="722">
      <c r="A722" s="41"/>
    </row>
    <row r="723">
      <c r="A723" s="41"/>
    </row>
    <row r="724">
      <c r="A724" s="41"/>
    </row>
    <row r="725">
      <c r="A725" s="41"/>
    </row>
    <row r="726">
      <c r="A726" s="41"/>
    </row>
    <row r="727">
      <c r="A727" s="41"/>
    </row>
    <row r="728">
      <c r="A728" s="41"/>
    </row>
    <row r="729">
      <c r="A729" s="41"/>
    </row>
    <row r="730">
      <c r="A730" s="41"/>
    </row>
    <row r="731">
      <c r="A731" s="41"/>
    </row>
    <row r="732">
      <c r="A732" s="41"/>
    </row>
    <row r="733">
      <c r="A733" s="41"/>
    </row>
    <row r="734">
      <c r="A734" s="41"/>
    </row>
    <row r="735">
      <c r="A735" s="41"/>
    </row>
    <row r="736">
      <c r="A736" s="41"/>
    </row>
    <row r="737">
      <c r="A737" s="41"/>
    </row>
    <row r="738">
      <c r="A738" s="41"/>
    </row>
    <row r="739">
      <c r="A739" s="41"/>
    </row>
    <row r="740">
      <c r="A740" s="41"/>
    </row>
    <row r="741">
      <c r="A741" s="41"/>
    </row>
    <row r="742">
      <c r="A742" s="41"/>
    </row>
    <row r="743">
      <c r="A743" s="41"/>
    </row>
    <row r="744">
      <c r="A744" s="41"/>
    </row>
    <row r="745">
      <c r="A745" s="41"/>
    </row>
    <row r="746">
      <c r="A746" s="41"/>
    </row>
    <row r="747">
      <c r="A747" s="41"/>
    </row>
    <row r="748">
      <c r="A748" s="41"/>
    </row>
    <row r="749">
      <c r="A749" s="41"/>
    </row>
    <row r="750">
      <c r="A750" s="41"/>
    </row>
    <row r="751">
      <c r="A751" s="41"/>
    </row>
    <row r="752">
      <c r="A752" s="41"/>
    </row>
    <row r="753">
      <c r="A753" s="41"/>
    </row>
    <row r="754">
      <c r="A754" s="41"/>
    </row>
    <row r="755">
      <c r="A755" s="41"/>
    </row>
    <row r="756">
      <c r="A756" s="41"/>
    </row>
    <row r="757">
      <c r="A757" s="41"/>
    </row>
    <row r="758">
      <c r="A758" s="41"/>
    </row>
    <row r="759">
      <c r="A759" s="41"/>
    </row>
    <row r="760">
      <c r="A760" s="41"/>
    </row>
    <row r="761">
      <c r="A761" s="41"/>
    </row>
    <row r="762">
      <c r="A762" s="41"/>
    </row>
    <row r="763">
      <c r="A763" s="41"/>
    </row>
    <row r="764">
      <c r="A764" s="41"/>
    </row>
    <row r="765">
      <c r="A765" s="41"/>
    </row>
    <row r="766">
      <c r="A766" s="41"/>
    </row>
    <row r="767">
      <c r="A767" s="41"/>
    </row>
    <row r="768">
      <c r="A768" s="41"/>
    </row>
    <row r="769">
      <c r="A769" s="41"/>
    </row>
    <row r="770">
      <c r="A770" s="41"/>
    </row>
    <row r="771">
      <c r="A771" s="41"/>
    </row>
    <row r="772">
      <c r="A772" s="41"/>
    </row>
    <row r="773">
      <c r="A773" s="41"/>
    </row>
    <row r="774">
      <c r="A774" s="41"/>
    </row>
    <row r="775">
      <c r="A775" s="41"/>
    </row>
    <row r="776">
      <c r="A776" s="41"/>
    </row>
    <row r="777">
      <c r="A777" s="41"/>
    </row>
    <row r="778">
      <c r="A778" s="41"/>
    </row>
    <row r="779">
      <c r="A779" s="41"/>
    </row>
    <row r="780">
      <c r="A780" s="41"/>
    </row>
    <row r="781">
      <c r="A781" s="41"/>
    </row>
    <row r="782">
      <c r="A782" s="41"/>
    </row>
    <row r="783">
      <c r="A783" s="41"/>
    </row>
    <row r="784">
      <c r="A784" s="41"/>
    </row>
    <row r="785">
      <c r="A785" s="41"/>
    </row>
    <row r="786">
      <c r="A786" s="41"/>
    </row>
    <row r="787">
      <c r="A787" s="41"/>
    </row>
    <row r="788">
      <c r="A788" s="41"/>
    </row>
    <row r="789">
      <c r="A789" s="41"/>
    </row>
    <row r="790">
      <c r="A790" s="41"/>
    </row>
    <row r="791">
      <c r="A791" s="41"/>
    </row>
    <row r="792">
      <c r="A792" s="41"/>
    </row>
    <row r="793">
      <c r="A793" s="41"/>
    </row>
    <row r="794">
      <c r="A794" s="41"/>
    </row>
    <row r="795">
      <c r="A795" s="41"/>
    </row>
    <row r="796">
      <c r="A796" s="41"/>
    </row>
    <row r="797">
      <c r="A797" s="41"/>
    </row>
    <row r="798">
      <c r="A798" s="41"/>
    </row>
    <row r="799">
      <c r="A799" s="41"/>
    </row>
    <row r="800">
      <c r="A800" s="41"/>
    </row>
    <row r="801">
      <c r="A801" s="41"/>
    </row>
    <row r="802">
      <c r="A802" s="41"/>
    </row>
    <row r="803">
      <c r="A803" s="41"/>
    </row>
    <row r="804">
      <c r="A804" s="41"/>
    </row>
    <row r="805">
      <c r="A805" s="41"/>
    </row>
    <row r="806">
      <c r="A806" s="41"/>
    </row>
    <row r="807">
      <c r="A807" s="41"/>
    </row>
    <row r="808">
      <c r="A808" s="41"/>
    </row>
    <row r="809">
      <c r="A809" s="41"/>
    </row>
    <row r="810">
      <c r="A810" s="41"/>
    </row>
    <row r="811">
      <c r="A811" s="41"/>
    </row>
    <row r="812">
      <c r="A812" s="41"/>
    </row>
    <row r="813">
      <c r="A813" s="41"/>
    </row>
    <row r="814">
      <c r="A814" s="41"/>
    </row>
    <row r="815">
      <c r="A815" s="41"/>
    </row>
    <row r="816">
      <c r="A816" s="41"/>
    </row>
    <row r="817">
      <c r="A817" s="41"/>
    </row>
    <row r="818">
      <c r="A818" s="41"/>
    </row>
    <row r="819">
      <c r="A819" s="41"/>
    </row>
    <row r="820">
      <c r="A820" s="41"/>
    </row>
    <row r="821">
      <c r="A821" s="41"/>
    </row>
    <row r="822">
      <c r="A822" s="41"/>
    </row>
    <row r="823">
      <c r="A823" s="41"/>
    </row>
    <row r="824">
      <c r="A824" s="41"/>
    </row>
    <row r="825">
      <c r="A825" s="41"/>
    </row>
    <row r="826">
      <c r="A826" s="41"/>
    </row>
    <row r="827">
      <c r="A827" s="41"/>
    </row>
    <row r="828">
      <c r="A828" s="41"/>
    </row>
    <row r="829">
      <c r="A829" s="41"/>
    </row>
    <row r="830">
      <c r="A830" s="41"/>
    </row>
    <row r="831">
      <c r="A831" s="41"/>
    </row>
    <row r="832">
      <c r="A832" s="41"/>
    </row>
    <row r="833">
      <c r="A833" s="41"/>
    </row>
    <row r="834">
      <c r="A834" s="41"/>
    </row>
    <row r="835">
      <c r="A835" s="41"/>
    </row>
    <row r="836">
      <c r="A836" s="41"/>
    </row>
    <row r="837">
      <c r="A837" s="41"/>
    </row>
    <row r="838">
      <c r="A838" s="41"/>
    </row>
    <row r="839">
      <c r="A839" s="41"/>
    </row>
    <row r="840">
      <c r="A840" s="41"/>
    </row>
    <row r="841">
      <c r="A841" s="41"/>
    </row>
    <row r="842">
      <c r="A842" s="41"/>
    </row>
    <row r="843">
      <c r="A843" s="41"/>
    </row>
    <row r="844">
      <c r="A844" s="41"/>
    </row>
    <row r="845">
      <c r="A845" s="41"/>
    </row>
    <row r="846">
      <c r="A846" s="41"/>
    </row>
    <row r="847">
      <c r="A847" s="41"/>
    </row>
    <row r="848">
      <c r="A848" s="41"/>
    </row>
    <row r="849">
      <c r="A849" s="41"/>
    </row>
    <row r="850">
      <c r="A850" s="41"/>
    </row>
    <row r="851">
      <c r="A851" s="41"/>
    </row>
    <row r="852">
      <c r="A852" s="41"/>
    </row>
    <row r="853">
      <c r="A853" s="41"/>
    </row>
    <row r="854">
      <c r="A854" s="41"/>
    </row>
    <row r="855">
      <c r="A855" s="41"/>
    </row>
    <row r="856">
      <c r="A856" s="41"/>
    </row>
    <row r="857">
      <c r="A857" s="41"/>
    </row>
    <row r="858">
      <c r="A858" s="41"/>
    </row>
    <row r="859">
      <c r="A859" s="41"/>
    </row>
    <row r="860">
      <c r="A860" s="41"/>
    </row>
    <row r="861">
      <c r="A861" s="41"/>
    </row>
    <row r="862">
      <c r="A862" s="41"/>
    </row>
    <row r="863">
      <c r="A863" s="41"/>
    </row>
    <row r="864">
      <c r="A864" s="41"/>
    </row>
    <row r="865">
      <c r="A865" s="41"/>
    </row>
    <row r="866">
      <c r="A866" s="41"/>
    </row>
    <row r="867">
      <c r="A867" s="41"/>
    </row>
    <row r="868">
      <c r="A868" s="41"/>
    </row>
    <row r="869">
      <c r="A869" s="41"/>
    </row>
    <row r="870">
      <c r="A870" s="41"/>
    </row>
    <row r="871">
      <c r="A871" s="41"/>
    </row>
    <row r="872">
      <c r="A872" s="41"/>
    </row>
    <row r="873">
      <c r="A873" s="41"/>
    </row>
    <row r="874">
      <c r="A874" s="41"/>
    </row>
    <row r="875">
      <c r="A875" s="41"/>
    </row>
    <row r="876">
      <c r="A876" s="41"/>
    </row>
    <row r="877">
      <c r="A877" s="41"/>
    </row>
    <row r="878">
      <c r="A878" s="41"/>
    </row>
    <row r="879">
      <c r="A879" s="41"/>
    </row>
    <row r="880">
      <c r="A880" s="41"/>
    </row>
    <row r="881">
      <c r="A881" s="41"/>
    </row>
    <row r="882">
      <c r="A882" s="41"/>
    </row>
    <row r="883">
      <c r="A883" s="41"/>
    </row>
    <row r="884">
      <c r="A884" s="41"/>
    </row>
    <row r="885">
      <c r="A885" s="41"/>
    </row>
    <row r="886">
      <c r="A886" s="41"/>
    </row>
    <row r="887">
      <c r="A887" s="41"/>
    </row>
    <row r="888">
      <c r="A888" s="41"/>
    </row>
    <row r="889">
      <c r="A889" s="41"/>
    </row>
    <row r="890">
      <c r="A890" s="41"/>
    </row>
    <row r="891">
      <c r="A891" s="41"/>
    </row>
    <row r="892">
      <c r="A892" s="41"/>
    </row>
    <row r="893">
      <c r="A893" s="41"/>
    </row>
    <row r="894">
      <c r="A894" s="41"/>
    </row>
    <row r="895">
      <c r="A895" s="41"/>
    </row>
    <row r="896">
      <c r="A896" s="41"/>
    </row>
    <row r="897">
      <c r="A897" s="41"/>
    </row>
    <row r="898">
      <c r="A898" s="41"/>
    </row>
    <row r="899">
      <c r="A899" s="41"/>
    </row>
    <row r="900">
      <c r="A900" s="41"/>
    </row>
    <row r="901">
      <c r="A901" s="41"/>
    </row>
    <row r="902">
      <c r="A902" s="41"/>
    </row>
    <row r="903">
      <c r="A903" s="41"/>
    </row>
    <row r="904">
      <c r="A904" s="41"/>
    </row>
    <row r="905">
      <c r="A905" s="41"/>
    </row>
    <row r="906">
      <c r="A906" s="41"/>
    </row>
    <row r="907">
      <c r="A907" s="41"/>
    </row>
    <row r="908">
      <c r="A908" s="41"/>
    </row>
    <row r="909">
      <c r="A909" s="41"/>
    </row>
    <row r="910">
      <c r="A910" s="41"/>
    </row>
    <row r="911">
      <c r="A911" s="41"/>
    </row>
    <row r="912">
      <c r="A912" s="41"/>
    </row>
    <row r="913">
      <c r="A913" s="41"/>
    </row>
    <row r="914">
      <c r="A914" s="41"/>
    </row>
    <row r="915">
      <c r="A915" s="41"/>
    </row>
    <row r="916">
      <c r="A916" s="41"/>
    </row>
    <row r="917">
      <c r="A917" s="41"/>
    </row>
    <row r="918">
      <c r="A918" s="41"/>
    </row>
    <row r="919">
      <c r="A919" s="41"/>
    </row>
    <row r="920">
      <c r="A920" s="41"/>
    </row>
    <row r="921">
      <c r="A921" s="41"/>
    </row>
    <row r="922">
      <c r="A922" s="41"/>
    </row>
    <row r="923">
      <c r="A923" s="41"/>
    </row>
    <row r="924">
      <c r="A924" s="41"/>
    </row>
    <row r="925">
      <c r="A925" s="41"/>
    </row>
    <row r="926">
      <c r="A926" s="41"/>
    </row>
    <row r="927">
      <c r="A927" s="41"/>
    </row>
    <row r="928">
      <c r="A928" s="41"/>
    </row>
    <row r="929">
      <c r="A929" s="41"/>
    </row>
    <row r="930">
      <c r="A930" s="41"/>
    </row>
    <row r="931">
      <c r="A931" s="41"/>
    </row>
    <row r="932">
      <c r="A932" s="41"/>
    </row>
    <row r="933">
      <c r="A933" s="41"/>
    </row>
    <row r="934">
      <c r="A934" s="41"/>
    </row>
    <row r="935">
      <c r="A935" s="41"/>
    </row>
    <row r="936">
      <c r="A936" s="41"/>
    </row>
    <row r="937">
      <c r="A937" s="41"/>
    </row>
    <row r="938">
      <c r="A938" s="41"/>
    </row>
    <row r="939">
      <c r="A939" s="41"/>
    </row>
    <row r="940">
      <c r="A940" s="41"/>
    </row>
    <row r="941">
      <c r="A941" s="41"/>
    </row>
    <row r="942">
      <c r="A942" s="41"/>
    </row>
    <row r="943">
      <c r="A943" s="41"/>
    </row>
    <row r="944">
      <c r="A944" s="41"/>
    </row>
    <row r="945">
      <c r="A945" s="41"/>
    </row>
    <row r="946">
      <c r="A946" s="41"/>
    </row>
    <row r="947">
      <c r="A947" s="41"/>
    </row>
    <row r="948">
      <c r="A948" s="41"/>
    </row>
    <row r="949">
      <c r="A949" s="41"/>
    </row>
    <row r="950">
      <c r="A950" s="41"/>
    </row>
    <row r="951">
      <c r="A951" s="41"/>
    </row>
    <row r="952">
      <c r="A952" s="41"/>
    </row>
    <row r="953">
      <c r="A953" s="41"/>
    </row>
    <row r="954">
      <c r="A954" s="41"/>
    </row>
    <row r="955">
      <c r="A955" s="41"/>
    </row>
    <row r="956">
      <c r="A956" s="41"/>
    </row>
    <row r="957">
      <c r="A957" s="41"/>
    </row>
    <row r="958">
      <c r="A958" s="41"/>
    </row>
    <row r="959">
      <c r="A959" s="41"/>
    </row>
    <row r="960">
      <c r="A960" s="41"/>
    </row>
    <row r="961">
      <c r="A961" s="41"/>
    </row>
    <row r="962">
      <c r="A962" s="41"/>
    </row>
    <row r="963">
      <c r="A963" s="41"/>
    </row>
    <row r="964">
      <c r="A964" s="41"/>
    </row>
    <row r="965">
      <c r="A965" s="41"/>
    </row>
    <row r="966">
      <c r="A966" s="41"/>
    </row>
    <row r="967">
      <c r="A967" s="41"/>
    </row>
    <row r="968">
      <c r="A968" s="41"/>
    </row>
    <row r="969">
      <c r="A969" s="41"/>
    </row>
    <row r="970">
      <c r="A970" s="41"/>
    </row>
    <row r="971">
      <c r="A971" s="41"/>
    </row>
    <row r="972">
      <c r="A972" s="41"/>
    </row>
    <row r="973">
      <c r="A973" s="41"/>
    </row>
    <row r="974">
      <c r="A974" s="41"/>
    </row>
    <row r="975">
      <c r="A975" s="41"/>
    </row>
    <row r="976">
      <c r="A976" s="41"/>
    </row>
    <row r="977">
      <c r="A977" s="41"/>
    </row>
    <row r="978">
      <c r="A978" s="41"/>
    </row>
    <row r="979">
      <c r="A979" s="41"/>
    </row>
    <row r="980">
      <c r="A980" s="41"/>
    </row>
    <row r="981">
      <c r="A981" s="41"/>
    </row>
    <row r="982">
      <c r="A982" s="41"/>
    </row>
    <row r="983">
      <c r="A983" s="41"/>
    </row>
    <row r="984">
      <c r="A984" s="41"/>
    </row>
    <row r="985">
      <c r="A985" s="41"/>
    </row>
    <row r="986">
      <c r="A986" s="41"/>
    </row>
    <row r="987">
      <c r="A987" s="41"/>
    </row>
    <row r="988">
      <c r="A988" s="41"/>
    </row>
    <row r="989">
      <c r="A989" s="41"/>
    </row>
    <row r="990">
      <c r="A990" s="41"/>
    </row>
    <row r="991">
      <c r="A991" s="41"/>
    </row>
    <row r="992">
      <c r="A992" s="41"/>
    </row>
    <row r="993">
      <c r="A993" s="41"/>
    </row>
    <row r="994">
      <c r="A994" s="41"/>
    </row>
    <row r="995">
      <c r="A995" s="41"/>
    </row>
    <row r="996">
      <c r="A996" s="41"/>
    </row>
    <row r="997">
      <c r="A997" s="41"/>
    </row>
    <row r="998">
      <c r="A998" s="41"/>
    </row>
    <row r="999">
      <c r="A999" s="41"/>
    </row>
    <row r="1000">
      <c r="A1000" s="41"/>
    </row>
    <row r="1001">
      <c r="A1001" s="41"/>
    </row>
    <row r="1002">
      <c r="A1002" s="41"/>
    </row>
    <row r="1003">
      <c r="A1003" s="41"/>
    </row>
    <row r="1004">
      <c r="A1004" s="41"/>
    </row>
    <row r="1005">
      <c r="A1005" s="41"/>
    </row>
    <row r="1006">
      <c r="A1006" s="41"/>
    </row>
    <row r="1007">
      <c r="A1007" s="41"/>
    </row>
    <row r="1008">
      <c r="A1008" s="41"/>
    </row>
    <row r="1009">
      <c r="A1009" s="41"/>
    </row>
    <row r="1010">
      <c r="A1010" s="41"/>
    </row>
    <row r="1011">
      <c r="A1011" s="41"/>
    </row>
    <row r="1012">
      <c r="A1012" s="41"/>
    </row>
    <row r="1013">
      <c r="A1013" s="41"/>
    </row>
    <row r="1014">
      <c r="A1014" s="41"/>
    </row>
    <row r="1015">
      <c r="A1015" s="41"/>
    </row>
  </sheetData>
  <hyperlinks>
    <hyperlink r:id="rId1" ref="F1"/>
    <hyperlink r:id="rId2" ref="G1"/>
    <hyperlink r:id="rId3" ref="H1"/>
    <hyperlink r:id="rId4" ref="I1"/>
    <hyperlink r:id="rId5" ref="J1"/>
    <hyperlink r:id="rId6" ref="K1"/>
  </hyperlinks>
  <drawing r:id="rId7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4.13"/>
    <col customWidth="1" min="2" max="2" width="28.0"/>
  </cols>
  <sheetData>
    <row r="1">
      <c r="A1" s="41"/>
      <c r="B1" s="2" t="s">
        <v>0</v>
      </c>
      <c r="C1" s="2"/>
      <c r="D1" s="2"/>
      <c r="E1" s="2"/>
      <c r="F1" s="6" t="s">
        <v>1</v>
      </c>
      <c r="G1" s="12" t="s">
        <v>1</v>
      </c>
      <c r="H1" s="12" t="s">
        <v>1</v>
      </c>
      <c r="I1" s="12" t="s">
        <v>1</v>
      </c>
      <c r="J1" s="12" t="s">
        <v>1</v>
      </c>
      <c r="K1" s="12" t="s">
        <v>1</v>
      </c>
    </row>
    <row r="2">
      <c r="A2" s="3"/>
      <c r="B2" s="18" t="s">
        <v>16</v>
      </c>
      <c r="C2" s="5" t="s">
        <v>4</v>
      </c>
      <c r="D2" s="5" t="s">
        <v>5</v>
      </c>
      <c r="E2" s="5" t="s">
        <v>6</v>
      </c>
      <c r="F2" s="18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19" t="s">
        <v>17</v>
      </c>
    </row>
    <row r="3">
      <c r="A3" s="26"/>
      <c r="B3" s="24" t="s">
        <v>18</v>
      </c>
      <c r="C3" s="27">
        <f t="shared" ref="C3:K3" si="1">SUM(C4,C5,C6,C7)</f>
        <v>0</v>
      </c>
      <c r="D3" s="27">
        <f t="shared" si="1"/>
        <v>0</v>
      </c>
      <c r="E3" s="27">
        <f t="shared" si="1"/>
        <v>0</v>
      </c>
      <c r="F3" s="27">
        <f t="shared" si="1"/>
        <v>8715</v>
      </c>
      <c r="G3" s="27">
        <f t="shared" si="1"/>
        <v>13304</v>
      </c>
      <c r="H3" s="27">
        <f t="shared" si="1"/>
        <v>11535</v>
      </c>
      <c r="I3" s="27">
        <f t="shared" si="1"/>
        <v>59801</v>
      </c>
      <c r="J3" s="27">
        <f t="shared" si="1"/>
        <v>40880</v>
      </c>
      <c r="K3" s="27">
        <f t="shared" si="1"/>
        <v>34510</v>
      </c>
      <c r="L3" s="29">
        <f t="shared" ref="L3:L23" si="2">SUM(C3:K3)</f>
        <v>168745</v>
      </c>
      <c r="M3" s="30">
        <f>L3/1.18</f>
        <v>143004.2373</v>
      </c>
    </row>
    <row r="4" outlineLevel="1">
      <c r="A4" s="26"/>
      <c r="B4" s="31" t="s">
        <v>21</v>
      </c>
      <c r="C4" s="13">
        <v>0.0</v>
      </c>
      <c r="D4" s="13">
        <v>0.0</v>
      </c>
      <c r="E4" s="13">
        <v>0.0</v>
      </c>
      <c r="F4" s="36">
        <v>5535.0</v>
      </c>
      <c r="G4" s="37">
        <v>3460.0</v>
      </c>
      <c r="H4" s="37">
        <v>3775.0</v>
      </c>
      <c r="I4" s="13">
        <v>12375.0</v>
      </c>
      <c r="J4" s="13">
        <v>5880.0</v>
      </c>
      <c r="K4" s="13">
        <v>6230.0</v>
      </c>
      <c r="L4" s="14">
        <f t="shared" si="2"/>
        <v>37255</v>
      </c>
      <c r="M4" s="30"/>
    </row>
    <row r="5" outlineLevel="1">
      <c r="A5" s="26"/>
      <c r="B5" s="31" t="s">
        <v>23</v>
      </c>
      <c r="C5" s="13">
        <v>0.0</v>
      </c>
      <c r="D5" s="13">
        <v>0.0</v>
      </c>
      <c r="E5" s="13">
        <v>0.0</v>
      </c>
      <c r="F5" s="36">
        <v>0.0</v>
      </c>
      <c r="G5" s="37">
        <v>0.0</v>
      </c>
      <c r="H5" s="37">
        <v>0.0</v>
      </c>
      <c r="I5" s="13">
        <v>140.0</v>
      </c>
      <c r="J5" s="13">
        <v>0.0</v>
      </c>
      <c r="K5" s="13">
        <v>0.0</v>
      </c>
      <c r="L5" s="14">
        <f t="shared" si="2"/>
        <v>140</v>
      </c>
      <c r="M5" s="30"/>
    </row>
    <row r="6" outlineLevel="1">
      <c r="A6" s="26"/>
      <c r="B6" s="31" t="s">
        <v>25</v>
      </c>
      <c r="C6" s="13">
        <v>0.0</v>
      </c>
      <c r="D6" s="13">
        <v>0.0</v>
      </c>
      <c r="E6" s="13">
        <v>0.0</v>
      </c>
      <c r="F6" s="36">
        <v>0.0</v>
      </c>
      <c r="G6" s="37">
        <v>0.0</v>
      </c>
      <c r="H6" s="37">
        <v>0.0</v>
      </c>
      <c r="I6" s="13">
        <v>0.0</v>
      </c>
      <c r="J6" s="13">
        <v>0.0</v>
      </c>
      <c r="K6" s="13">
        <v>0.0</v>
      </c>
      <c r="L6" s="14">
        <f t="shared" si="2"/>
        <v>0</v>
      </c>
      <c r="M6" s="30">
        <f>L6/1.18</f>
        <v>0</v>
      </c>
    </row>
    <row r="7" outlineLevel="1">
      <c r="A7" s="26"/>
      <c r="B7" s="31" t="s">
        <v>26</v>
      </c>
      <c r="C7" s="13">
        <v>0.0</v>
      </c>
      <c r="D7" s="13">
        <v>0.0</v>
      </c>
      <c r="E7" s="13">
        <v>0.0</v>
      </c>
      <c r="F7" s="36">
        <v>3180.0</v>
      </c>
      <c r="G7" s="37">
        <v>9844.0</v>
      </c>
      <c r="H7" s="37">
        <v>7760.0</v>
      </c>
      <c r="I7" s="13">
        <v>47286.0</v>
      </c>
      <c r="J7" s="13">
        <v>35000.0</v>
      </c>
      <c r="K7" s="13">
        <v>28280.0</v>
      </c>
      <c r="L7" s="14">
        <f t="shared" si="2"/>
        <v>131350</v>
      </c>
      <c r="M7" s="30"/>
    </row>
    <row r="8">
      <c r="A8" s="26"/>
      <c r="B8" s="44" t="s">
        <v>28</v>
      </c>
      <c r="C8" s="27">
        <f>SUM(C9:C13)</f>
        <v>0</v>
      </c>
      <c r="D8" s="45">
        <v>0.0</v>
      </c>
      <c r="E8" s="27">
        <f t="shared" ref="E8:K8" si="3">SUM(E9:E13)</f>
        <v>0</v>
      </c>
      <c r="F8" s="27">
        <f t="shared" si="3"/>
        <v>34220</v>
      </c>
      <c r="G8" s="27">
        <f t="shared" si="3"/>
        <v>30325</v>
      </c>
      <c r="H8" s="27">
        <f t="shared" si="3"/>
        <v>15050</v>
      </c>
      <c r="I8" s="27">
        <f t="shared" si="3"/>
        <v>25763</v>
      </c>
      <c r="J8" s="27">
        <f t="shared" si="3"/>
        <v>20980</v>
      </c>
      <c r="K8" s="27">
        <f t="shared" si="3"/>
        <v>50065</v>
      </c>
      <c r="L8" s="29">
        <f t="shared" si="2"/>
        <v>176403</v>
      </c>
      <c r="M8" s="30">
        <f>L8/1.18</f>
        <v>149494.0678</v>
      </c>
    </row>
    <row r="9" outlineLevel="1">
      <c r="A9" s="26"/>
      <c r="B9" s="32" t="s">
        <v>33</v>
      </c>
      <c r="C9" s="13">
        <v>0.0</v>
      </c>
      <c r="D9" s="13">
        <v>0.0</v>
      </c>
      <c r="E9" s="89">
        <v>0.0</v>
      </c>
      <c r="F9" s="89">
        <v>32340.0</v>
      </c>
      <c r="G9" s="37">
        <v>29525.0</v>
      </c>
      <c r="H9" s="36">
        <v>14650.0</v>
      </c>
      <c r="I9" s="13">
        <v>16146.0</v>
      </c>
      <c r="J9" s="13">
        <v>13940.0</v>
      </c>
      <c r="K9" s="13">
        <v>26070.0</v>
      </c>
      <c r="L9" s="14">
        <f t="shared" si="2"/>
        <v>132671</v>
      </c>
      <c r="M9" s="30"/>
    </row>
    <row r="10" outlineLevel="1">
      <c r="A10" s="26"/>
      <c r="B10" s="32" t="s">
        <v>34</v>
      </c>
      <c r="C10" s="13">
        <v>0.0</v>
      </c>
      <c r="D10" s="13">
        <v>0.0</v>
      </c>
      <c r="E10" s="89">
        <v>0.0</v>
      </c>
      <c r="F10" s="89">
        <v>1280.0</v>
      </c>
      <c r="G10" s="37">
        <v>800.0</v>
      </c>
      <c r="H10" s="37">
        <v>400.0</v>
      </c>
      <c r="I10" s="13">
        <v>2077.0</v>
      </c>
      <c r="J10" s="13">
        <v>2240.0</v>
      </c>
      <c r="K10" s="13">
        <v>1520.0</v>
      </c>
      <c r="L10" s="14">
        <f t="shared" si="2"/>
        <v>8317</v>
      </c>
      <c r="M10" s="30"/>
    </row>
    <row r="11" outlineLevel="1">
      <c r="A11" s="26"/>
      <c r="B11" s="31" t="s">
        <v>36</v>
      </c>
      <c r="C11" s="13">
        <v>0.0</v>
      </c>
      <c r="D11" s="13">
        <v>0.0</v>
      </c>
      <c r="E11" s="13">
        <v>0.0</v>
      </c>
      <c r="F11" s="36">
        <v>0.0</v>
      </c>
      <c r="G11" s="37">
        <v>0.0</v>
      </c>
      <c r="H11" s="37">
        <v>0.0</v>
      </c>
      <c r="I11" s="13">
        <v>6400.0</v>
      </c>
      <c r="J11" s="13">
        <v>2800.0</v>
      </c>
      <c r="K11" s="13">
        <v>18175.0</v>
      </c>
      <c r="L11" s="14">
        <f t="shared" si="2"/>
        <v>27375</v>
      </c>
      <c r="M11" s="30"/>
    </row>
    <row r="12" outlineLevel="1">
      <c r="A12" s="26"/>
      <c r="B12" s="32" t="s">
        <v>37</v>
      </c>
      <c r="C12" s="13">
        <v>0.0</v>
      </c>
      <c r="D12" s="13">
        <v>0.0</v>
      </c>
      <c r="E12" s="90">
        <v>0.0</v>
      </c>
      <c r="F12" s="90">
        <v>600.0</v>
      </c>
      <c r="G12" s="37">
        <v>0.0</v>
      </c>
      <c r="H12" s="37">
        <v>0.0</v>
      </c>
      <c r="I12" s="13">
        <v>1140.0</v>
      </c>
      <c r="J12" s="13">
        <v>2000.0</v>
      </c>
      <c r="K12" s="13">
        <v>4300.0</v>
      </c>
      <c r="L12" s="14">
        <f t="shared" si="2"/>
        <v>8040</v>
      </c>
      <c r="M12" s="30"/>
    </row>
    <row r="13">
      <c r="A13" s="26"/>
      <c r="B13" s="31" t="s">
        <v>38</v>
      </c>
      <c r="C13" s="36">
        <v>0.0</v>
      </c>
      <c r="D13" s="36">
        <v>0.0</v>
      </c>
      <c r="E13" s="36">
        <v>0.0</v>
      </c>
      <c r="F13" s="36">
        <v>0.0</v>
      </c>
      <c r="G13" s="36">
        <v>0.0</v>
      </c>
      <c r="H13" s="36">
        <v>0.0</v>
      </c>
      <c r="I13" s="36">
        <v>0.0</v>
      </c>
      <c r="J13" s="13">
        <v>0.0</v>
      </c>
      <c r="K13" s="13">
        <v>0.0</v>
      </c>
      <c r="L13" s="14">
        <f t="shared" si="2"/>
        <v>0</v>
      </c>
      <c r="M13" s="30"/>
    </row>
    <row r="14">
      <c r="A14" s="26"/>
      <c r="B14" s="44" t="s">
        <v>39</v>
      </c>
      <c r="C14" s="45">
        <f t="shared" ref="C14:F14" si="4">sum(C17:C18)</f>
        <v>0</v>
      </c>
      <c r="D14" s="45">
        <f t="shared" si="4"/>
        <v>0</v>
      </c>
      <c r="E14" s="45">
        <f t="shared" si="4"/>
        <v>0</v>
      </c>
      <c r="F14" s="45">
        <f t="shared" si="4"/>
        <v>10310</v>
      </c>
      <c r="G14" s="45">
        <f>sum(G15:G18)</f>
        <v>16400</v>
      </c>
      <c r="H14" s="27">
        <f t="shared" ref="H14:K14" si="5">SUM(H16,H17,H18)</f>
        <v>6340</v>
      </c>
      <c r="I14" s="27">
        <f t="shared" si="5"/>
        <v>12050</v>
      </c>
      <c r="J14" s="27">
        <f t="shared" si="5"/>
        <v>6600</v>
      </c>
      <c r="K14" s="27">
        <f t="shared" si="5"/>
        <v>2300</v>
      </c>
      <c r="L14" s="29">
        <f t="shared" si="2"/>
        <v>54000</v>
      </c>
      <c r="M14" s="30">
        <f>L14/1.18</f>
        <v>45762.71186</v>
      </c>
    </row>
    <row r="15" outlineLevel="1">
      <c r="A15" s="26"/>
      <c r="B15" s="32" t="s">
        <v>42</v>
      </c>
      <c r="C15" s="36">
        <v>0.0</v>
      </c>
      <c r="D15" s="36">
        <v>0.0</v>
      </c>
      <c r="E15" s="36">
        <v>0.0</v>
      </c>
      <c r="F15" s="45">
        <v>0.0</v>
      </c>
      <c r="G15" s="36">
        <v>3000.0</v>
      </c>
      <c r="H15" s="37">
        <v>0.0</v>
      </c>
      <c r="I15" s="13">
        <v>0.0</v>
      </c>
      <c r="J15" s="13">
        <v>0.0</v>
      </c>
      <c r="K15" s="13">
        <v>0.0</v>
      </c>
      <c r="L15" s="14">
        <f t="shared" si="2"/>
        <v>3000</v>
      </c>
      <c r="M15" s="30"/>
    </row>
    <row r="16" outlineLevel="1">
      <c r="A16" s="26"/>
      <c r="B16" s="32" t="s">
        <v>44</v>
      </c>
      <c r="C16" s="13">
        <v>0.0</v>
      </c>
      <c r="D16" s="13">
        <v>0.0</v>
      </c>
      <c r="E16" s="13">
        <v>0.0</v>
      </c>
      <c r="F16" s="36">
        <v>0.0</v>
      </c>
      <c r="G16" s="36">
        <v>0.0</v>
      </c>
      <c r="H16" s="37">
        <v>4800.0</v>
      </c>
      <c r="I16" s="13">
        <v>0.0</v>
      </c>
      <c r="J16" s="13">
        <v>1000.0</v>
      </c>
      <c r="K16" s="13">
        <v>0.0</v>
      </c>
      <c r="L16" s="14">
        <f t="shared" si="2"/>
        <v>5800</v>
      </c>
      <c r="M16" s="30"/>
    </row>
    <row r="17" outlineLevel="1">
      <c r="A17" s="26"/>
      <c r="B17" s="32" t="s">
        <v>45</v>
      </c>
      <c r="C17" s="13">
        <v>0.0</v>
      </c>
      <c r="D17" s="13">
        <v>0.0</v>
      </c>
      <c r="E17" s="13">
        <v>0.0</v>
      </c>
      <c r="F17" s="36">
        <v>8070.0</v>
      </c>
      <c r="G17" s="37">
        <v>12760.0</v>
      </c>
      <c r="H17" s="37">
        <v>900.0</v>
      </c>
      <c r="I17" s="13">
        <v>12050.0</v>
      </c>
      <c r="J17" s="13">
        <v>5600.0</v>
      </c>
      <c r="K17" s="13">
        <v>2300.0</v>
      </c>
      <c r="L17" s="14">
        <f t="shared" si="2"/>
        <v>41680</v>
      </c>
      <c r="M17" s="30"/>
    </row>
    <row r="18" outlineLevel="1">
      <c r="A18" s="26"/>
      <c r="B18" s="32" t="s">
        <v>46</v>
      </c>
      <c r="C18" s="36">
        <v>0.0</v>
      </c>
      <c r="D18" s="45">
        <v>0.0</v>
      </c>
      <c r="E18" s="45">
        <v>0.0</v>
      </c>
      <c r="F18" s="90">
        <v>2240.0</v>
      </c>
      <c r="G18" s="37">
        <v>640.0</v>
      </c>
      <c r="H18" s="37">
        <v>640.0</v>
      </c>
      <c r="I18" s="13">
        <v>0.0</v>
      </c>
      <c r="J18" s="13">
        <v>0.0</v>
      </c>
      <c r="K18" s="13">
        <v>0.0</v>
      </c>
      <c r="L18" s="14">
        <f t="shared" si="2"/>
        <v>3520</v>
      </c>
      <c r="M18" s="30"/>
    </row>
    <row r="19">
      <c r="A19" s="26"/>
      <c r="B19" s="24" t="s">
        <v>48</v>
      </c>
      <c r="C19" s="45">
        <v>0.0</v>
      </c>
      <c r="D19" s="45">
        <v>0.0</v>
      </c>
      <c r="E19" s="45">
        <v>0.0</v>
      </c>
      <c r="F19" s="45">
        <v>0.0</v>
      </c>
      <c r="G19" s="27">
        <v>0.0</v>
      </c>
      <c r="H19" s="37">
        <v>0.0</v>
      </c>
      <c r="I19" s="48">
        <v>9600.0</v>
      </c>
      <c r="J19" s="48">
        <v>0.0</v>
      </c>
      <c r="K19" s="48">
        <v>0.0</v>
      </c>
      <c r="L19" s="29">
        <f t="shared" si="2"/>
        <v>9600</v>
      </c>
      <c r="M19" s="30">
        <f t="shared" ref="M19:M23" si="6">L19/1.18</f>
        <v>8135.59322</v>
      </c>
    </row>
    <row r="20">
      <c r="A20" s="26"/>
      <c r="B20" s="58" t="s">
        <v>49</v>
      </c>
      <c r="C20" s="13">
        <v>0.0</v>
      </c>
      <c r="D20" s="13">
        <v>0.0</v>
      </c>
      <c r="E20" s="13">
        <v>0.0</v>
      </c>
      <c r="F20" s="36">
        <v>0.0</v>
      </c>
      <c r="G20" s="36">
        <v>0.0</v>
      </c>
      <c r="H20" s="36">
        <v>0.0</v>
      </c>
      <c r="I20" s="13">
        <v>0.0</v>
      </c>
      <c r="J20" s="13">
        <v>0.0</v>
      </c>
      <c r="K20" s="13">
        <v>0.0</v>
      </c>
      <c r="L20" s="29">
        <f t="shared" si="2"/>
        <v>0</v>
      </c>
      <c r="M20" s="30">
        <f t="shared" si="6"/>
        <v>0</v>
      </c>
    </row>
    <row r="21">
      <c r="A21" s="26"/>
      <c r="B21" s="24" t="s">
        <v>50</v>
      </c>
      <c r="C21" s="13">
        <v>0.0</v>
      </c>
      <c r="D21" s="13">
        <v>0.0</v>
      </c>
      <c r="E21" s="13">
        <v>0.0</v>
      </c>
      <c r="F21" s="36">
        <v>0.0</v>
      </c>
      <c r="G21" s="37">
        <v>0.0</v>
      </c>
      <c r="H21" s="37">
        <v>0.0</v>
      </c>
      <c r="I21" s="13">
        <v>0.0</v>
      </c>
      <c r="J21" s="13">
        <v>0.0</v>
      </c>
      <c r="K21" s="13">
        <v>0.0</v>
      </c>
      <c r="L21" s="29">
        <f t="shared" si="2"/>
        <v>0</v>
      </c>
      <c r="M21" s="30">
        <f t="shared" si="6"/>
        <v>0</v>
      </c>
    </row>
    <row r="22">
      <c r="A22" s="26"/>
      <c r="B22" s="24" t="s">
        <v>51</v>
      </c>
      <c r="C22" s="13">
        <v>0.0</v>
      </c>
      <c r="D22" s="13">
        <v>0.0</v>
      </c>
      <c r="E22" s="13">
        <v>0.0</v>
      </c>
      <c r="F22" s="37">
        <v>0.0</v>
      </c>
      <c r="G22" s="37">
        <v>0.0</v>
      </c>
      <c r="H22" s="37">
        <v>0.0</v>
      </c>
      <c r="I22" s="13">
        <v>0.0</v>
      </c>
      <c r="J22" s="13">
        <v>0.0</v>
      </c>
      <c r="K22" s="13">
        <v>0.0</v>
      </c>
      <c r="L22" s="29">
        <f t="shared" si="2"/>
        <v>0</v>
      </c>
      <c r="M22" s="30">
        <f t="shared" si="6"/>
        <v>0</v>
      </c>
    </row>
    <row r="23">
      <c r="A23" s="26"/>
      <c r="B23" s="24" t="s">
        <v>52</v>
      </c>
      <c r="C23" s="13">
        <v>0.0</v>
      </c>
      <c r="D23" s="13">
        <v>0.0</v>
      </c>
      <c r="E23" s="13">
        <v>0.0</v>
      </c>
      <c r="F23" s="36">
        <v>18000.0</v>
      </c>
      <c r="G23" s="91">
        <v>18000.0</v>
      </c>
      <c r="H23" s="37">
        <v>18000.0</v>
      </c>
      <c r="I23" s="13">
        <v>18000.0</v>
      </c>
      <c r="J23" s="13">
        <v>18000.0</v>
      </c>
      <c r="K23" s="13">
        <v>18000.0</v>
      </c>
      <c r="L23" s="29">
        <f t="shared" si="2"/>
        <v>108000</v>
      </c>
      <c r="M23" s="30">
        <f t="shared" si="6"/>
        <v>91525.42373</v>
      </c>
    </row>
    <row r="24">
      <c r="A24" s="26"/>
      <c r="B24" s="55" t="s">
        <v>47</v>
      </c>
      <c r="C24" s="64">
        <f t="shared" ref="C24:L24" si="7">sum(C3,C8,C14,C19,C20,C21,C22,C23)</f>
        <v>0</v>
      </c>
      <c r="D24" s="64">
        <f t="shared" si="7"/>
        <v>0</v>
      </c>
      <c r="E24" s="64">
        <f t="shared" si="7"/>
        <v>0</v>
      </c>
      <c r="F24" s="64">
        <f t="shared" si="7"/>
        <v>71245</v>
      </c>
      <c r="G24" s="64">
        <f t="shared" si="7"/>
        <v>78029</v>
      </c>
      <c r="H24" s="64">
        <f t="shared" si="7"/>
        <v>50925</v>
      </c>
      <c r="I24" s="64">
        <f t="shared" si="7"/>
        <v>125214</v>
      </c>
      <c r="J24" s="64">
        <f t="shared" si="7"/>
        <v>86460</v>
      </c>
      <c r="K24" s="64">
        <f t="shared" si="7"/>
        <v>104875</v>
      </c>
      <c r="L24" s="64">
        <f t="shared" si="7"/>
        <v>516748</v>
      </c>
    </row>
    <row r="25">
      <c r="A25" s="26"/>
      <c r="B25" s="66" t="s">
        <v>54</v>
      </c>
      <c r="C25" s="48">
        <v>0.0</v>
      </c>
      <c r="D25" s="48">
        <v>0.0</v>
      </c>
      <c r="E25" s="48">
        <v>0.0</v>
      </c>
      <c r="F25" s="45">
        <v>66434.0</v>
      </c>
      <c r="G25" s="48">
        <v>73886.0</v>
      </c>
      <c r="H25" s="48">
        <v>48807.0</v>
      </c>
      <c r="I25" s="48">
        <v>122701.0</v>
      </c>
      <c r="J25" s="13">
        <v>84275.68</v>
      </c>
      <c r="K25" s="13">
        <v>100503.36</v>
      </c>
      <c r="L25" s="35">
        <f t="shared" ref="L25:L26" si="10">SUM(C25:K25)</f>
        <v>496607.04</v>
      </c>
    </row>
    <row r="26">
      <c r="A26" s="94"/>
      <c r="B26" s="95" t="s">
        <v>55</v>
      </c>
      <c r="C26" s="45">
        <f t="shared" ref="C26:G26" si="8">C25/1.18</f>
        <v>0</v>
      </c>
      <c r="D26" s="45">
        <f t="shared" si="8"/>
        <v>0</v>
      </c>
      <c r="E26" s="45">
        <f t="shared" si="8"/>
        <v>0</v>
      </c>
      <c r="F26" s="45">
        <f t="shared" si="8"/>
        <v>56300</v>
      </c>
      <c r="G26" s="45">
        <f t="shared" si="8"/>
        <v>62615.25424</v>
      </c>
      <c r="H26" s="45">
        <f t="shared" ref="H26:K26" si="9">((H25-H23)/1.18)+H23</f>
        <v>44107.62712</v>
      </c>
      <c r="I26" s="45">
        <f t="shared" si="9"/>
        <v>106729.661</v>
      </c>
      <c r="J26" s="45">
        <f t="shared" si="9"/>
        <v>74165.83051</v>
      </c>
      <c r="K26" s="45">
        <f t="shared" si="9"/>
        <v>87918.10169</v>
      </c>
      <c r="L26" s="35">
        <f t="shared" si="10"/>
        <v>431836.4746</v>
      </c>
    </row>
    <row r="27">
      <c r="A27" s="41"/>
      <c r="B27" s="72" t="s">
        <v>56</v>
      </c>
      <c r="C27" s="14"/>
      <c r="D27" s="14"/>
      <c r="E27" s="14"/>
      <c r="F27" s="14"/>
      <c r="G27" s="14"/>
      <c r="H27" s="14"/>
      <c r="I27" s="13"/>
      <c r="J27" s="14"/>
      <c r="K27" s="14"/>
    </row>
    <row r="28">
      <c r="A28" s="41"/>
      <c r="B28" s="46" t="s">
        <v>61</v>
      </c>
      <c r="C28" s="14"/>
      <c r="D28" s="14"/>
      <c r="E28" s="14"/>
      <c r="F28" s="14"/>
      <c r="G28" s="14"/>
      <c r="H28" s="14"/>
      <c r="I28" s="13"/>
      <c r="J28" s="14"/>
      <c r="K28" s="14"/>
    </row>
    <row r="29">
      <c r="B29" s="67"/>
      <c r="C29" s="14"/>
      <c r="D29" s="85"/>
      <c r="E29" s="37"/>
      <c r="F29" s="14"/>
      <c r="G29" s="14"/>
      <c r="H29" s="14"/>
      <c r="I29" s="13"/>
      <c r="J29" s="14"/>
      <c r="K29" s="14"/>
    </row>
    <row r="30">
      <c r="D30" s="73"/>
      <c r="E30" s="74"/>
    </row>
    <row r="31">
      <c r="D31" s="73"/>
      <c r="E31" s="87"/>
    </row>
    <row r="32">
      <c r="D32" s="73"/>
      <c r="E32" s="87"/>
    </row>
    <row r="33">
      <c r="D33" s="73"/>
      <c r="E33" s="87"/>
    </row>
    <row r="34">
      <c r="D34" s="73"/>
      <c r="E34" s="87"/>
    </row>
    <row r="35">
      <c r="D35" s="73"/>
      <c r="E35" s="87"/>
    </row>
  </sheetData>
  <hyperlinks>
    <hyperlink r:id="rId1" ref="F1"/>
    <hyperlink r:id="rId2" ref="G1"/>
    <hyperlink r:id="rId3" ref="H1"/>
    <hyperlink r:id="rId4" ref="I1"/>
    <hyperlink r:id="rId5" ref="J1"/>
    <hyperlink r:id="rId6" ref="K1"/>
  </hyperlinks>
  <drawing r:id="rId7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3.63"/>
    <col customWidth="1" min="2" max="2" width="28.0"/>
  </cols>
  <sheetData>
    <row r="1">
      <c r="A1" s="16"/>
      <c r="B1" s="2" t="s">
        <v>0</v>
      </c>
      <c r="C1" s="5"/>
      <c r="D1" s="5"/>
      <c r="E1" s="5"/>
      <c r="F1" s="92"/>
      <c r="G1" s="93"/>
      <c r="H1" s="12" t="s">
        <v>1</v>
      </c>
      <c r="I1" s="12" t="s">
        <v>1</v>
      </c>
      <c r="J1" s="12" t="s">
        <v>1</v>
      </c>
      <c r="K1" s="12" t="s">
        <v>1</v>
      </c>
    </row>
    <row r="2">
      <c r="A2" s="96"/>
      <c r="B2" s="18" t="s">
        <v>16</v>
      </c>
      <c r="C2" s="5" t="s">
        <v>4</v>
      </c>
      <c r="D2" s="5" t="s">
        <v>5</v>
      </c>
      <c r="E2" s="5" t="s">
        <v>6</v>
      </c>
      <c r="F2" s="18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20" t="s">
        <v>17</v>
      </c>
      <c r="M2" s="23"/>
    </row>
    <row r="3">
      <c r="A3" s="21"/>
      <c r="B3" s="24" t="s">
        <v>18</v>
      </c>
      <c r="C3" s="27">
        <f t="shared" ref="C3:K3" si="1">SUM(C4,C5,C6,C7)</f>
        <v>0</v>
      </c>
      <c r="D3" s="27">
        <f t="shared" si="1"/>
        <v>0</v>
      </c>
      <c r="E3" s="27">
        <f t="shared" si="1"/>
        <v>0</v>
      </c>
      <c r="F3" s="27">
        <f t="shared" si="1"/>
        <v>0</v>
      </c>
      <c r="G3" s="27">
        <f t="shared" si="1"/>
        <v>0</v>
      </c>
      <c r="H3" s="27">
        <f t="shared" si="1"/>
        <v>10137</v>
      </c>
      <c r="I3" s="27">
        <f t="shared" si="1"/>
        <v>8850</v>
      </c>
      <c r="J3" s="27">
        <f t="shared" si="1"/>
        <v>37220</v>
      </c>
      <c r="K3" s="27">
        <f t="shared" si="1"/>
        <v>68265</v>
      </c>
      <c r="L3" s="27">
        <f t="shared" ref="L3:L23" si="2">SUM(C3:K3)</f>
        <v>124472</v>
      </c>
      <c r="M3" s="38">
        <f>L3/1.18</f>
        <v>105484.7458</v>
      </c>
    </row>
    <row r="4" outlineLevel="1">
      <c r="A4" s="21"/>
      <c r="B4" s="31" t="s">
        <v>21</v>
      </c>
      <c r="C4" s="13">
        <v>0.0</v>
      </c>
      <c r="D4" s="34">
        <v>0.0</v>
      </c>
      <c r="E4" s="13">
        <v>0.0</v>
      </c>
      <c r="F4" s="36">
        <v>0.0</v>
      </c>
      <c r="G4" s="36">
        <v>0.0</v>
      </c>
      <c r="H4" s="36">
        <v>3850.0</v>
      </c>
      <c r="I4" s="13">
        <v>7950.0</v>
      </c>
      <c r="J4" s="13">
        <v>11750.0</v>
      </c>
      <c r="K4" s="13">
        <v>9275.0</v>
      </c>
      <c r="L4" s="37">
        <f t="shared" si="2"/>
        <v>32825</v>
      </c>
      <c r="M4" s="52"/>
    </row>
    <row r="5" outlineLevel="1">
      <c r="A5" s="21"/>
      <c r="B5" s="31" t="s">
        <v>23</v>
      </c>
      <c r="C5" s="13">
        <v>0.0</v>
      </c>
      <c r="D5" s="13">
        <v>0.0</v>
      </c>
      <c r="E5" s="13">
        <v>0.0</v>
      </c>
      <c r="F5" s="36">
        <v>0.0</v>
      </c>
      <c r="G5" s="36">
        <v>0.0</v>
      </c>
      <c r="H5" s="37">
        <v>0.0</v>
      </c>
      <c r="I5" s="13">
        <v>0.0</v>
      </c>
      <c r="J5" s="13">
        <v>0.0</v>
      </c>
      <c r="K5" s="13">
        <v>0.0</v>
      </c>
      <c r="L5" s="37">
        <f t="shared" si="2"/>
        <v>0</v>
      </c>
      <c r="M5" s="52"/>
    </row>
    <row r="6" outlineLevel="1">
      <c r="A6" s="21"/>
      <c r="B6" s="31" t="s">
        <v>25</v>
      </c>
      <c r="C6" s="13">
        <v>0.0</v>
      </c>
      <c r="D6" s="13">
        <v>0.0</v>
      </c>
      <c r="E6" s="13">
        <v>0.0</v>
      </c>
      <c r="F6" s="36">
        <v>0.0</v>
      </c>
      <c r="G6" s="36">
        <v>0.0</v>
      </c>
      <c r="H6" s="37">
        <v>0.0</v>
      </c>
      <c r="I6" s="13">
        <v>0.0</v>
      </c>
      <c r="J6" s="13">
        <v>0.0</v>
      </c>
      <c r="K6" s="13">
        <v>0.0</v>
      </c>
      <c r="L6" s="37">
        <f t="shared" si="2"/>
        <v>0</v>
      </c>
      <c r="M6" s="52"/>
    </row>
    <row r="7" outlineLevel="1">
      <c r="A7" s="21"/>
      <c r="B7" s="31" t="s">
        <v>26</v>
      </c>
      <c r="C7" s="13">
        <v>0.0</v>
      </c>
      <c r="D7" s="13">
        <v>0.0</v>
      </c>
      <c r="E7" s="13">
        <v>0.0</v>
      </c>
      <c r="F7" s="36">
        <v>0.0</v>
      </c>
      <c r="G7" s="36">
        <v>0.0</v>
      </c>
      <c r="H7" s="36">
        <v>6287.0</v>
      </c>
      <c r="I7" s="13">
        <v>900.0</v>
      </c>
      <c r="J7" s="13">
        <v>25470.0</v>
      </c>
      <c r="K7" s="13">
        <v>58990.0</v>
      </c>
      <c r="L7" s="37">
        <f t="shared" si="2"/>
        <v>91647</v>
      </c>
      <c r="M7" s="52"/>
    </row>
    <row r="8">
      <c r="A8" s="21"/>
      <c r="B8" s="44" t="s">
        <v>28</v>
      </c>
      <c r="C8" s="27">
        <f t="shared" ref="C8:K8" si="3">SUM(C9:C13)</f>
        <v>0</v>
      </c>
      <c r="D8" s="27">
        <f t="shared" si="3"/>
        <v>0</v>
      </c>
      <c r="E8" s="27">
        <f t="shared" si="3"/>
        <v>0</v>
      </c>
      <c r="F8" s="27">
        <f t="shared" si="3"/>
        <v>0</v>
      </c>
      <c r="G8" s="27">
        <f t="shared" si="3"/>
        <v>0</v>
      </c>
      <c r="H8" s="27">
        <f t="shared" si="3"/>
        <v>7600</v>
      </c>
      <c r="I8" s="27">
        <f t="shared" si="3"/>
        <v>40370</v>
      </c>
      <c r="J8" s="27">
        <f t="shared" si="3"/>
        <v>73780</v>
      </c>
      <c r="K8" s="27">
        <f t="shared" si="3"/>
        <v>44755</v>
      </c>
      <c r="L8" s="27">
        <f t="shared" si="2"/>
        <v>166505</v>
      </c>
      <c r="M8" s="38">
        <f>L8/1.18</f>
        <v>141105.9322</v>
      </c>
    </row>
    <row r="9" outlineLevel="1">
      <c r="A9" s="21"/>
      <c r="B9" s="32" t="s">
        <v>33</v>
      </c>
      <c r="C9" s="13">
        <v>0.0</v>
      </c>
      <c r="D9" s="34">
        <v>0.0</v>
      </c>
      <c r="E9" s="89">
        <v>0.0</v>
      </c>
      <c r="F9" s="36">
        <v>0.0</v>
      </c>
      <c r="G9" s="36">
        <v>0.0</v>
      </c>
      <c r="H9" s="37">
        <v>3100.0</v>
      </c>
      <c r="I9" s="13">
        <v>17570.0</v>
      </c>
      <c r="J9" s="13">
        <v>14380.0</v>
      </c>
      <c r="K9" s="13">
        <v>5505.0</v>
      </c>
      <c r="L9" s="37">
        <f t="shared" si="2"/>
        <v>40555</v>
      </c>
      <c r="M9" s="52"/>
    </row>
    <row r="10" outlineLevel="1">
      <c r="A10" s="21"/>
      <c r="B10" s="32" t="s">
        <v>34</v>
      </c>
      <c r="C10" s="13">
        <v>0.0</v>
      </c>
      <c r="D10" s="34">
        <v>0.0</v>
      </c>
      <c r="E10" s="89">
        <v>0.0</v>
      </c>
      <c r="F10" s="36">
        <v>0.0</v>
      </c>
      <c r="G10" s="36">
        <v>0.0</v>
      </c>
      <c r="H10" s="36">
        <v>3600.0</v>
      </c>
      <c r="I10" s="13">
        <v>1450.0</v>
      </c>
      <c r="J10" s="13">
        <v>1800.0</v>
      </c>
      <c r="K10" s="13">
        <v>900.0</v>
      </c>
      <c r="L10" s="37">
        <f t="shared" si="2"/>
        <v>7750</v>
      </c>
      <c r="M10" s="52"/>
    </row>
    <row r="11" outlineLevel="1">
      <c r="A11" s="21"/>
      <c r="B11" s="31" t="s">
        <v>36</v>
      </c>
      <c r="C11" s="13">
        <v>0.0</v>
      </c>
      <c r="D11" s="13">
        <v>0.0</v>
      </c>
      <c r="E11" s="13">
        <v>0.0</v>
      </c>
      <c r="F11" s="36">
        <v>0.0</v>
      </c>
      <c r="G11" s="36">
        <v>0.0</v>
      </c>
      <c r="H11" s="36">
        <v>900.0</v>
      </c>
      <c r="I11" s="13">
        <v>21350.0</v>
      </c>
      <c r="J11" s="13">
        <v>57600.0</v>
      </c>
      <c r="K11" s="13">
        <v>38350.0</v>
      </c>
      <c r="L11" s="37">
        <f t="shared" si="2"/>
        <v>118200</v>
      </c>
      <c r="M11" s="52"/>
    </row>
    <row r="12" outlineLevel="1">
      <c r="A12" s="21"/>
      <c r="B12" s="32" t="s">
        <v>37</v>
      </c>
      <c r="C12" s="13">
        <v>0.0</v>
      </c>
      <c r="D12" s="34">
        <v>0.0</v>
      </c>
      <c r="E12" s="13">
        <v>0.0</v>
      </c>
      <c r="F12" s="36">
        <v>0.0</v>
      </c>
      <c r="G12" s="36">
        <v>0.0</v>
      </c>
      <c r="H12" s="37">
        <v>0.0</v>
      </c>
      <c r="I12" s="13">
        <v>0.0</v>
      </c>
      <c r="J12" s="13">
        <v>0.0</v>
      </c>
      <c r="K12" s="13">
        <v>0.0</v>
      </c>
      <c r="L12" s="37">
        <f t="shared" si="2"/>
        <v>0</v>
      </c>
      <c r="M12" s="52"/>
    </row>
    <row r="13">
      <c r="A13" s="21"/>
      <c r="B13" s="31" t="s">
        <v>38</v>
      </c>
      <c r="C13" s="36">
        <v>0.0</v>
      </c>
      <c r="D13" s="36">
        <v>0.0</v>
      </c>
      <c r="E13" s="36">
        <v>0.0</v>
      </c>
      <c r="F13" s="36">
        <v>0.0</v>
      </c>
      <c r="G13" s="36">
        <v>0.0</v>
      </c>
      <c r="H13" s="36">
        <v>0.0</v>
      </c>
      <c r="I13" s="36">
        <v>0.0</v>
      </c>
      <c r="J13" s="13">
        <v>0.0</v>
      </c>
      <c r="K13" s="13">
        <v>0.0</v>
      </c>
      <c r="L13" s="37">
        <f t="shared" si="2"/>
        <v>0</v>
      </c>
      <c r="M13" s="52"/>
    </row>
    <row r="14">
      <c r="A14" s="21"/>
      <c r="B14" s="44" t="s">
        <v>39</v>
      </c>
      <c r="C14" s="27">
        <f t="shared" ref="C14:K14" si="4">SUM(C16,C15, C17,C18)</f>
        <v>0</v>
      </c>
      <c r="D14" s="27">
        <f t="shared" si="4"/>
        <v>0</v>
      </c>
      <c r="E14" s="27">
        <f t="shared" si="4"/>
        <v>0</v>
      </c>
      <c r="F14" s="27">
        <f t="shared" si="4"/>
        <v>0</v>
      </c>
      <c r="G14" s="27">
        <f t="shared" si="4"/>
        <v>0</v>
      </c>
      <c r="H14" s="27">
        <f t="shared" si="4"/>
        <v>3900</v>
      </c>
      <c r="I14" s="27">
        <f t="shared" si="4"/>
        <v>600</v>
      </c>
      <c r="J14" s="27">
        <f t="shared" si="4"/>
        <v>0</v>
      </c>
      <c r="K14" s="27">
        <f t="shared" si="4"/>
        <v>56360</v>
      </c>
      <c r="L14" s="27">
        <f t="shared" si="2"/>
        <v>60860</v>
      </c>
      <c r="M14" s="38">
        <f>L14/1.18</f>
        <v>51576.27119</v>
      </c>
    </row>
    <row r="15" outlineLevel="1">
      <c r="A15" s="21"/>
      <c r="B15" s="32" t="s">
        <v>42</v>
      </c>
      <c r="C15" s="36">
        <v>0.0</v>
      </c>
      <c r="D15" s="36">
        <v>0.0</v>
      </c>
      <c r="E15" s="36">
        <v>0.0</v>
      </c>
      <c r="F15" s="36">
        <v>0.0</v>
      </c>
      <c r="G15" s="36">
        <v>0.0</v>
      </c>
      <c r="H15" s="37">
        <v>0.0</v>
      </c>
      <c r="I15" s="13">
        <v>0.0</v>
      </c>
      <c r="J15" s="13">
        <v>0.0</v>
      </c>
      <c r="K15" s="13">
        <v>40480.0</v>
      </c>
      <c r="L15" s="37">
        <f t="shared" si="2"/>
        <v>40480</v>
      </c>
      <c r="M15" s="52"/>
    </row>
    <row r="16" outlineLevel="1">
      <c r="A16" s="21"/>
      <c r="B16" s="32" t="s">
        <v>44</v>
      </c>
      <c r="C16" s="13">
        <v>0.0</v>
      </c>
      <c r="D16" s="13">
        <v>0.0</v>
      </c>
      <c r="E16" s="36">
        <v>0.0</v>
      </c>
      <c r="F16" s="49">
        <v>0.0</v>
      </c>
      <c r="G16" s="36">
        <v>0.0</v>
      </c>
      <c r="H16" s="37">
        <v>3100.0</v>
      </c>
      <c r="I16" s="13">
        <v>0.0</v>
      </c>
      <c r="J16" s="13">
        <v>0.0</v>
      </c>
      <c r="K16" s="13">
        <v>0.0</v>
      </c>
      <c r="L16" s="37">
        <f t="shared" si="2"/>
        <v>3100</v>
      </c>
      <c r="M16" s="52"/>
    </row>
    <row r="17" outlineLevel="1">
      <c r="A17" s="21"/>
      <c r="B17" s="32" t="s">
        <v>45</v>
      </c>
      <c r="C17" s="13">
        <v>0.0</v>
      </c>
      <c r="D17" s="13">
        <v>0.0</v>
      </c>
      <c r="E17" s="36">
        <v>0.0</v>
      </c>
      <c r="F17" s="49">
        <v>0.0</v>
      </c>
      <c r="G17" s="36">
        <v>0.0</v>
      </c>
      <c r="H17" s="37">
        <v>800.0</v>
      </c>
      <c r="I17" s="13">
        <v>600.0</v>
      </c>
      <c r="J17" s="13">
        <v>0.0</v>
      </c>
      <c r="K17" s="13">
        <v>15880.0</v>
      </c>
      <c r="L17" s="37">
        <f t="shared" si="2"/>
        <v>17280</v>
      </c>
      <c r="M17" s="52"/>
    </row>
    <row r="18" outlineLevel="1">
      <c r="A18" s="21"/>
      <c r="B18" s="32" t="s">
        <v>46</v>
      </c>
      <c r="C18" s="13">
        <v>0.0</v>
      </c>
      <c r="D18" s="13">
        <v>0.0</v>
      </c>
      <c r="E18" s="13">
        <v>0.0</v>
      </c>
      <c r="F18" s="36">
        <v>0.0</v>
      </c>
      <c r="G18" s="36">
        <v>0.0</v>
      </c>
      <c r="H18" s="37">
        <v>0.0</v>
      </c>
      <c r="I18" s="13">
        <v>0.0</v>
      </c>
      <c r="J18" s="13">
        <v>0.0</v>
      </c>
      <c r="K18" s="13">
        <v>0.0</v>
      </c>
      <c r="L18" s="37">
        <f t="shared" si="2"/>
        <v>0</v>
      </c>
      <c r="M18" s="52"/>
    </row>
    <row r="19">
      <c r="A19" s="21"/>
      <c r="B19" s="24" t="s">
        <v>48</v>
      </c>
      <c r="C19" s="27">
        <v>0.0</v>
      </c>
      <c r="D19" s="27">
        <v>0.0</v>
      </c>
      <c r="E19" s="27">
        <v>0.0</v>
      </c>
      <c r="F19" s="27">
        <v>0.0</v>
      </c>
      <c r="G19" s="27">
        <v>0.0</v>
      </c>
      <c r="H19" s="27">
        <v>0.0</v>
      </c>
      <c r="I19" s="48">
        <v>0.0</v>
      </c>
      <c r="J19" s="48">
        <v>0.0</v>
      </c>
      <c r="K19" s="48">
        <v>0.0</v>
      </c>
      <c r="L19" s="27">
        <f t="shared" si="2"/>
        <v>0</v>
      </c>
      <c r="M19" s="38">
        <f t="shared" ref="M19:M24" si="5">L19/1.18</f>
        <v>0</v>
      </c>
      <c r="AA19" s="48"/>
    </row>
    <row r="20">
      <c r="A20" s="21"/>
      <c r="B20" s="58" t="s">
        <v>49</v>
      </c>
      <c r="C20" s="13">
        <v>0.0</v>
      </c>
      <c r="D20" s="13">
        <v>0.0</v>
      </c>
      <c r="E20" s="13">
        <v>0.0</v>
      </c>
      <c r="F20" s="36">
        <v>0.0</v>
      </c>
      <c r="G20" s="36">
        <v>0.0</v>
      </c>
      <c r="H20" s="36">
        <v>0.0</v>
      </c>
      <c r="I20" s="13">
        <v>0.0</v>
      </c>
      <c r="J20" s="13">
        <v>0.0</v>
      </c>
      <c r="K20" s="13">
        <v>0.0</v>
      </c>
      <c r="L20" s="27">
        <f t="shared" si="2"/>
        <v>0</v>
      </c>
      <c r="M20" s="38">
        <f t="shared" si="5"/>
        <v>0</v>
      </c>
    </row>
    <row r="21">
      <c r="A21" s="21"/>
      <c r="B21" s="24" t="s">
        <v>50</v>
      </c>
      <c r="C21" s="13">
        <v>0.0</v>
      </c>
      <c r="D21" s="13">
        <v>0.0</v>
      </c>
      <c r="E21" s="13">
        <v>0.0</v>
      </c>
      <c r="F21" s="36">
        <v>0.0</v>
      </c>
      <c r="G21" s="36">
        <v>0.0</v>
      </c>
      <c r="H21" s="37">
        <v>0.0</v>
      </c>
      <c r="I21" s="13">
        <v>0.0</v>
      </c>
      <c r="J21" s="13">
        <v>2460.0</v>
      </c>
      <c r="K21" s="13">
        <v>0.0</v>
      </c>
      <c r="L21" s="27">
        <f t="shared" si="2"/>
        <v>2460</v>
      </c>
      <c r="M21" s="38">
        <f t="shared" si="5"/>
        <v>2084.745763</v>
      </c>
    </row>
    <row r="22">
      <c r="A22" s="21"/>
      <c r="B22" s="24" t="s">
        <v>51</v>
      </c>
      <c r="C22" s="13">
        <v>0.0</v>
      </c>
      <c r="D22" s="13">
        <v>0.0</v>
      </c>
      <c r="E22" s="13">
        <v>0.0</v>
      </c>
      <c r="F22" s="49">
        <v>0.0</v>
      </c>
      <c r="G22" s="36">
        <v>0.0</v>
      </c>
      <c r="H22" s="37">
        <v>0.0</v>
      </c>
      <c r="I22" s="13">
        <v>0.0</v>
      </c>
      <c r="J22" s="13">
        <v>0.0</v>
      </c>
      <c r="K22" s="13">
        <v>10000.0</v>
      </c>
      <c r="L22" s="27">
        <f t="shared" si="2"/>
        <v>10000</v>
      </c>
      <c r="M22" s="38">
        <f t="shared" si="5"/>
        <v>8474.576271</v>
      </c>
    </row>
    <row r="23">
      <c r="A23" s="21"/>
      <c r="B23" s="24" t="s">
        <v>52</v>
      </c>
      <c r="C23" s="13">
        <v>0.0</v>
      </c>
      <c r="D23" s="13">
        <v>0.0</v>
      </c>
      <c r="E23" s="13">
        <v>0.0</v>
      </c>
      <c r="F23" s="36">
        <v>0.0</v>
      </c>
      <c r="G23" s="36">
        <v>0.0</v>
      </c>
      <c r="H23" s="37">
        <v>0.0</v>
      </c>
      <c r="I23" s="13">
        <v>0.0</v>
      </c>
      <c r="J23" s="13">
        <v>0.0</v>
      </c>
      <c r="K23" s="13">
        <v>0.0</v>
      </c>
      <c r="L23" s="27">
        <f t="shared" si="2"/>
        <v>0</v>
      </c>
      <c r="M23" s="38">
        <f t="shared" si="5"/>
        <v>0</v>
      </c>
    </row>
    <row r="24">
      <c r="A24" s="41"/>
      <c r="B24" s="55" t="s">
        <v>47</v>
      </c>
      <c r="C24" s="64">
        <f t="shared" ref="C24:L24" si="6">sum(C3,C8,C14,C19,C20,C21,C22,C23)</f>
        <v>0</v>
      </c>
      <c r="D24" s="64">
        <f t="shared" si="6"/>
        <v>0</v>
      </c>
      <c r="E24" s="64">
        <f t="shared" si="6"/>
        <v>0</v>
      </c>
      <c r="F24" s="64">
        <f t="shared" si="6"/>
        <v>0</v>
      </c>
      <c r="G24" s="64">
        <f t="shared" si="6"/>
        <v>0</v>
      </c>
      <c r="H24" s="64">
        <f t="shared" si="6"/>
        <v>21637</v>
      </c>
      <c r="I24" s="64">
        <f t="shared" si="6"/>
        <v>49820</v>
      </c>
      <c r="J24" s="64">
        <f t="shared" si="6"/>
        <v>113460</v>
      </c>
      <c r="K24" s="64">
        <f t="shared" si="6"/>
        <v>179380</v>
      </c>
      <c r="L24" s="64">
        <f t="shared" si="6"/>
        <v>364297</v>
      </c>
      <c r="M24" s="38">
        <f t="shared" si="5"/>
        <v>308726.2712</v>
      </c>
    </row>
    <row r="25">
      <c r="A25" s="25"/>
      <c r="B25" s="77" t="s">
        <v>54</v>
      </c>
      <c r="C25" s="48">
        <v>0.0</v>
      </c>
      <c r="D25" s="48">
        <v>0.0</v>
      </c>
      <c r="E25" s="48">
        <v>0.0</v>
      </c>
      <c r="F25" s="48">
        <v>0.0</v>
      </c>
      <c r="G25" s="48">
        <v>0.0</v>
      </c>
      <c r="H25" s="48">
        <v>20915.0</v>
      </c>
      <c r="I25" s="48">
        <v>45663.0</v>
      </c>
      <c r="J25" s="48">
        <v>110603.09</v>
      </c>
      <c r="K25" s="13">
        <v>176378.48</v>
      </c>
      <c r="L25" s="97">
        <f t="shared" ref="L25:L26" si="8">SUM(C25:K25)</f>
        <v>353559.57</v>
      </c>
      <c r="M25" s="73"/>
    </row>
    <row r="26">
      <c r="A26" s="98"/>
      <c r="B26" s="68" t="s">
        <v>55</v>
      </c>
      <c r="C26" s="45">
        <f t="shared" ref="C26:K26" si="7">C25/1.18</f>
        <v>0</v>
      </c>
      <c r="D26" s="45">
        <f t="shared" si="7"/>
        <v>0</v>
      </c>
      <c r="E26" s="45">
        <f t="shared" si="7"/>
        <v>0</v>
      </c>
      <c r="F26" s="45">
        <f t="shared" si="7"/>
        <v>0</v>
      </c>
      <c r="G26" s="45">
        <f t="shared" si="7"/>
        <v>0</v>
      </c>
      <c r="H26" s="45">
        <f t="shared" si="7"/>
        <v>17724.57627</v>
      </c>
      <c r="I26" s="45">
        <f t="shared" si="7"/>
        <v>38697.45763</v>
      </c>
      <c r="J26" s="45">
        <f t="shared" si="7"/>
        <v>93731.4322</v>
      </c>
      <c r="K26" s="45">
        <f t="shared" si="7"/>
        <v>149473.2881</v>
      </c>
      <c r="L26" s="97">
        <f t="shared" si="8"/>
        <v>299626.7542</v>
      </c>
      <c r="M26" s="73"/>
    </row>
    <row r="27">
      <c r="B27" s="72" t="s">
        <v>56</v>
      </c>
      <c r="C27" s="14"/>
      <c r="D27" s="14"/>
      <c r="E27" s="14"/>
      <c r="F27" s="14"/>
      <c r="G27" s="14"/>
      <c r="H27" s="14"/>
      <c r="I27" s="13"/>
      <c r="J27" s="14"/>
      <c r="K27" s="14"/>
    </row>
    <row r="28">
      <c r="B28" s="46" t="s">
        <v>62</v>
      </c>
      <c r="C28" s="14"/>
      <c r="D28" s="14"/>
      <c r="E28" s="14"/>
      <c r="F28" s="14"/>
      <c r="G28" s="14"/>
      <c r="H28" s="14"/>
      <c r="I28" s="14"/>
      <c r="J28" s="14"/>
      <c r="K28" s="14"/>
    </row>
  </sheetData>
  <hyperlinks>
    <hyperlink r:id="rId1" ref="H1"/>
    <hyperlink r:id="rId2" ref="I1"/>
    <hyperlink r:id="rId3" ref="J1"/>
    <hyperlink r:id="rId4" ref="K1"/>
  </hyperlinks>
  <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3.63"/>
    <col customWidth="1" min="2" max="2" width="28.0"/>
  </cols>
  <sheetData>
    <row r="1">
      <c r="A1" s="16"/>
      <c r="B1" s="2" t="s">
        <v>0</v>
      </c>
      <c r="C1" s="5"/>
      <c r="D1" s="5"/>
      <c r="E1" s="5"/>
      <c r="F1" s="92"/>
      <c r="G1" s="93"/>
      <c r="H1" s="93"/>
      <c r="I1" s="12" t="s">
        <v>1</v>
      </c>
      <c r="J1" s="12" t="s">
        <v>1</v>
      </c>
      <c r="K1" s="12" t="s">
        <v>1</v>
      </c>
    </row>
    <row r="2">
      <c r="A2" s="96"/>
      <c r="B2" s="18" t="s">
        <v>16</v>
      </c>
      <c r="C2" s="5" t="s">
        <v>4</v>
      </c>
      <c r="D2" s="5" t="s">
        <v>5</v>
      </c>
      <c r="E2" s="5" t="s">
        <v>6</v>
      </c>
      <c r="F2" s="18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19" t="s">
        <v>17</v>
      </c>
    </row>
    <row r="3">
      <c r="A3" s="21"/>
      <c r="B3" s="24" t="s">
        <v>18</v>
      </c>
      <c r="C3" s="27">
        <f t="shared" ref="C3:K3" si="1">SUM(C4,C5,C6,C7)</f>
        <v>0</v>
      </c>
      <c r="D3" s="27">
        <f t="shared" si="1"/>
        <v>0</v>
      </c>
      <c r="E3" s="27">
        <f t="shared" si="1"/>
        <v>0</v>
      </c>
      <c r="F3" s="27">
        <f t="shared" si="1"/>
        <v>0</v>
      </c>
      <c r="G3" s="27">
        <f t="shared" si="1"/>
        <v>0</v>
      </c>
      <c r="H3" s="27">
        <f t="shared" si="1"/>
        <v>0</v>
      </c>
      <c r="I3" s="27">
        <f t="shared" si="1"/>
        <v>30252</v>
      </c>
      <c r="J3" s="27">
        <f t="shared" si="1"/>
        <v>16510</v>
      </c>
      <c r="K3" s="27">
        <f t="shared" si="1"/>
        <v>26050</v>
      </c>
      <c r="L3" s="29">
        <f t="shared" ref="L3:L23" si="2">SUM(C3:K3)</f>
        <v>72812</v>
      </c>
      <c r="M3" s="30">
        <f>L3/1.18</f>
        <v>61705.08475</v>
      </c>
    </row>
    <row r="4" outlineLevel="1">
      <c r="A4" s="21"/>
      <c r="B4" s="31" t="s">
        <v>21</v>
      </c>
      <c r="C4" s="36">
        <v>0.0</v>
      </c>
      <c r="D4" s="36">
        <v>0.0</v>
      </c>
      <c r="E4" s="36">
        <v>0.0</v>
      </c>
      <c r="F4" s="36">
        <v>0.0</v>
      </c>
      <c r="G4" s="36">
        <v>0.0</v>
      </c>
      <c r="H4" s="36">
        <v>0.0</v>
      </c>
      <c r="I4" s="36">
        <v>3700.0</v>
      </c>
      <c r="J4" s="36">
        <v>4600.0</v>
      </c>
      <c r="K4" s="99">
        <v>7050.0</v>
      </c>
      <c r="L4" s="14">
        <f t="shared" si="2"/>
        <v>15350</v>
      </c>
      <c r="M4" s="30"/>
    </row>
    <row r="5" outlineLevel="1">
      <c r="A5" s="21"/>
      <c r="B5" s="31" t="s">
        <v>23</v>
      </c>
      <c r="C5" s="36">
        <v>0.0</v>
      </c>
      <c r="D5" s="36">
        <v>0.0</v>
      </c>
      <c r="E5" s="36">
        <v>0.0</v>
      </c>
      <c r="F5" s="36">
        <v>0.0</v>
      </c>
      <c r="G5" s="36">
        <v>0.0</v>
      </c>
      <c r="H5" s="36">
        <v>0.0</v>
      </c>
      <c r="I5" s="36">
        <v>0.0</v>
      </c>
      <c r="J5" s="36">
        <v>0.0</v>
      </c>
      <c r="K5" s="99">
        <v>0.0</v>
      </c>
      <c r="L5" s="14">
        <f t="shared" si="2"/>
        <v>0</v>
      </c>
      <c r="M5" s="30"/>
    </row>
    <row r="6" outlineLevel="1">
      <c r="A6" s="21"/>
      <c r="B6" s="31" t="s">
        <v>25</v>
      </c>
      <c r="C6" s="36">
        <v>0.0</v>
      </c>
      <c r="D6" s="36">
        <v>0.0</v>
      </c>
      <c r="E6" s="36">
        <v>0.0</v>
      </c>
      <c r="F6" s="36">
        <v>0.0</v>
      </c>
      <c r="G6" s="36">
        <v>0.0</v>
      </c>
      <c r="H6" s="36">
        <v>0.0</v>
      </c>
      <c r="I6" s="36">
        <v>0.0</v>
      </c>
      <c r="J6" s="36">
        <v>0.0</v>
      </c>
      <c r="K6" s="99">
        <v>0.0</v>
      </c>
      <c r="L6" s="14">
        <f t="shared" si="2"/>
        <v>0</v>
      </c>
      <c r="M6" s="30">
        <f>L6/1.18</f>
        <v>0</v>
      </c>
    </row>
    <row r="7" outlineLevel="1">
      <c r="A7" s="21"/>
      <c r="B7" s="31" t="s">
        <v>26</v>
      </c>
      <c r="C7" s="36">
        <v>0.0</v>
      </c>
      <c r="D7" s="36">
        <v>0.0</v>
      </c>
      <c r="E7" s="36">
        <v>0.0</v>
      </c>
      <c r="F7" s="36">
        <v>0.0</v>
      </c>
      <c r="G7" s="36">
        <v>0.0</v>
      </c>
      <c r="H7" s="36">
        <v>0.0</v>
      </c>
      <c r="I7" s="36">
        <v>26552.0</v>
      </c>
      <c r="J7" s="36">
        <v>11910.0</v>
      </c>
      <c r="K7" s="99">
        <v>19000.0</v>
      </c>
      <c r="L7" s="14">
        <f t="shared" si="2"/>
        <v>57462</v>
      </c>
      <c r="M7" s="30"/>
    </row>
    <row r="8">
      <c r="A8" s="21"/>
      <c r="B8" s="44" t="s">
        <v>28</v>
      </c>
      <c r="C8" s="27">
        <f t="shared" ref="C8:K8" si="3">SUM(C9:C13)</f>
        <v>0</v>
      </c>
      <c r="D8" s="27">
        <f t="shared" si="3"/>
        <v>0</v>
      </c>
      <c r="E8" s="27">
        <f t="shared" si="3"/>
        <v>0</v>
      </c>
      <c r="F8" s="27">
        <f t="shared" si="3"/>
        <v>0</v>
      </c>
      <c r="G8" s="27">
        <f t="shared" si="3"/>
        <v>0</v>
      </c>
      <c r="H8" s="27">
        <f t="shared" si="3"/>
        <v>0</v>
      </c>
      <c r="I8" s="27">
        <f t="shared" si="3"/>
        <v>48336</v>
      </c>
      <c r="J8" s="27">
        <f t="shared" si="3"/>
        <v>63000</v>
      </c>
      <c r="K8" s="27">
        <f t="shared" si="3"/>
        <v>110415</v>
      </c>
      <c r="L8" s="29">
        <f t="shared" si="2"/>
        <v>221751</v>
      </c>
      <c r="M8" s="30">
        <f>L8/1.18</f>
        <v>187924.5763</v>
      </c>
    </row>
    <row r="9" outlineLevel="1">
      <c r="A9" s="21"/>
      <c r="B9" s="32" t="s">
        <v>33</v>
      </c>
      <c r="C9" s="36">
        <v>0.0</v>
      </c>
      <c r="D9" s="36">
        <v>0.0</v>
      </c>
      <c r="E9" s="36">
        <v>0.0</v>
      </c>
      <c r="F9" s="36">
        <v>0.0</v>
      </c>
      <c r="G9" s="36">
        <v>0.0</v>
      </c>
      <c r="H9" s="36">
        <v>0.0</v>
      </c>
      <c r="I9" s="36">
        <v>40056.0</v>
      </c>
      <c r="J9" s="36">
        <v>48600.0</v>
      </c>
      <c r="K9" s="99">
        <v>62515.0</v>
      </c>
      <c r="L9" s="14">
        <f t="shared" si="2"/>
        <v>151171</v>
      </c>
      <c r="M9" s="30"/>
    </row>
    <row r="10" outlineLevel="1">
      <c r="A10" s="21"/>
      <c r="B10" s="32" t="s">
        <v>34</v>
      </c>
      <c r="C10" s="36">
        <v>0.0</v>
      </c>
      <c r="D10" s="36">
        <v>0.0</v>
      </c>
      <c r="E10" s="36">
        <v>0.0</v>
      </c>
      <c r="F10" s="36">
        <v>0.0</v>
      </c>
      <c r="G10" s="36">
        <v>0.0</v>
      </c>
      <c r="H10" s="36">
        <v>0.0</v>
      </c>
      <c r="I10" s="36">
        <v>2880.0</v>
      </c>
      <c r="J10" s="36">
        <v>0.0</v>
      </c>
      <c r="K10" s="99">
        <v>0.0</v>
      </c>
      <c r="L10" s="14">
        <f t="shared" si="2"/>
        <v>2880</v>
      </c>
      <c r="M10" s="30"/>
    </row>
    <row r="11" outlineLevel="1">
      <c r="A11" s="21"/>
      <c r="B11" s="100" t="s">
        <v>36</v>
      </c>
      <c r="C11" s="36">
        <v>0.0</v>
      </c>
      <c r="D11" s="36">
        <v>0.0</v>
      </c>
      <c r="E11" s="36">
        <v>0.0</v>
      </c>
      <c r="F11" s="36">
        <v>0.0</v>
      </c>
      <c r="G11" s="36">
        <v>0.0</v>
      </c>
      <c r="H11" s="36">
        <v>0.0</v>
      </c>
      <c r="I11" s="36">
        <v>5400.0</v>
      </c>
      <c r="J11" s="36">
        <v>14400.0</v>
      </c>
      <c r="K11" s="99">
        <v>47900.0</v>
      </c>
      <c r="L11" s="14">
        <f t="shared" si="2"/>
        <v>67700</v>
      </c>
      <c r="M11" s="30"/>
    </row>
    <row r="12" outlineLevel="1">
      <c r="A12" s="21"/>
      <c r="B12" s="32" t="s">
        <v>37</v>
      </c>
      <c r="C12" s="36">
        <v>0.0</v>
      </c>
      <c r="D12" s="36">
        <v>0.0</v>
      </c>
      <c r="E12" s="36">
        <v>0.0</v>
      </c>
      <c r="F12" s="36">
        <v>0.0</v>
      </c>
      <c r="G12" s="36">
        <v>0.0</v>
      </c>
      <c r="H12" s="36">
        <v>0.0</v>
      </c>
      <c r="I12" s="36">
        <v>0.0</v>
      </c>
      <c r="J12" s="36">
        <v>0.0</v>
      </c>
      <c r="K12" s="99">
        <v>0.0</v>
      </c>
      <c r="L12" s="14">
        <f t="shared" si="2"/>
        <v>0</v>
      </c>
      <c r="M12" s="30"/>
    </row>
    <row r="13">
      <c r="A13" s="21"/>
      <c r="B13" s="31" t="s">
        <v>38</v>
      </c>
      <c r="C13" s="36">
        <v>0.0</v>
      </c>
      <c r="D13" s="36">
        <v>0.0</v>
      </c>
      <c r="E13" s="36">
        <v>0.0</v>
      </c>
      <c r="F13" s="36">
        <v>0.0</v>
      </c>
      <c r="G13" s="36">
        <v>0.0</v>
      </c>
      <c r="H13" s="36">
        <v>0.0</v>
      </c>
      <c r="I13" s="36">
        <v>0.0</v>
      </c>
      <c r="J13" s="36">
        <v>0.0</v>
      </c>
      <c r="K13" s="99">
        <v>0.0</v>
      </c>
      <c r="L13" s="14">
        <f t="shared" si="2"/>
        <v>0</v>
      </c>
      <c r="M13" s="30"/>
    </row>
    <row r="14">
      <c r="A14" s="21"/>
      <c r="B14" s="44" t="s">
        <v>39</v>
      </c>
      <c r="C14" s="27">
        <f t="shared" ref="C14:K14" si="4">SUM(C16,C15, C17,C18)</f>
        <v>0</v>
      </c>
      <c r="D14" s="27">
        <f t="shared" si="4"/>
        <v>0</v>
      </c>
      <c r="E14" s="27">
        <f t="shared" si="4"/>
        <v>0</v>
      </c>
      <c r="F14" s="27">
        <f t="shared" si="4"/>
        <v>0</v>
      </c>
      <c r="G14" s="27">
        <f t="shared" si="4"/>
        <v>0</v>
      </c>
      <c r="H14" s="27">
        <f t="shared" si="4"/>
        <v>0</v>
      </c>
      <c r="I14" s="27">
        <f t="shared" si="4"/>
        <v>0</v>
      </c>
      <c r="J14" s="27">
        <f t="shared" si="4"/>
        <v>9460</v>
      </c>
      <c r="K14" s="27">
        <f t="shared" si="4"/>
        <v>4548</v>
      </c>
      <c r="L14" s="29">
        <f t="shared" si="2"/>
        <v>14008</v>
      </c>
      <c r="M14" s="30">
        <f>L14/1.18</f>
        <v>11871.18644</v>
      </c>
    </row>
    <row r="15" outlineLevel="1">
      <c r="A15" s="21"/>
      <c r="B15" s="32" t="s">
        <v>42</v>
      </c>
      <c r="C15" s="36">
        <v>0.0</v>
      </c>
      <c r="D15" s="36">
        <v>0.0</v>
      </c>
      <c r="E15" s="36">
        <v>0.0</v>
      </c>
      <c r="F15" s="36">
        <v>0.0</v>
      </c>
      <c r="G15" s="36">
        <v>0.0</v>
      </c>
      <c r="H15" s="36">
        <v>0.0</v>
      </c>
      <c r="I15" s="36">
        <v>0.0</v>
      </c>
      <c r="J15" s="36">
        <v>0.0</v>
      </c>
      <c r="K15" s="99">
        <v>0.0</v>
      </c>
      <c r="L15" s="14">
        <f t="shared" si="2"/>
        <v>0</v>
      </c>
      <c r="M15" s="30"/>
    </row>
    <row r="16" outlineLevel="1">
      <c r="A16" s="21"/>
      <c r="B16" s="32" t="s">
        <v>44</v>
      </c>
      <c r="C16" s="36">
        <v>0.0</v>
      </c>
      <c r="D16" s="36">
        <v>0.0</v>
      </c>
      <c r="E16" s="36">
        <v>0.0</v>
      </c>
      <c r="F16" s="36">
        <v>0.0</v>
      </c>
      <c r="G16" s="36">
        <v>0.0</v>
      </c>
      <c r="H16" s="36">
        <v>0.0</v>
      </c>
      <c r="I16" s="36">
        <v>0.0</v>
      </c>
      <c r="J16" s="36">
        <v>0.0</v>
      </c>
      <c r="K16" s="99">
        <v>0.0</v>
      </c>
      <c r="L16" s="14">
        <f t="shared" si="2"/>
        <v>0</v>
      </c>
      <c r="M16" s="30"/>
    </row>
    <row r="17" outlineLevel="1">
      <c r="A17" s="21"/>
      <c r="B17" s="32" t="s">
        <v>45</v>
      </c>
      <c r="C17" s="36">
        <v>0.0</v>
      </c>
      <c r="D17" s="36">
        <v>0.0</v>
      </c>
      <c r="E17" s="36">
        <v>0.0</v>
      </c>
      <c r="F17" s="36">
        <v>0.0</v>
      </c>
      <c r="G17" s="36">
        <v>0.0</v>
      </c>
      <c r="H17" s="36">
        <v>0.0</v>
      </c>
      <c r="I17" s="36">
        <v>0.0</v>
      </c>
      <c r="J17" s="36">
        <v>0.0</v>
      </c>
      <c r="K17" s="99">
        <v>0.0</v>
      </c>
      <c r="L17" s="14">
        <f t="shared" si="2"/>
        <v>0</v>
      </c>
      <c r="M17" s="30"/>
    </row>
    <row r="18" outlineLevel="1">
      <c r="A18" s="21"/>
      <c r="B18" s="32" t="s">
        <v>46</v>
      </c>
      <c r="C18" s="36">
        <v>0.0</v>
      </c>
      <c r="D18" s="36">
        <v>0.0</v>
      </c>
      <c r="E18" s="36">
        <v>0.0</v>
      </c>
      <c r="F18" s="36">
        <v>0.0</v>
      </c>
      <c r="G18" s="36">
        <v>0.0</v>
      </c>
      <c r="H18" s="36">
        <v>0.0</v>
      </c>
      <c r="I18" s="36">
        <v>0.0</v>
      </c>
      <c r="J18" s="36">
        <v>9460.0</v>
      </c>
      <c r="K18" s="99">
        <v>4548.0</v>
      </c>
      <c r="L18" s="14">
        <f t="shared" si="2"/>
        <v>14008</v>
      </c>
      <c r="M18" s="30"/>
    </row>
    <row r="19">
      <c r="A19" s="21"/>
      <c r="B19" s="24" t="s">
        <v>48</v>
      </c>
      <c r="C19" s="45">
        <v>0.0</v>
      </c>
      <c r="D19" s="45">
        <v>0.0</v>
      </c>
      <c r="E19" s="45">
        <v>0.0</v>
      </c>
      <c r="F19" s="45">
        <v>0.0</v>
      </c>
      <c r="G19" s="45">
        <v>0.0</v>
      </c>
      <c r="H19" s="45">
        <v>0.0</v>
      </c>
      <c r="I19" s="45">
        <v>0.0</v>
      </c>
      <c r="J19" s="45">
        <v>0.0</v>
      </c>
      <c r="K19" s="45">
        <v>0.0</v>
      </c>
      <c r="L19" s="29">
        <f t="shared" si="2"/>
        <v>0</v>
      </c>
      <c r="M19" s="30">
        <f t="shared" ref="M19:M23" si="5">L19/1.18</f>
        <v>0</v>
      </c>
    </row>
    <row r="20">
      <c r="A20" s="21"/>
      <c r="B20" s="58" t="s">
        <v>49</v>
      </c>
      <c r="C20" s="36">
        <v>0.0</v>
      </c>
      <c r="D20" s="36">
        <v>0.0</v>
      </c>
      <c r="E20" s="36">
        <v>0.0</v>
      </c>
      <c r="F20" s="36">
        <v>0.0</v>
      </c>
      <c r="G20" s="36">
        <v>0.0</v>
      </c>
      <c r="H20" s="36">
        <v>0.0</v>
      </c>
      <c r="I20" s="36">
        <v>0.0</v>
      </c>
      <c r="J20" s="36">
        <v>0.0</v>
      </c>
      <c r="K20" s="99">
        <v>0.0</v>
      </c>
      <c r="L20" s="29">
        <f t="shared" si="2"/>
        <v>0</v>
      </c>
      <c r="M20" s="30">
        <f t="shared" si="5"/>
        <v>0</v>
      </c>
    </row>
    <row r="21">
      <c r="A21" s="21"/>
      <c r="B21" s="24" t="s">
        <v>50</v>
      </c>
      <c r="C21" s="36">
        <v>0.0</v>
      </c>
      <c r="D21" s="36">
        <v>0.0</v>
      </c>
      <c r="E21" s="36">
        <v>0.0</v>
      </c>
      <c r="F21" s="36">
        <v>0.0</v>
      </c>
      <c r="G21" s="36">
        <v>0.0</v>
      </c>
      <c r="H21" s="36">
        <v>0.0</v>
      </c>
      <c r="I21" s="36">
        <v>0.0</v>
      </c>
      <c r="J21" s="36">
        <v>0.0</v>
      </c>
      <c r="K21" s="99">
        <v>0.0</v>
      </c>
      <c r="L21" s="29">
        <f t="shared" si="2"/>
        <v>0</v>
      </c>
      <c r="M21" s="30">
        <f t="shared" si="5"/>
        <v>0</v>
      </c>
    </row>
    <row r="22">
      <c r="A22" s="21"/>
      <c r="B22" s="24" t="s">
        <v>51</v>
      </c>
      <c r="C22" s="36">
        <v>0.0</v>
      </c>
      <c r="D22" s="36">
        <v>0.0</v>
      </c>
      <c r="E22" s="36">
        <v>0.0</v>
      </c>
      <c r="F22" s="36">
        <v>0.0</v>
      </c>
      <c r="G22" s="36">
        <v>0.0</v>
      </c>
      <c r="H22" s="36">
        <v>0.0</v>
      </c>
      <c r="I22" s="36">
        <v>0.0</v>
      </c>
      <c r="J22" s="36">
        <v>0.0</v>
      </c>
      <c r="K22" s="99">
        <v>0.0</v>
      </c>
      <c r="L22" s="29">
        <f t="shared" si="2"/>
        <v>0</v>
      </c>
      <c r="M22" s="30">
        <f t="shared" si="5"/>
        <v>0</v>
      </c>
    </row>
    <row r="23">
      <c r="A23" s="21"/>
      <c r="B23" s="24" t="s">
        <v>52</v>
      </c>
      <c r="C23" s="36">
        <v>0.0</v>
      </c>
      <c r="D23" s="36">
        <v>0.0</v>
      </c>
      <c r="E23" s="36">
        <v>0.0</v>
      </c>
      <c r="F23" s="36">
        <v>0.0</v>
      </c>
      <c r="G23" s="36">
        <v>0.0</v>
      </c>
      <c r="H23" s="36">
        <v>0.0</v>
      </c>
      <c r="I23" s="36">
        <v>0.0</v>
      </c>
      <c r="J23" s="36">
        <v>0.0</v>
      </c>
      <c r="K23" s="99">
        <v>0.0</v>
      </c>
      <c r="L23" s="29">
        <f t="shared" si="2"/>
        <v>0</v>
      </c>
      <c r="M23" s="30">
        <f t="shared" si="5"/>
        <v>0</v>
      </c>
    </row>
    <row r="24">
      <c r="A24" s="41"/>
      <c r="B24" s="55" t="s">
        <v>47</v>
      </c>
      <c r="C24" s="64">
        <f t="shared" ref="C24:M24" si="6">sum(C3,C8,C14,C19,C20,C21,C22,C23)</f>
        <v>0</v>
      </c>
      <c r="D24" s="64">
        <f t="shared" si="6"/>
        <v>0</v>
      </c>
      <c r="E24" s="64">
        <f t="shared" si="6"/>
        <v>0</v>
      </c>
      <c r="F24" s="64">
        <f t="shared" si="6"/>
        <v>0</v>
      </c>
      <c r="G24" s="64">
        <f t="shared" si="6"/>
        <v>0</v>
      </c>
      <c r="H24" s="64">
        <f t="shared" si="6"/>
        <v>0</v>
      </c>
      <c r="I24" s="64">
        <f t="shared" si="6"/>
        <v>78588</v>
      </c>
      <c r="J24" s="64">
        <f t="shared" si="6"/>
        <v>88970</v>
      </c>
      <c r="K24" s="64">
        <f t="shared" si="6"/>
        <v>141013</v>
      </c>
      <c r="L24" s="64">
        <f t="shared" si="6"/>
        <v>308571</v>
      </c>
      <c r="M24" s="64">
        <f t="shared" si="6"/>
        <v>261500.8475</v>
      </c>
    </row>
    <row r="25">
      <c r="A25" s="25"/>
      <c r="B25" s="77" t="s">
        <v>54</v>
      </c>
      <c r="C25" s="45">
        <v>0.0</v>
      </c>
      <c r="D25" s="45">
        <v>0.0</v>
      </c>
      <c r="E25" s="45">
        <v>0.0</v>
      </c>
      <c r="F25" s="45">
        <v>0.0</v>
      </c>
      <c r="G25" s="45">
        <v>0.0</v>
      </c>
      <c r="H25" s="45">
        <v>0.0</v>
      </c>
      <c r="I25" s="48">
        <v>72955.0</v>
      </c>
      <c r="J25" s="102">
        <v>80551.94</v>
      </c>
      <c r="K25" s="102">
        <v>130500.87</v>
      </c>
      <c r="L25" s="35">
        <f t="shared" ref="L25:L26" si="8">SUM(C25:K25)</f>
        <v>284007.81</v>
      </c>
    </row>
    <row r="26">
      <c r="A26" s="98"/>
      <c r="B26" s="68" t="s">
        <v>55</v>
      </c>
      <c r="C26" s="45">
        <v>0.0</v>
      </c>
      <c r="D26" s="45">
        <v>0.0</v>
      </c>
      <c r="E26" s="45">
        <v>0.0</v>
      </c>
      <c r="F26" s="45">
        <v>0.0</v>
      </c>
      <c r="G26" s="45">
        <v>0.0</v>
      </c>
      <c r="H26" s="45">
        <v>0.0</v>
      </c>
      <c r="I26" s="45">
        <f t="shared" ref="I26:K26" si="7">I25/1.18</f>
        <v>61826.27119</v>
      </c>
      <c r="J26" s="45">
        <f t="shared" si="7"/>
        <v>68264.35593</v>
      </c>
      <c r="K26" s="45">
        <f t="shared" si="7"/>
        <v>110593.9576</v>
      </c>
      <c r="L26" s="35">
        <f t="shared" si="8"/>
        <v>240684.5847</v>
      </c>
    </row>
    <row r="27">
      <c r="B27" s="72" t="s">
        <v>56</v>
      </c>
      <c r="C27" s="103"/>
      <c r="D27" s="103"/>
      <c r="E27" s="103"/>
      <c r="F27" s="103"/>
      <c r="G27" s="103"/>
      <c r="H27" s="103"/>
      <c r="I27" s="103"/>
      <c r="J27" s="103"/>
      <c r="K27" s="103"/>
    </row>
    <row r="28">
      <c r="B28" s="46" t="s">
        <v>63</v>
      </c>
      <c r="C28" s="103"/>
      <c r="D28" s="103"/>
      <c r="E28" s="103"/>
      <c r="F28" s="103"/>
      <c r="G28" s="103"/>
      <c r="H28" s="103"/>
      <c r="I28" s="103"/>
      <c r="J28" s="103"/>
      <c r="K28" s="103"/>
    </row>
  </sheetData>
  <hyperlinks>
    <hyperlink r:id="rId1" ref="I1"/>
    <hyperlink r:id="rId2" ref="J1"/>
    <hyperlink r:id="rId3" ref="K1"/>
  </hyperlinks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3.63"/>
    <col customWidth="1" min="2" max="2" width="28.0"/>
  </cols>
  <sheetData>
    <row r="1">
      <c r="A1" s="16"/>
      <c r="B1" s="2" t="s">
        <v>0</v>
      </c>
      <c r="C1" s="5"/>
      <c r="D1" s="5"/>
      <c r="E1" s="5"/>
      <c r="F1" s="92"/>
      <c r="G1" s="12" t="s">
        <v>1</v>
      </c>
      <c r="H1" s="12" t="s">
        <v>1</v>
      </c>
      <c r="I1" s="12" t="s">
        <v>1</v>
      </c>
      <c r="J1" s="12" t="s">
        <v>1</v>
      </c>
      <c r="K1" s="101" t="s">
        <v>1</v>
      </c>
    </row>
    <row r="2">
      <c r="A2" s="96"/>
      <c r="B2" s="18" t="s">
        <v>16</v>
      </c>
      <c r="C2" s="5" t="s">
        <v>4</v>
      </c>
      <c r="D2" s="5" t="s">
        <v>5</v>
      </c>
      <c r="E2" s="5" t="s">
        <v>6</v>
      </c>
      <c r="F2" s="18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19" t="s">
        <v>17</v>
      </c>
    </row>
    <row r="3">
      <c r="A3" s="21"/>
      <c r="B3" s="24" t="s">
        <v>18</v>
      </c>
      <c r="C3" s="27">
        <f t="shared" ref="C3:K3" si="1">SUM(C4,C5,C6,C7)</f>
        <v>0</v>
      </c>
      <c r="D3" s="27">
        <f t="shared" si="1"/>
        <v>0</v>
      </c>
      <c r="E3" s="27">
        <f t="shared" si="1"/>
        <v>0</v>
      </c>
      <c r="F3" s="27">
        <f t="shared" si="1"/>
        <v>0</v>
      </c>
      <c r="G3" s="27">
        <f t="shared" si="1"/>
        <v>24225</v>
      </c>
      <c r="H3" s="27">
        <f t="shared" si="1"/>
        <v>94530</v>
      </c>
      <c r="I3" s="27">
        <f t="shared" si="1"/>
        <v>152203</v>
      </c>
      <c r="J3" s="27">
        <f t="shared" si="1"/>
        <v>191125</v>
      </c>
      <c r="K3" s="27">
        <f t="shared" si="1"/>
        <v>156605</v>
      </c>
      <c r="L3" s="29">
        <f t="shared" ref="L3:L23" si="2">SUM(C3:K3)</f>
        <v>618688</v>
      </c>
      <c r="M3" s="30">
        <f>L3/1.18</f>
        <v>524311.8644</v>
      </c>
    </row>
    <row r="4" outlineLevel="1">
      <c r="A4" s="21"/>
      <c r="B4" s="31" t="s">
        <v>21</v>
      </c>
      <c r="C4" s="13">
        <v>0.0</v>
      </c>
      <c r="D4" s="34">
        <v>0.0</v>
      </c>
      <c r="E4" s="13">
        <v>0.0</v>
      </c>
      <c r="F4" s="36">
        <v>0.0</v>
      </c>
      <c r="G4" s="37">
        <v>6225.0</v>
      </c>
      <c r="H4" s="37">
        <v>23500.0</v>
      </c>
      <c r="I4" s="13">
        <v>32800.0</v>
      </c>
      <c r="J4" s="13">
        <v>31275.0</v>
      </c>
      <c r="K4" s="13">
        <v>25350.0</v>
      </c>
      <c r="L4" s="14">
        <f t="shared" si="2"/>
        <v>119150</v>
      </c>
      <c r="M4" s="30"/>
    </row>
    <row r="5" outlineLevel="1">
      <c r="A5" s="21"/>
      <c r="B5" s="31" t="s">
        <v>23</v>
      </c>
      <c r="C5" s="13">
        <v>0.0</v>
      </c>
      <c r="D5" s="13">
        <v>0.0</v>
      </c>
      <c r="E5" s="13">
        <v>0.0</v>
      </c>
      <c r="F5" s="36">
        <v>0.0</v>
      </c>
      <c r="G5" s="37">
        <v>0.0</v>
      </c>
      <c r="H5" s="37">
        <v>0.0</v>
      </c>
      <c r="I5" s="13">
        <v>0.0</v>
      </c>
      <c r="J5" s="13">
        <v>0.0</v>
      </c>
      <c r="K5" s="13">
        <v>0.0</v>
      </c>
      <c r="L5" s="14">
        <f t="shared" si="2"/>
        <v>0</v>
      </c>
      <c r="M5" s="30"/>
    </row>
    <row r="6" outlineLevel="1">
      <c r="A6" s="21"/>
      <c r="B6" s="31" t="s">
        <v>25</v>
      </c>
      <c r="C6" s="13">
        <v>0.0</v>
      </c>
      <c r="D6" s="13">
        <v>0.0</v>
      </c>
      <c r="E6" s="13">
        <v>0.0</v>
      </c>
      <c r="F6" s="36">
        <v>0.0</v>
      </c>
      <c r="G6" s="37">
        <v>0.0</v>
      </c>
      <c r="H6" s="37">
        <v>0.0</v>
      </c>
      <c r="I6" s="13">
        <v>0.0</v>
      </c>
      <c r="J6" s="13">
        <v>0.0</v>
      </c>
      <c r="K6" s="13">
        <v>0.0</v>
      </c>
      <c r="L6" s="14">
        <f t="shared" si="2"/>
        <v>0</v>
      </c>
      <c r="M6" s="30">
        <f>L6/1.18</f>
        <v>0</v>
      </c>
    </row>
    <row r="7" outlineLevel="1">
      <c r="A7" s="21"/>
      <c r="B7" s="31" t="s">
        <v>26</v>
      </c>
      <c r="C7" s="13">
        <v>0.0</v>
      </c>
      <c r="D7" s="13">
        <v>0.0</v>
      </c>
      <c r="E7" s="13">
        <v>0.0</v>
      </c>
      <c r="F7" s="36">
        <v>0.0</v>
      </c>
      <c r="G7" s="37">
        <v>18000.0</v>
      </c>
      <c r="H7" s="37">
        <v>71030.0</v>
      </c>
      <c r="I7" s="13">
        <v>119403.0</v>
      </c>
      <c r="J7" s="13">
        <v>159850.0</v>
      </c>
      <c r="K7" s="13">
        <v>131255.0</v>
      </c>
      <c r="L7" s="14">
        <f t="shared" si="2"/>
        <v>499538</v>
      </c>
      <c r="M7" s="30"/>
    </row>
    <row r="8">
      <c r="A8" s="21"/>
      <c r="B8" s="44" t="s">
        <v>28</v>
      </c>
      <c r="C8" s="27">
        <f t="shared" ref="C8:K8" si="3">SUM(C9:C13)</f>
        <v>0</v>
      </c>
      <c r="D8" s="27">
        <f t="shared" si="3"/>
        <v>0</v>
      </c>
      <c r="E8" s="27">
        <f t="shared" si="3"/>
        <v>0</v>
      </c>
      <c r="F8" s="27">
        <f t="shared" si="3"/>
        <v>0</v>
      </c>
      <c r="G8" s="27">
        <f t="shared" si="3"/>
        <v>15900</v>
      </c>
      <c r="H8" s="27">
        <f t="shared" si="3"/>
        <v>64833</v>
      </c>
      <c r="I8" s="27">
        <f t="shared" si="3"/>
        <v>99437</v>
      </c>
      <c r="J8" s="27">
        <f t="shared" si="3"/>
        <v>137535</v>
      </c>
      <c r="K8" s="27">
        <f t="shared" si="3"/>
        <v>138630</v>
      </c>
      <c r="L8" s="29">
        <f t="shared" si="2"/>
        <v>456335</v>
      </c>
      <c r="M8" s="30">
        <f>L8/1.18</f>
        <v>386724.5763</v>
      </c>
    </row>
    <row r="9" outlineLevel="1">
      <c r="A9" s="21"/>
      <c r="B9" s="32" t="s">
        <v>33</v>
      </c>
      <c r="C9" s="13">
        <v>0.0</v>
      </c>
      <c r="D9" s="34">
        <v>0.0</v>
      </c>
      <c r="E9" s="89">
        <v>0.0</v>
      </c>
      <c r="F9" s="36">
        <v>0.0</v>
      </c>
      <c r="G9" s="37">
        <v>0.0</v>
      </c>
      <c r="H9" s="37">
        <v>14868.0</v>
      </c>
      <c r="I9" s="13">
        <v>18140.0</v>
      </c>
      <c r="J9" s="13">
        <v>38157.0</v>
      </c>
      <c r="K9" s="13">
        <v>40905.0</v>
      </c>
      <c r="L9" s="14">
        <f t="shared" si="2"/>
        <v>112070</v>
      </c>
      <c r="M9" s="30"/>
    </row>
    <row r="10" outlineLevel="1">
      <c r="A10" s="21"/>
      <c r="B10" s="32" t="s">
        <v>34</v>
      </c>
      <c r="C10" s="13">
        <v>0.0</v>
      </c>
      <c r="D10" s="34">
        <v>0.0</v>
      </c>
      <c r="E10" s="89">
        <v>0.0</v>
      </c>
      <c r="F10" s="36">
        <v>0.0</v>
      </c>
      <c r="G10" s="37">
        <v>8025.0</v>
      </c>
      <c r="H10" s="36">
        <v>27840.0</v>
      </c>
      <c r="I10" s="13">
        <v>55478.0</v>
      </c>
      <c r="J10" s="13">
        <v>57993.0</v>
      </c>
      <c r="K10" s="13">
        <v>55350.0</v>
      </c>
      <c r="L10" s="14">
        <f t="shared" si="2"/>
        <v>204686</v>
      </c>
      <c r="M10" s="30"/>
    </row>
    <row r="11" outlineLevel="1">
      <c r="A11" s="21"/>
      <c r="B11" s="31" t="s">
        <v>36</v>
      </c>
      <c r="C11" s="13">
        <v>0.0</v>
      </c>
      <c r="D11" s="13">
        <v>0.0</v>
      </c>
      <c r="E11" s="13">
        <v>0.0</v>
      </c>
      <c r="F11" s="36">
        <v>0.0</v>
      </c>
      <c r="G11" s="37">
        <v>0.0</v>
      </c>
      <c r="H11" s="37">
        <v>0.0</v>
      </c>
      <c r="I11" s="13">
        <v>0.0</v>
      </c>
      <c r="J11" s="13">
        <v>0.0</v>
      </c>
      <c r="K11" s="13">
        <v>0.0</v>
      </c>
      <c r="L11" s="14">
        <f t="shared" si="2"/>
        <v>0</v>
      </c>
      <c r="M11" s="30"/>
    </row>
    <row r="12" outlineLevel="1">
      <c r="A12" s="21"/>
      <c r="B12" s="32" t="s">
        <v>37</v>
      </c>
      <c r="C12" s="13">
        <v>0.0</v>
      </c>
      <c r="D12" s="34">
        <v>0.0</v>
      </c>
      <c r="E12" s="13">
        <v>0.0</v>
      </c>
      <c r="F12" s="36">
        <v>0.0</v>
      </c>
      <c r="G12" s="37">
        <v>7875.0</v>
      </c>
      <c r="H12" s="37">
        <v>22125.0</v>
      </c>
      <c r="I12" s="13">
        <v>25819.0</v>
      </c>
      <c r="J12" s="13">
        <v>41385.0</v>
      </c>
      <c r="K12" s="13">
        <v>42375.0</v>
      </c>
      <c r="L12" s="14">
        <f t="shared" si="2"/>
        <v>139579</v>
      </c>
      <c r="M12" s="30"/>
    </row>
    <row r="13">
      <c r="A13" s="21"/>
      <c r="B13" s="31" t="s">
        <v>38</v>
      </c>
      <c r="C13" s="36">
        <v>0.0</v>
      </c>
      <c r="D13" s="36">
        <v>0.0</v>
      </c>
      <c r="E13" s="36">
        <v>0.0</v>
      </c>
      <c r="F13" s="36">
        <v>0.0</v>
      </c>
      <c r="G13" s="36">
        <v>0.0</v>
      </c>
      <c r="H13" s="36">
        <v>0.0</v>
      </c>
      <c r="I13" s="36">
        <v>0.0</v>
      </c>
      <c r="J13" s="13">
        <v>0.0</v>
      </c>
      <c r="K13" s="13">
        <v>0.0</v>
      </c>
      <c r="L13" s="14">
        <f t="shared" si="2"/>
        <v>0</v>
      </c>
      <c r="M13" s="30"/>
    </row>
    <row r="14">
      <c r="A14" s="21"/>
      <c r="B14" s="44" t="s">
        <v>39</v>
      </c>
      <c r="C14" s="45">
        <f t="shared" ref="C14:G14" si="4">sum(C15:C18)</f>
        <v>0</v>
      </c>
      <c r="D14" s="45">
        <f t="shared" si="4"/>
        <v>0</v>
      </c>
      <c r="E14" s="45">
        <f t="shared" si="4"/>
        <v>0</v>
      </c>
      <c r="F14" s="45">
        <f t="shared" si="4"/>
        <v>0</v>
      </c>
      <c r="G14" s="45">
        <f t="shared" si="4"/>
        <v>0</v>
      </c>
      <c r="H14" s="27">
        <f t="shared" ref="H14:K14" si="5">SUM(H16,H15, H17,H18)</f>
        <v>940</v>
      </c>
      <c r="I14" s="27">
        <f t="shared" si="5"/>
        <v>4860</v>
      </c>
      <c r="J14" s="27">
        <f t="shared" si="5"/>
        <v>2205</v>
      </c>
      <c r="K14" s="27">
        <f t="shared" si="5"/>
        <v>0</v>
      </c>
      <c r="L14" s="29">
        <f t="shared" si="2"/>
        <v>8005</v>
      </c>
      <c r="M14" s="30">
        <f>L14/1.18</f>
        <v>6783.898305</v>
      </c>
    </row>
    <row r="15" outlineLevel="1">
      <c r="A15" s="21"/>
      <c r="B15" s="32" t="s">
        <v>42</v>
      </c>
      <c r="C15" s="36">
        <v>0.0</v>
      </c>
      <c r="D15" s="36">
        <v>0.0</v>
      </c>
      <c r="E15" s="36">
        <v>0.0</v>
      </c>
      <c r="F15" s="45">
        <v>0.0</v>
      </c>
      <c r="G15" s="36">
        <v>0.0</v>
      </c>
      <c r="H15" s="37">
        <v>0.0</v>
      </c>
      <c r="I15" s="13">
        <v>0.0</v>
      </c>
      <c r="J15" s="13">
        <v>0.0</v>
      </c>
      <c r="K15" s="13">
        <v>0.0</v>
      </c>
      <c r="L15" s="14">
        <f t="shared" si="2"/>
        <v>0</v>
      </c>
      <c r="M15" s="30"/>
    </row>
    <row r="16" outlineLevel="1">
      <c r="A16" s="21"/>
      <c r="B16" s="32" t="s">
        <v>44</v>
      </c>
      <c r="C16" s="13">
        <v>0.0</v>
      </c>
      <c r="D16" s="13">
        <v>0.0</v>
      </c>
      <c r="E16" s="36">
        <v>0.0</v>
      </c>
      <c r="F16" s="49">
        <v>0.0</v>
      </c>
      <c r="G16" s="36">
        <v>0.0</v>
      </c>
      <c r="H16" s="37">
        <v>940.0</v>
      </c>
      <c r="I16" s="13">
        <v>0.0</v>
      </c>
      <c r="J16" s="13">
        <v>360.0</v>
      </c>
      <c r="K16" s="13">
        <v>0.0</v>
      </c>
      <c r="L16" s="14">
        <f t="shared" si="2"/>
        <v>1300</v>
      </c>
      <c r="M16" s="30"/>
    </row>
    <row r="17" outlineLevel="1">
      <c r="A17" s="21"/>
      <c r="B17" s="32" t="s">
        <v>45</v>
      </c>
      <c r="C17" s="13">
        <v>0.0</v>
      </c>
      <c r="D17" s="13">
        <v>0.0</v>
      </c>
      <c r="E17" s="36">
        <v>0.0</v>
      </c>
      <c r="F17" s="49">
        <v>0.0</v>
      </c>
      <c r="G17" s="36">
        <v>0.0</v>
      </c>
      <c r="H17" s="37">
        <v>0.0</v>
      </c>
      <c r="I17" s="13">
        <v>4860.0</v>
      </c>
      <c r="J17" s="13">
        <v>1845.0</v>
      </c>
      <c r="K17" s="13">
        <v>0.0</v>
      </c>
      <c r="L17" s="14">
        <f t="shared" si="2"/>
        <v>6705</v>
      </c>
      <c r="M17" s="30"/>
    </row>
    <row r="18" outlineLevel="1">
      <c r="A18" s="21"/>
      <c r="B18" s="32" t="s">
        <v>46</v>
      </c>
      <c r="C18" s="13">
        <v>0.0</v>
      </c>
      <c r="D18" s="13">
        <v>0.0</v>
      </c>
      <c r="E18" s="13">
        <v>0.0</v>
      </c>
      <c r="F18" s="36">
        <v>0.0</v>
      </c>
      <c r="G18" s="36">
        <v>0.0</v>
      </c>
      <c r="H18" s="37">
        <v>0.0</v>
      </c>
      <c r="I18" s="13">
        <v>0.0</v>
      </c>
      <c r="J18" s="13">
        <v>0.0</v>
      </c>
      <c r="K18" s="13">
        <v>0.0</v>
      </c>
      <c r="L18" s="14">
        <f t="shared" si="2"/>
        <v>0</v>
      </c>
      <c r="M18" s="30"/>
    </row>
    <row r="19">
      <c r="A19" s="21"/>
      <c r="B19" s="24" t="s">
        <v>48</v>
      </c>
      <c r="C19" s="27">
        <v>0.0</v>
      </c>
      <c r="D19" s="27">
        <v>0.0</v>
      </c>
      <c r="E19" s="27">
        <v>0.0</v>
      </c>
      <c r="F19" s="27">
        <v>0.0</v>
      </c>
      <c r="G19" s="27">
        <v>0.0</v>
      </c>
      <c r="H19" s="27">
        <v>0.0</v>
      </c>
      <c r="I19" s="48">
        <v>0.0</v>
      </c>
      <c r="J19" s="48">
        <v>0.0</v>
      </c>
      <c r="K19" s="13">
        <v>0.0</v>
      </c>
      <c r="L19" s="29">
        <f t="shared" si="2"/>
        <v>0</v>
      </c>
      <c r="M19" s="30">
        <f t="shared" ref="M19:M23" si="6">L19/1.18</f>
        <v>0</v>
      </c>
    </row>
    <row r="20">
      <c r="A20" s="21"/>
      <c r="B20" s="58" t="s">
        <v>49</v>
      </c>
      <c r="C20" s="13">
        <v>0.0</v>
      </c>
      <c r="D20" s="13">
        <v>0.0</v>
      </c>
      <c r="E20" s="13">
        <v>0.0</v>
      </c>
      <c r="F20" s="36">
        <v>0.0</v>
      </c>
      <c r="G20" s="36">
        <v>0.0</v>
      </c>
      <c r="H20" s="36">
        <v>0.0</v>
      </c>
      <c r="I20" s="13">
        <v>0.0</v>
      </c>
      <c r="J20" s="13">
        <v>0.0</v>
      </c>
      <c r="K20" s="13">
        <v>0.0</v>
      </c>
      <c r="L20" s="29">
        <f t="shared" si="2"/>
        <v>0</v>
      </c>
      <c r="M20" s="30">
        <f t="shared" si="6"/>
        <v>0</v>
      </c>
    </row>
    <row r="21">
      <c r="A21" s="21"/>
      <c r="B21" s="24" t="s">
        <v>50</v>
      </c>
      <c r="C21" s="13">
        <v>0.0</v>
      </c>
      <c r="D21" s="13">
        <v>0.0</v>
      </c>
      <c r="E21" s="13">
        <v>0.0</v>
      </c>
      <c r="F21" s="36">
        <v>0.0</v>
      </c>
      <c r="G21" s="37">
        <v>0.0</v>
      </c>
      <c r="H21" s="37">
        <v>0.0</v>
      </c>
      <c r="I21" s="13">
        <v>23000.0</v>
      </c>
      <c r="J21" s="13">
        <v>0.0</v>
      </c>
      <c r="K21" s="13">
        <v>0.0</v>
      </c>
      <c r="L21" s="29">
        <f t="shared" si="2"/>
        <v>23000</v>
      </c>
      <c r="M21" s="30">
        <f t="shared" si="6"/>
        <v>19491.52542</v>
      </c>
    </row>
    <row r="22">
      <c r="A22" s="21"/>
      <c r="B22" s="24" t="s">
        <v>51</v>
      </c>
      <c r="C22" s="13">
        <v>0.0</v>
      </c>
      <c r="D22" s="13">
        <v>0.0</v>
      </c>
      <c r="E22" s="13">
        <v>0.0</v>
      </c>
      <c r="F22" s="49">
        <v>0.0</v>
      </c>
      <c r="G22" s="37">
        <v>0.0</v>
      </c>
      <c r="H22" s="37">
        <v>0.0</v>
      </c>
      <c r="I22" s="13">
        <v>0.0</v>
      </c>
      <c r="J22" s="13">
        <v>0.0</v>
      </c>
      <c r="K22" s="13">
        <v>0.0</v>
      </c>
      <c r="L22" s="29">
        <f t="shared" si="2"/>
        <v>0</v>
      </c>
      <c r="M22" s="30">
        <f t="shared" si="6"/>
        <v>0</v>
      </c>
    </row>
    <row r="23">
      <c r="A23" s="21"/>
      <c r="B23" s="24" t="s">
        <v>52</v>
      </c>
      <c r="C23" s="13">
        <v>0.0</v>
      </c>
      <c r="D23" s="13">
        <v>0.0</v>
      </c>
      <c r="E23" s="13">
        <v>0.0</v>
      </c>
      <c r="F23" s="36">
        <v>0.0</v>
      </c>
      <c r="G23" s="37">
        <v>0.0</v>
      </c>
      <c r="H23" s="37">
        <v>11300.0</v>
      </c>
      <c r="I23" s="13">
        <v>120000.0</v>
      </c>
      <c r="J23" s="13">
        <v>120000.0</v>
      </c>
      <c r="K23" s="13">
        <v>120000.0</v>
      </c>
      <c r="L23" s="29">
        <f t="shared" si="2"/>
        <v>371300</v>
      </c>
      <c r="M23" s="30">
        <f t="shared" si="6"/>
        <v>314661.0169</v>
      </c>
    </row>
    <row r="24">
      <c r="A24" s="41"/>
      <c r="B24" s="55" t="s">
        <v>47</v>
      </c>
      <c r="C24" s="64">
        <f t="shared" ref="C24:L24" si="7">sum(C3,C8,C14,C19,C20,C21,C22,C23)</f>
        <v>0</v>
      </c>
      <c r="D24" s="64">
        <f t="shared" si="7"/>
        <v>0</v>
      </c>
      <c r="E24" s="64">
        <f t="shared" si="7"/>
        <v>0</v>
      </c>
      <c r="F24" s="64">
        <f t="shared" si="7"/>
        <v>0</v>
      </c>
      <c r="G24" s="64">
        <f t="shared" si="7"/>
        <v>40125</v>
      </c>
      <c r="H24" s="64">
        <f t="shared" si="7"/>
        <v>171603</v>
      </c>
      <c r="I24" s="64">
        <f t="shared" si="7"/>
        <v>399500</v>
      </c>
      <c r="J24" s="64">
        <f t="shared" si="7"/>
        <v>450865</v>
      </c>
      <c r="K24" s="64">
        <f t="shared" si="7"/>
        <v>415235</v>
      </c>
      <c r="L24" s="64">
        <f t="shared" si="7"/>
        <v>1477328</v>
      </c>
    </row>
    <row r="25">
      <c r="A25" s="25"/>
      <c r="B25" s="66" t="s">
        <v>54</v>
      </c>
      <c r="C25" s="45">
        <f t="shared" ref="C25:F25" si="8">C24/1.18</f>
        <v>0</v>
      </c>
      <c r="D25" s="45">
        <f t="shared" si="8"/>
        <v>0</v>
      </c>
      <c r="E25" s="45">
        <f t="shared" si="8"/>
        <v>0</v>
      </c>
      <c r="F25" s="45">
        <f t="shared" si="8"/>
        <v>0</v>
      </c>
      <c r="G25" s="56">
        <v>38878.0</v>
      </c>
      <c r="H25" s="48">
        <v>165616.0</v>
      </c>
      <c r="I25" s="48">
        <v>392285.41</v>
      </c>
      <c r="J25" s="13">
        <v>440045.64</v>
      </c>
      <c r="K25" s="13">
        <v>404133.28</v>
      </c>
      <c r="L25" s="35">
        <f t="shared" ref="L25:L26" si="10">SUM(C25:K25)</f>
        <v>1440958.33</v>
      </c>
    </row>
    <row r="26">
      <c r="A26" s="98"/>
      <c r="B26" s="68" t="s">
        <v>55</v>
      </c>
      <c r="C26" s="45">
        <f t="shared" ref="C26:K26" si="9">C25/1.18</f>
        <v>0</v>
      </c>
      <c r="D26" s="45">
        <f t="shared" si="9"/>
        <v>0</v>
      </c>
      <c r="E26" s="45">
        <f t="shared" si="9"/>
        <v>0</v>
      </c>
      <c r="F26" s="45">
        <f t="shared" si="9"/>
        <v>0</v>
      </c>
      <c r="G26" s="45">
        <f t="shared" si="9"/>
        <v>32947.45763</v>
      </c>
      <c r="H26" s="45">
        <f t="shared" si="9"/>
        <v>140352.5424</v>
      </c>
      <c r="I26" s="45">
        <f t="shared" si="9"/>
        <v>332445.2627</v>
      </c>
      <c r="J26" s="45">
        <f t="shared" si="9"/>
        <v>372920.0339</v>
      </c>
      <c r="K26" s="45">
        <f t="shared" si="9"/>
        <v>342485.8305</v>
      </c>
      <c r="L26" s="35">
        <f t="shared" si="10"/>
        <v>1221151.127</v>
      </c>
    </row>
    <row r="27">
      <c r="B27" s="72" t="s">
        <v>56</v>
      </c>
      <c r="C27" s="14"/>
      <c r="D27" s="14"/>
      <c r="E27" s="14"/>
      <c r="F27" s="14"/>
      <c r="G27" s="14"/>
      <c r="H27" s="14"/>
      <c r="I27" s="14"/>
      <c r="J27" s="14"/>
      <c r="K27" s="14"/>
    </row>
    <row r="28">
      <c r="B28" s="46" t="s">
        <v>64</v>
      </c>
      <c r="C28" s="14"/>
      <c r="D28" s="14"/>
      <c r="E28" s="14"/>
      <c r="F28" s="14"/>
      <c r="G28" s="14"/>
      <c r="H28" s="14"/>
      <c r="I28" s="14"/>
      <c r="J28" s="14"/>
      <c r="K28" s="14"/>
    </row>
  </sheetData>
  <hyperlinks>
    <hyperlink r:id="rId1" ref="G1"/>
    <hyperlink r:id="rId2" ref="H1"/>
    <hyperlink r:id="rId3" ref="I1"/>
    <hyperlink r:id="rId4" ref="J1"/>
    <hyperlink r:id="rId5" ref="K1"/>
  </hyperlinks>
  <drawing r:id="rId6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3.63"/>
    <col customWidth="1" min="2" max="2" width="28.0"/>
  </cols>
  <sheetData>
    <row r="1">
      <c r="A1" s="16"/>
      <c r="B1" s="2" t="s">
        <v>0</v>
      </c>
      <c r="C1" s="5"/>
      <c r="D1" s="5"/>
      <c r="E1" s="5"/>
      <c r="F1" s="92"/>
      <c r="G1" s="93"/>
      <c r="H1" s="12" t="s">
        <v>1</v>
      </c>
      <c r="I1" s="12" t="s">
        <v>1</v>
      </c>
      <c r="J1" s="12" t="s">
        <v>1</v>
      </c>
      <c r="K1" s="12" t="s">
        <v>1</v>
      </c>
    </row>
    <row r="2">
      <c r="A2" s="96"/>
      <c r="B2" s="18" t="s">
        <v>16</v>
      </c>
      <c r="C2" s="5" t="s">
        <v>4</v>
      </c>
      <c r="D2" s="5" t="s">
        <v>5</v>
      </c>
      <c r="E2" s="5" t="s">
        <v>6</v>
      </c>
      <c r="F2" s="18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19" t="s">
        <v>17</v>
      </c>
    </row>
    <row r="3">
      <c r="A3" s="21"/>
      <c r="B3" s="24" t="s">
        <v>18</v>
      </c>
      <c r="C3" s="45">
        <v>0.0</v>
      </c>
      <c r="D3" s="45">
        <v>0.0</v>
      </c>
      <c r="E3" s="45">
        <v>0.0</v>
      </c>
      <c r="F3" s="27">
        <f t="shared" ref="F3:K3" si="1">SUM(F4,F5,F6,F7)</f>
        <v>0</v>
      </c>
      <c r="G3" s="27">
        <f t="shared" si="1"/>
        <v>0</v>
      </c>
      <c r="H3" s="27">
        <f t="shared" si="1"/>
        <v>2100</v>
      </c>
      <c r="I3" s="27">
        <f t="shared" si="1"/>
        <v>41490</v>
      </c>
      <c r="J3" s="27">
        <f t="shared" si="1"/>
        <v>19525</v>
      </c>
      <c r="K3" s="27">
        <f t="shared" si="1"/>
        <v>24650</v>
      </c>
      <c r="L3" s="29">
        <f t="shared" ref="L3:L23" si="2">SUM(C3:K3)</f>
        <v>87765</v>
      </c>
      <c r="M3" s="30">
        <f>L3/1.18</f>
        <v>74377.11864</v>
      </c>
    </row>
    <row r="4" outlineLevel="1">
      <c r="A4" s="21"/>
      <c r="B4" s="31" t="s">
        <v>21</v>
      </c>
      <c r="C4" s="36">
        <v>0.0</v>
      </c>
      <c r="D4" s="36">
        <v>0.0</v>
      </c>
      <c r="E4" s="36">
        <v>0.0</v>
      </c>
      <c r="F4" s="36">
        <v>0.0</v>
      </c>
      <c r="G4" s="36">
        <v>0.0</v>
      </c>
      <c r="H4" s="36">
        <v>0.0</v>
      </c>
      <c r="I4" s="36">
        <v>0.0</v>
      </c>
      <c r="J4" s="99">
        <v>0.0</v>
      </c>
      <c r="K4" s="99">
        <v>0.0</v>
      </c>
      <c r="L4" s="14">
        <f t="shared" si="2"/>
        <v>0</v>
      </c>
      <c r="M4" s="30"/>
    </row>
    <row r="5" outlineLevel="1">
      <c r="A5" s="21"/>
      <c r="B5" s="31" t="s">
        <v>23</v>
      </c>
      <c r="C5" s="36">
        <v>0.0</v>
      </c>
      <c r="D5" s="36">
        <v>0.0</v>
      </c>
      <c r="E5" s="36">
        <v>0.0</v>
      </c>
      <c r="F5" s="36">
        <v>0.0</v>
      </c>
      <c r="G5" s="36">
        <v>0.0</v>
      </c>
      <c r="H5" s="36">
        <v>0.0</v>
      </c>
      <c r="I5" s="36">
        <v>0.0</v>
      </c>
      <c r="J5" s="99">
        <v>0.0</v>
      </c>
      <c r="K5" s="99">
        <v>0.0</v>
      </c>
      <c r="L5" s="14">
        <f t="shared" si="2"/>
        <v>0</v>
      </c>
      <c r="M5" s="30"/>
    </row>
    <row r="6" outlineLevel="1">
      <c r="A6" s="21"/>
      <c r="B6" s="31" t="s">
        <v>25</v>
      </c>
      <c r="C6" s="36">
        <v>0.0</v>
      </c>
      <c r="D6" s="36">
        <v>0.0</v>
      </c>
      <c r="E6" s="36">
        <v>0.0</v>
      </c>
      <c r="F6" s="36">
        <v>0.0</v>
      </c>
      <c r="G6" s="36">
        <v>0.0</v>
      </c>
      <c r="H6" s="36">
        <v>0.0</v>
      </c>
      <c r="I6" s="36">
        <v>18000.0</v>
      </c>
      <c r="J6" s="99">
        <v>0.0</v>
      </c>
      <c r="K6" s="99">
        <v>0.0</v>
      </c>
      <c r="L6" s="14">
        <f t="shared" si="2"/>
        <v>18000</v>
      </c>
      <c r="M6" s="30">
        <f>L6/1.18</f>
        <v>15254.23729</v>
      </c>
    </row>
    <row r="7" outlineLevel="1">
      <c r="A7" s="21"/>
      <c r="B7" s="31" t="s">
        <v>26</v>
      </c>
      <c r="C7" s="36">
        <v>0.0</v>
      </c>
      <c r="D7" s="36">
        <v>0.0</v>
      </c>
      <c r="E7" s="36">
        <v>0.0</v>
      </c>
      <c r="F7" s="36">
        <v>0.0</v>
      </c>
      <c r="G7" s="36">
        <v>0.0</v>
      </c>
      <c r="H7" s="36">
        <v>2100.0</v>
      </c>
      <c r="I7" s="36">
        <v>23490.0</v>
      </c>
      <c r="J7" s="36">
        <v>19525.0</v>
      </c>
      <c r="K7" s="99">
        <v>24650.0</v>
      </c>
      <c r="L7" s="14">
        <f t="shared" si="2"/>
        <v>69765</v>
      </c>
      <c r="M7" s="30"/>
    </row>
    <row r="8">
      <c r="A8" s="21"/>
      <c r="B8" s="44" t="s">
        <v>28</v>
      </c>
      <c r="C8" s="27">
        <f t="shared" ref="C8:K8" si="3">SUM(C9:C13)</f>
        <v>0</v>
      </c>
      <c r="D8" s="27">
        <f t="shared" si="3"/>
        <v>0</v>
      </c>
      <c r="E8" s="27">
        <f t="shared" si="3"/>
        <v>0</v>
      </c>
      <c r="F8" s="27">
        <f t="shared" si="3"/>
        <v>0</v>
      </c>
      <c r="G8" s="27">
        <f t="shared" si="3"/>
        <v>0</v>
      </c>
      <c r="H8" s="27">
        <f t="shared" si="3"/>
        <v>2800</v>
      </c>
      <c r="I8" s="27">
        <f t="shared" si="3"/>
        <v>32635</v>
      </c>
      <c r="J8" s="27">
        <f t="shared" si="3"/>
        <v>47353</v>
      </c>
      <c r="K8" s="27">
        <f t="shared" si="3"/>
        <v>102905</v>
      </c>
      <c r="L8" s="29">
        <f t="shared" si="2"/>
        <v>185693</v>
      </c>
      <c r="M8" s="30">
        <f>L8/1.18</f>
        <v>157366.9492</v>
      </c>
    </row>
    <row r="9" outlineLevel="1">
      <c r="A9" s="21"/>
      <c r="B9" s="32" t="s">
        <v>33</v>
      </c>
      <c r="C9" s="36">
        <v>0.0</v>
      </c>
      <c r="D9" s="36">
        <v>0.0</v>
      </c>
      <c r="E9" s="36">
        <v>0.0</v>
      </c>
      <c r="F9" s="36">
        <v>0.0</v>
      </c>
      <c r="G9" s="36">
        <v>0.0</v>
      </c>
      <c r="H9" s="36">
        <v>1550.0</v>
      </c>
      <c r="I9" s="36">
        <v>3680.0</v>
      </c>
      <c r="J9" s="36">
        <v>3255.0</v>
      </c>
      <c r="K9" s="99">
        <v>5060.0</v>
      </c>
      <c r="L9" s="14">
        <f t="shared" si="2"/>
        <v>13545</v>
      </c>
      <c r="M9" s="30"/>
    </row>
    <row r="10" outlineLevel="1">
      <c r="A10" s="21"/>
      <c r="B10" s="32" t="s">
        <v>34</v>
      </c>
      <c r="C10" s="36">
        <v>0.0</v>
      </c>
      <c r="D10" s="36">
        <v>0.0</v>
      </c>
      <c r="E10" s="36">
        <v>0.0</v>
      </c>
      <c r="F10" s="36">
        <v>0.0</v>
      </c>
      <c r="G10" s="36">
        <v>0.0</v>
      </c>
      <c r="H10" s="36">
        <v>0.0</v>
      </c>
      <c r="I10" s="36">
        <v>3160.0</v>
      </c>
      <c r="J10" s="36">
        <v>2240.0</v>
      </c>
      <c r="K10" s="99">
        <v>2720.0</v>
      </c>
      <c r="L10" s="14">
        <f t="shared" si="2"/>
        <v>8120</v>
      </c>
      <c r="M10" s="30"/>
    </row>
    <row r="11" outlineLevel="1">
      <c r="A11" s="21"/>
      <c r="B11" s="31" t="s">
        <v>36</v>
      </c>
      <c r="C11" s="36">
        <v>0.0</v>
      </c>
      <c r="D11" s="36">
        <v>0.0</v>
      </c>
      <c r="E11" s="36">
        <v>0.0</v>
      </c>
      <c r="F11" s="36">
        <v>0.0</v>
      </c>
      <c r="G11" s="36">
        <v>0.0</v>
      </c>
      <c r="H11" s="36">
        <v>0.0</v>
      </c>
      <c r="I11" s="36">
        <v>0.0</v>
      </c>
      <c r="J11" s="36">
        <v>0.0</v>
      </c>
      <c r="K11" s="99">
        <v>0.0</v>
      </c>
      <c r="L11" s="14">
        <f t="shared" si="2"/>
        <v>0</v>
      </c>
      <c r="M11" s="30"/>
    </row>
    <row r="12" outlineLevel="1">
      <c r="A12" s="21"/>
      <c r="B12" s="32" t="s">
        <v>37</v>
      </c>
      <c r="C12" s="36">
        <v>0.0</v>
      </c>
      <c r="D12" s="36">
        <v>0.0</v>
      </c>
      <c r="E12" s="36">
        <v>0.0</v>
      </c>
      <c r="F12" s="36">
        <v>0.0</v>
      </c>
      <c r="G12" s="36">
        <v>0.0</v>
      </c>
      <c r="H12" s="36">
        <v>0.0</v>
      </c>
      <c r="I12" s="36">
        <v>422.0</v>
      </c>
      <c r="J12" s="36">
        <v>1200.0</v>
      </c>
      <c r="K12" s="99">
        <v>0.0</v>
      </c>
      <c r="L12" s="14">
        <f t="shared" si="2"/>
        <v>1622</v>
      </c>
      <c r="M12" s="30"/>
    </row>
    <row r="13" outlineLevel="1">
      <c r="A13" s="21"/>
      <c r="B13" s="31" t="s">
        <v>38</v>
      </c>
      <c r="C13" s="36">
        <v>0.0</v>
      </c>
      <c r="D13" s="36">
        <v>0.0</v>
      </c>
      <c r="E13" s="36">
        <v>0.0</v>
      </c>
      <c r="F13" s="36">
        <v>0.0</v>
      </c>
      <c r="G13" s="36">
        <v>0.0</v>
      </c>
      <c r="H13" s="36">
        <v>1250.0</v>
      </c>
      <c r="I13" s="36">
        <v>25373.0</v>
      </c>
      <c r="J13" s="36">
        <v>40658.0</v>
      </c>
      <c r="K13" s="99">
        <v>95125.0</v>
      </c>
      <c r="L13" s="14">
        <f t="shared" si="2"/>
        <v>162406</v>
      </c>
      <c r="M13" s="30"/>
    </row>
    <row r="14">
      <c r="A14" s="21"/>
      <c r="B14" s="44" t="s">
        <v>39</v>
      </c>
      <c r="C14" s="27">
        <f t="shared" ref="C14:K14" si="4">SUM(C16,C15, C17,C18)</f>
        <v>0</v>
      </c>
      <c r="D14" s="27">
        <f t="shared" si="4"/>
        <v>0</v>
      </c>
      <c r="E14" s="27">
        <f t="shared" si="4"/>
        <v>0</v>
      </c>
      <c r="F14" s="27">
        <f t="shared" si="4"/>
        <v>0</v>
      </c>
      <c r="G14" s="27">
        <f t="shared" si="4"/>
        <v>0</v>
      </c>
      <c r="H14" s="27">
        <f t="shared" si="4"/>
        <v>0</v>
      </c>
      <c r="I14" s="27">
        <f t="shared" si="4"/>
        <v>0</v>
      </c>
      <c r="J14" s="27">
        <f t="shared" si="4"/>
        <v>0</v>
      </c>
      <c r="K14" s="27">
        <f t="shared" si="4"/>
        <v>3600</v>
      </c>
      <c r="L14" s="29">
        <f t="shared" si="2"/>
        <v>3600</v>
      </c>
      <c r="M14" s="30">
        <f>L14/1.18</f>
        <v>3050.847458</v>
      </c>
    </row>
    <row r="15" outlineLevel="1">
      <c r="A15" s="21"/>
      <c r="B15" s="32" t="s">
        <v>42</v>
      </c>
      <c r="C15" s="36">
        <v>0.0</v>
      </c>
      <c r="D15" s="36">
        <v>0.0</v>
      </c>
      <c r="E15" s="36">
        <v>0.0</v>
      </c>
      <c r="F15" s="36">
        <v>0.0</v>
      </c>
      <c r="G15" s="36">
        <v>0.0</v>
      </c>
      <c r="H15" s="36">
        <v>0.0</v>
      </c>
      <c r="I15" s="36">
        <v>0.0</v>
      </c>
      <c r="J15" s="36">
        <v>0.0</v>
      </c>
      <c r="K15" s="99">
        <v>0.0</v>
      </c>
      <c r="L15" s="14">
        <f t="shared" si="2"/>
        <v>0</v>
      </c>
      <c r="M15" s="30"/>
    </row>
    <row r="16" outlineLevel="1">
      <c r="A16" s="21"/>
      <c r="B16" s="32" t="s">
        <v>44</v>
      </c>
      <c r="C16" s="36">
        <v>0.0</v>
      </c>
      <c r="D16" s="36">
        <v>0.0</v>
      </c>
      <c r="E16" s="36">
        <v>0.0</v>
      </c>
      <c r="F16" s="36">
        <v>0.0</v>
      </c>
      <c r="G16" s="36">
        <v>0.0</v>
      </c>
      <c r="H16" s="36">
        <v>0.0</v>
      </c>
      <c r="I16" s="36">
        <v>0.0</v>
      </c>
      <c r="J16" s="36">
        <v>0.0</v>
      </c>
      <c r="K16" s="99">
        <v>0.0</v>
      </c>
      <c r="L16" s="14">
        <f t="shared" si="2"/>
        <v>0</v>
      </c>
      <c r="M16" s="30"/>
    </row>
    <row r="17" outlineLevel="1">
      <c r="A17" s="21"/>
      <c r="B17" s="32" t="s">
        <v>45</v>
      </c>
      <c r="C17" s="36">
        <v>0.0</v>
      </c>
      <c r="D17" s="36">
        <v>0.0</v>
      </c>
      <c r="E17" s="36">
        <v>0.0</v>
      </c>
      <c r="F17" s="36">
        <v>0.0</v>
      </c>
      <c r="G17" s="36">
        <v>0.0</v>
      </c>
      <c r="H17" s="36">
        <v>0.0</v>
      </c>
      <c r="I17" s="36">
        <v>0.0</v>
      </c>
      <c r="J17" s="36">
        <v>0.0</v>
      </c>
      <c r="K17" s="99">
        <v>3600.0</v>
      </c>
      <c r="L17" s="14">
        <f t="shared" si="2"/>
        <v>3600</v>
      </c>
      <c r="M17" s="30"/>
    </row>
    <row r="18" outlineLevel="1">
      <c r="A18" s="21"/>
      <c r="B18" s="32" t="s">
        <v>46</v>
      </c>
      <c r="C18" s="36">
        <v>0.0</v>
      </c>
      <c r="D18" s="36">
        <v>0.0</v>
      </c>
      <c r="E18" s="36">
        <v>0.0</v>
      </c>
      <c r="F18" s="36">
        <v>0.0</v>
      </c>
      <c r="G18" s="36">
        <v>0.0</v>
      </c>
      <c r="H18" s="36">
        <v>0.0</v>
      </c>
      <c r="I18" s="36">
        <v>0.0</v>
      </c>
      <c r="J18" s="36">
        <v>0.0</v>
      </c>
      <c r="K18" s="99">
        <v>0.0</v>
      </c>
      <c r="L18" s="14">
        <f t="shared" si="2"/>
        <v>0</v>
      </c>
      <c r="M18" s="30"/>
    </row>
    <row r="19">
      <c r="A19" s="21"/>
      <c r="B19" s="24" t="s">
        <v>48</v>
      </c>
      <c r="C19" s="45">
        <v>0.0</v>
      </c>
      <c r="D19" s="45">
        <v>0.0</v>
      </c>
      <c r="E19" s="45">
        <v>0.0</v>
      </c>
      <c r="F19" s="45">
        <v>0.0</v>
      </c>
      <c r="G19" s="45">
        <v>0.0</v>
      </c>
      <c r="H19" s="45">
        <v>0.0</v>
      </c>
      <c r="I19" s="45">
        <v>24000.0</v>
      </c>
      <c r="J19" s="45">
        <v>8000.0</v>
      </c>
      <c r="K19" s="45">
        <v>8000.0</v>
      </c>
      <c r="L19" s="29">
        <f t="shared" si="2"/>
        <v>40000</v>
      </c>
      <c r="M19" s="30">
        <f t="shared" ref="M19:M23" si="5">L19/1.18</f>
        <v>33898.30508</v>
      </c>
    </row>
    <row r="20">
      <c r="A20" s="21"/>
      <c r="B20" s="58" t="s">
        <v>49</v>
      </c>
      <c r="C20" s="36">
        <v>0.0</v>
      </c>
      <c r="D20" s="36">
        <v>0.0</v>
      </c>
      <c r="E20" s="36">
        <v>0.0</v>
      </c>
      <c r="F20" s="36">
        <v>0.0</v>
      </c>
      <c r="G20" s="36">
        <v>0.0</v>
      </c>
      <c r="H20" s="36">
        <v>0.0</v>
      </c>
      <c r="I20" s="36">
        <v>0.0</v>
      </c>
      <c r="J20" s="36">
        <v>0.0</v>
      </c>
      <c r="K20" s="99">
        <v>0.0</v>
      </c>
      <c r="L20" s="29">
        <f t="shared" si="2"/>
        <v>0</v>
      </c>
      <c r="M20" s="30">
        <f t="shared" si="5"/>
        <v>0</v>
      </c>
    </row>
    <row r="21">
      <c r="A21" s="21"/>
      <c r="B21" s="24" t="s">
        <v>50</v>
      </c>
      <c r="C21" s="36">
        <v>0.0</v>
      </c>
      <c r="D21" s="36">
        <v>0.0</v>
      </c>
      <c r="E21" s="36">
        <v>0.0</v>
      </c>
      <c r="F21" s="36">
        <v>0.0</v>
      </c>
      <c r="G21" s="36">
        <v>0.0</v>
      </c>
      <c r="H21" s="36">
        <v>0.0</v>
      </c>
      <c r="I21" s="36">
        <v>0.0</v>
      </c>
      <c r="J21" s="36">
        <v>0.0</v>
      </c>
      <c r="K21" s="99">
        <v>0.0</v>
      </c>
      <c r="L21" s="29">
        <f t="shared" si="2"/>
        <v>0</v>
      </c>
      <c r="M21" s="30">
        <f t="shared" si="5"/>
        <v>0</v>
      </c>
    </row>
    <row r="22">
      <c r="A22" s="21"/>
      <c r="B22" s="24" t="s">
        <v>51</v>
      </c>
      <c r="C22" s="36">
        <v>0.0</v>
      </c>
      <c r="D22" s="36">
        <v>0.0</v>
      </c>
      <c r="E22" s="36">
        <v>0.0</v>
      </c>
      <c r="F22" s="36">
        <v>0.0</v>
      </c>
      <c r="G22" s="36">
        <v>0.0</v>
      </c>
      <c r="H22" s="36">
        <v>0.0</v>
      </c>
      <c r="I22" s="36">
        <v>0.0</v>
      </c>
      <c r="J22" s="36">
        <v>0.0</v>
      </c>
      <c r="K22" s="99">
        <v>0.0</v>
      </c>
      <c r="L22" s="29">
        <f t="shared" si="2"/>
        <v>0</v>
      </c>
      <c r="M22" s="30">
        <f t="shared" si="5"/>
        <v>0</v>
      </c>
    </row>
    <row r="23">
      <c r="A23" s="21"/>
      <c r="B23" s="24" t="s">
        <v>52</v>
      </c>
      <c r="C23" s="36">
        <v>0.0</v>
      </c>
      <c r="D23" s="36">
        <v>0.0</v>
      </c>
      <c r="E23" s="36">
        <v>0.0</v>
      </c>
      <c r="F23" s="36">
        <v>0.0</v>
      </c>
      <c r="G23" s="36">
        <v>0.0</v>
      </c>
      <c r="H23" s="36">
        <v>0.0</v>
      </c>
      <c r="I23" s="36">
        <v>0.0</v>
      </c>
      <c r="J23" s="36">
        <v>0.0</v>
      </c>
      <c r="K23" s="99">
        <v>0.0</v>
      </c>
      <c r="L23" s="29">
        <f t="shared" si="2"/>
        <v>0</v>
      </c>
      <c r="M23" s="30">
        <f t="shared" si="5"/>
        <v>0</v>
      </c>
    </row>
    <row r="24">
      <c r="A24" s="41"/>
      <c r="B24" s="55" t="s">
        <v>47</v>
      </c>
      <c r="C24" s="64">
        <f t="shared" ref="C24:L24" si="6">sum(C3,C8,C14,C19,C20,C21,C22,C23)</f>
        <v>0</v>
      </c>
      <c r="D24" s="64">
        <f t="shared" si="6"/>
        <v>0</v>
      </c>
      <c r="E24" s="64">
        <f t="shared" si="6"/>
        <v>0</v>
      </c>
      <c r="F24" s="64">
        <f t="shared" si="6"/>
        <v>0</v>
      </c>
      <c r="G24" s="64">
        <f t="shared" si="6"/>
        <v>0</v>
      </c>
      <c r="H24" s="64">
        <f t="shared" si="6"/>
        <v>4900</v>
      </c>
      <c r="I24" s="64">
        <f t="shared" si="6"/>
        <v>98125</v>
      </c>
      <c r="J24" s="64">
        <f t="shared" si="6"/>
        <v>74878</v>
      </c>
      <c r="K24" s="64">
        <f t="shared" si="6"/>
        <v>139155</v>
      </c>
      <c r="L24" s="64">
        <f t="shared" si="6"/>
        <v>317058</v>
      </c>
    </row>
    <row r="25">
      <c r="A25" s="25"/>
      <c r="B25" s="77" t="s">
        <v>54</v>
      </c>
      <c r="C25" s="45">
        <v>0.0</v>
      </c>
      <c r="D25" s="45">
        <v>0.0</v>
      </c>
      <c r="E25" s="45">
        <v>0.0</v>
      </c>
      <c r="F25" s="45">
        <v>0.0</v>
      </c>
      <c r="G25" s="45">
        <v>0.0</v>
      </c>
      <c r="H25" s="48">
        <v>4694.0</v>
      </c>
      <c r="I25" s="48">
        <v>97318.0</v>
      </c>
      <c r="J25" s="102">
        <v>66106.48</v>
      </c>
      <c r="K25" s="102">
        <v>138225.08</v>
      </c>
      <c r="L25" s="35">
        <f t="shared" ref="L25:L26" si="8">SUM(C25:K25)</f>
        <v>306343.56</v>
      </c>
    </row>
    <row r="26">
      <c r="A26" s="98"/>
      <c r="B26" s="68" t="s">
        <v>55</v>
      </c>
      <c r="C26" s="45">
        <v>0.0</v>
      </c>
      <c r="D26" s="45">
        <v>0.0</v>
      </c>
      <c r="E26" s="45">
        <v>0.0</v>
      </c>
      <c r="F26" s="45">
        <v>0.0</v>
      </c>
      <c r="G26" s="45">
        <v>0.0</v>
      </c>
      <c r="H26" s="45">
        <f>H25/1.18</f>
        <v>3977.966102</v>
      </c>
      <c r="I26" s="27">
        <f>(I25-I6)/1.18 + 17148</f>
        <v>84366.64407</v>
      </c>
      <c r="J26" s="27">
        <f t="shared" ref="J26:K26" si="7">(J25-J19)/1.18 + J19</f>
        <v>57242.77966</v>
      </c>
      <c r="K26" s="27">
        <f t="shared" si="7"/>
        <v>118360.2373</v>
      </c>
      <c r="L26" s="35">
        <f t="shared" si="8"/>
        <v>263947.6271</v>
      </c>
    </row>
    <row r="27">
      <c r="B27" s="68" t="s">
        <v>56</v>
      </c>
      <c r="C27" s="103"/>
      <c r="D27" s="103"/>
      <c r="E27" s="103"/>
      <c r="F27" s="103"/>
      <c r="G27" s="103"/>
      <c r="H27" s="103"/>
      <c r="I27" s="103"/>
      <c r="J27" s="103"/>
      <c r="K27" s="103"/>
    </row>
    <row r="28">
      <c r="B28" s="88" t="s">
        <v>65</v>
      </c>
      <c r="C28" s="103"/>
      <c r="D28" s="103"/>
      <c r="E28" s="103"/>
      <c r="F28" s="103"/>
      <c r="G28" s="103"/>
      <c r="H28" s="103"/>
      <c r="I28" s="103"/>
      <c r="J28" s="103"/>
      <c r="K28" s="103"/>
    </row>
  </sheetData>
  <hyperlinks>
    <hyperlink r:id="rId1" ref="H1"/>
    <hyperlink r:id="rId2" ref="I1"/>
    <hyperlink r:id="rId3" ref="J1"/>
    <hyperlink r:id="rId4" ref="K1"/>
  </hyperlinks>
  <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3.63"/>
    <col customWidth="1" min="2" max="2" width="28.0"/>
  </cols>
  <sheetData>
    <row r="1">
      <c r="A1" s="16"/>
      <c r="B1" s="2" t="s">
        <v>0</v>
      </c>
      <c r="C1" s="5"/>
      <c r="D1" s="5"/>
      <c r="E1" s="5"/>
      <c r="F1" s="92"/>
      <c r="G1" s="93"/>
      <c r="H1" s="93"/>
      <c r="I1" s="93"/>
      <c r="J1" s="12" t="s">
        <v>1</v>
      </c>
      <c r="K1" s="12" t="s">
        <v>1</v>
      </c>
    </row>
    <row r="2">
      <c r="A2" s="96"/>
      <c r="B2" s="18" t="s">
        <v>16</v>
      </c>
      <c r="C2" s="5" t="s">
        <v>4</v>
      </c>
      <c r="D2" s="5" t="s">
        <v>5</v>
      </c>
      <c r="E2" s="5" t="s">
        <v>6</v>
      </c>
      <c r="F2" s="18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20" t="s">
        <v>17</v>
      </c>
      <c r="M2" s="23"/>
    </row>
    <row r="3">
      <c r="A3" s="21"/>
      <c r="B3" s="24" t="s">
        <v>18</v>
      </c>
      <c r="C3" s="27">
        <f t="shared" ref="C3:H3" si="1">SUM(C4,C5,C6,C7)</f>
        <v>0</v>
      </c>
      <c r="D3" s="27">
        <f t="shared" si="1"/>
        <v>0</v>
      </c>
      <c r="E3" s="27">
        <f t="shared" si="1"/>
        <v>0</v>
      </c>
      <c r="F3" s="27">
        <f t="shared" si="1"/>
        <v>0</v>
      </c>
      <c r="G3" s="27">
        <f t="shared" si="1"/>
        <v>0</v>
      </c>
      <c r="H3" s="27">
        <f t="shared" si="1"/>
        <v>0</v>
      </c>
      <c r="I3" s="45">
        <v>0.0</v>
      </c>
      <c r="J3" s="27">
        <f t="shared" ref="J3:K3" si="2">SUM(J4,J5,J6,J7)</f>
        <v>0</v>
      </c>
      <c r="K3" s="27">
        <f t="shared" si="2"/>
        <v>29635</v>
      </c>
      <c r="L3" s="27">
        <f t="shared" ref="L3:L23" si="3">SUM(C3:K3)</f>
        <v>29635</v>
      </c>
      <c r="M3" s="38">
        <f>L3/1.18</f>
        <v>25114.40678</v>
      </c>
    </row>
    <row r="4" outlineLevel="1">
      <c r="A4" s="21"/>
      <c r="B4" s="31" t="s">
        <v>21</v>
      </c>
      <c r="C4" s="36">
        <v>0.0</v>
      </c>
      <c r="D4" s="36">
        <v>0.0</v>
      </c>
      <c r="E4" s="36">
        <v>0.0</v>
      </c>
      <c r="F4" s="36">
        <v>0.0</v>
      </c>
      <c r="G4" s="36">
        <v>0.0</v>
      </c>
      <c r="H4" s="36">
        <v>0.0</v>
      </c>
      <c r="I4" s="36">
        <v>0.0</v>
      </c>
      <c r="J4" s="36">
        <v>0.0</v>
      </c>
      <c r="K4" s="99">
        <v>0.0</v>
      </c>
      <c r="L4" s="37">
        <f t="shared" si="3"/>
        <v>0</v>
      </c>
      <c r="M4" s="52"/>
    </row>
    <row r="5" outlineLevel="1">
      <c r="A5" s="21"/>
      <c r="B5" s="31" t="s">
        <v>23</v>
      </c>
      <c r="C5" s="36">
        <v>0.0</v>
      </c>
      <c r="D5" s="36">
        <v>0.0</v>
      </c>
      <c r="E5" s="36">
        <v>0.0</v>
      </c>
      <c r="F5" s="36">
        <v>0.0</v>
      </c>
      <c r="G5" s="36">
        <v>0.0</v>
      </c>
      <c r="H5" s="36">
        <v>0.0</v>
      </c>
      <c r="I5" s="37">
        <f>SUM(I6,I7,I8,I9)</f>
        <v>0</v>
      </c>
      <c r="J5" s="36">
        <v>0.0</v>
      </c>
      <c r="K5" s="99">
        <v>0.0</v>
      </c>
      <c r="L5" s="37">
        <f t="shared" si="3"/>
        <v>0</v>
      </c>
      <c r="M5" s="52"/>
    </row>
    <row r="6" outlineLevel="1">
      <c r="A6" s="21"/>
      <c r="B6" s="31" t="s">
        <v>25</v>
      </c>
      <c r="C6" s="36">
        <v>0.0</v>
      </c>
      <c r="D6" s="36">
        <v>0.0</v>
      </c>
      <c r="E6" s="36">
        <v>0.0</v>
      </c>
      <c r="F6" s="36">
        <v>0.0</v>
      </c>
      <c r="G6" s="36">
        <v>0.0</v>
      </c>
      <c r="H6" s="36">
        <v>0.0</v>
      </c>
      <c r="I6" s="36">
        <v>0.0</v>
      </c>
      <c r="J6" s="36">
        <v>0.0</v>
      </c>
      <c r="K6" s="99">
        <v>0.0</v>
      </c>
      <c r="L6" s="37">
        <f t="shared" si="3"/>
        <v>0</v>
      </c>
      <c r="M6" s="52"/>
    </row>
    <row r="7" outlineLevel="1">
      <c r="A7" s="21"/>
      <c r="B7" s="31" t="s">
        <v>26</v>
      </c>
      <c r="C7" s="36">
        <v>0.0</v>
      </c>
      <c r="D7" s="36">
        <v>0.0</v>
      </c>
      <c r="E7" s="36">
        <v>0.0</v>
      </c>
      <c r="F7" s="36">
        <v>0.0</v>
      </c>
      <c r="G7" s="36">
        <v>0.0</v>
      </c>
      <c r="H7" s="36">
        <v>0.0</v>
      </c>
      <c r="I7" s="36">
        <v>0.0</v>
      </c>
      <c r="J7" s="36">
        <v>0.0</v>
      </c>
      <c r="K7" s="99">
        <v>29635.0</v>
      </c>
      <c r="L7" s="37">
        <f t="shared" si="3"/>
        <v>29635</v>
      </c>
      <c r="M7" s="52"/>
    </row>
    <row r="8">
      <c r="A8" s="21"/>
      <c r="B8" s="44" t="s">
        <v>28</v>
      </c>
      <c r="C8" s="27">
        <f t="shared" ref="C8:H8" si="4">SUM(C9:C13)</f>
        <v>0</v>
      </c>
      <c r="D8" s="27">
        <f t="shared" si="4"/>
        <v>0</v>
      </c>
      <c r="E8" s="27">
        <f t="shared" si="4"/>
        <v>0</v>
      </c>
      <c r="F8" s="27">
        <f t="shared" si="4"/>
        <v>0</v>
      </c>
      <c r="G8" s="27">
        <f t="shared" si="4"/>
        <v>0</v>
      </c>
      <c r="H8" s="27">
        <f t="shared" si="4"/>
        <v>0</v>
      </c>
      <c r="I8" s="45">
        <v>0.0</v>
      </c>
      <c r="J8" s="27">
        <f t="shared" ref="J8:K8" si="5">SUM(J9:J13)</f>
        <v>161</v>
      </c>
      <c r="K8" s="27">
        <f t="shared" si="5"/>
        <v>39125</v>
      </c>
      <c r="L8" s="27">
        <f t="shared" si="3"/>
        <v>39286</v>
      </c>
      <c r="M8" s="38">
        <f>L8/1.18</f>
        <v>33293.22034</v>
      </c>
    </row>
    <row r="9" outlineLevel="1">
      <c r="A9" s="21"/>
      <c r="B9" s="32" t="s">
        <v>33</v>
      </c>
      <c r="C9" s="36">
        <v>0.0</v>
      </c>
      <c r="D9" s="36">
        <v>0.0</v>
      </c>
      <c r="E9" s="36">
        <v>0.0</v>
      </c>
      <c r="F9" s="36">
        <v>0.0</v>
      </c>
      <c r="G9" s="36">
        <v>0.0</v>
      </c>
      <c r="H9" s="36">
        <v>0.0</v>
      </c>
      <c r="I9" s="36">
        <v>0.0</v>
      </c>
      <c r="J9" s="36">
        <v>0.0</v>
      </c>
      <c r="K9" s="106">
        <v>6350.0</v>
      </c>
      <c r="L9" s="37">
        <f t="shared" si="3"/>
        <v>6350</v>
      </c>
      <c r="M9" s="52"/>
    </row>
    <row r="10" outlineLevel="1">
      <c r="A10" s="21"/>
      <c r="B10" s="32" t="s">
        <v>34</v>
      </c>
      <c r="C10" s="36">
        <v>0.0</v>
      </c>
      <c r="D10" s="36">
        <v>0.0</v>
      </c>
      <c r="E10" s="36">
        <v>0.0</v>
      </c>
      <c r="F10" s="36">
        <v>0.0</v>
      </c>
      <c r="G10" s="36">
        <v>0.0</v>
      </c>
      <c r="H10" s="36">
        <v>0.0</v>
      </c>
      <c r="I10" s="37">
        <f>SUM(I11:I15)</f>
        <v>0</v>
      </c>
      <c r="J10" s="36">
        <v>0.0</v>
      </c>
      <c r="K10" s="99">
        <v>25760.0</v>
      </c>
      <c r="L10" s="37">
        <f t="shared" si="3"/>
        <v>25760</v>
      </c>
      <c r="M10" s="52"/>
    </row>
    <row r="11" outlineLevel="1">
      <c r="A11" s="21"/>
      <c r="B11" s="100" t="s">
        <v>36</v>
      </c>
      <c r="C11" s="36">
        <v>0.0</v>
      </c>
      <c r="D11" s="36">
        <v>0.0</v>
      </c>
      <c r="E11" s="36">
        <v>0.0</v>
      </c>
      <c r="F11" s="36">
        <v>0.0</v>
      </c>
      <c r="G11" s="36">
        <v>0.0</v>
      </c>
      <c r="H11" s="36">
        <v>0.0</v>
      </c>
      <c r="I11" s="36">
        <v>0.0</v>
      </c>
      <c r="J11" s="36">
        <v>0.0</v>
      </c>
      <c r="K11" s="99">
        <v>0.0</v>
      </c>
      <c r="L11" s="37">
        <f t="shared" si="3"/>
        <v>0</v>
      </c>
      <c r="M11" s="52"/>
    </row>
    <row r="12" outlineLevel="1">
      <c r="A12" s="21"/>
      <c r="B12" s="32" t="s">
        <v>37</v>
      </c>
      <c r="C12" s="36">
        <v>0.0</v>
      </c>
      <c r="D12" s="36">
        <v>0.0</v>
      </c>
      <c r="E12" s="36">
        <v>0.0</v>
      </c>
      <c r="F12" s="36">
        <v>0.0</v>
      </c>
      <c r="G12" s="36">
        <v>0.0</v>
      </c>
      <c r="H12" s="36">
        <v>0.0</v>
      </c>
      <c r="I12" s="36">
        <v>0.0</v>
      </c>
      <c r="J12" s="36">
        <v>161.0</v>
      </c>
      <c r="K12" s="36">
        <v>7015.0</v>
      </c>
      <c r="L12" s="37">
        <f t="shared" si="3"/>
        <v>7176</v>
      </c>
      <c r="M12" s="52"/>
    </row>
    <row r="13">
      <c r="A13" s="21"/>
      <c r="B13" s="31" t="s">
        <v>38</v>
      </c>
      <c r="C13" s="36">
        <v>0.0</v>
      </c>
      <c r="D13" s="36">
        <v>0.0</v>
      </c>
      <c r="E13" s="36">
        <v>0.0</v>
      </c>
      <c r="F13" s="36">
        <v>0.0</v>
      </c>
      <c r="G13" s="36">
        <v>0.0</v>
      </c>
      <c r="H13" s="36">
        <v>0.0</v>
      </c>
      <c r="I13" s="36">
        <v>0.0</v>
      </c>
      <c r="J13" s="36">
        <v>0.0</v>
      </c>
      <c r="K13" s="99">
        <v>0.0</v>
      </c>
      <c r="L13" s="37">
        <f t="shared" si="3"/>
        <v>0</v>
      </c>
      <c r="M13" s="52"/>
    </row>
    <row r="14">
      <c r="A14" s="21"/>
      <c r="B14" s="44" t="s">
        <v>39</v>
      </c>
      <c r="C14" s="27">
        <f t="shared" ref="C14:H14" si="6">SUM(C16,C15, C17,C18)</f>
        <v>0</v>
      </c>
      <c r="D14" s="27">
        <f t="shared" si="6"/>
        <v>0</v>
      </c>
      <c r="E14" s="27">
        <f t="shared" si="6"/>
        <v>0</v>
      </c>
      <c r="F14" s="27">
        <f t="shared" si="6"/>
        <v>0</v>
      </c>
      <c r="G14" s="27">
        <f t="shared" si="6"/>
        <v>0</v>
      </c>
      <c r="H14" s="27">
        <f t="shared" si="6"/>
        <v>0</v>
      </c>
      <c r="I14" s="45">
        <v>0.0</v>
      </c>
      <c r="J14" s="27">
        <f t="shared" ref="J14:K14" si="7">SUM(J16,J15, J17,J18)</f>
        <v>0</v>
      </c>
      <c r="K14" s="27">
        <f t="shared" si="7"/>
        <v>0</v>
      </c>
      <c r="L14" s="27">
        <f t="shared" si="3"/>
        <v>0</v>
      </c>
      <c r="M14" s="38">
        <f>L14/1.18</f>
        <v>0</v>
      </c>
    </row>
    <row r="15" outlineLevel="1">
      <c r="A15" s="21"/>
      <c r="B15" s="32" t="s">
        <v>42</v>
      </c>
      <c r="C15" s="36">
        <v>0.0</v>
      </c>
      <c r="D15" s="36">
        <v>0.0</v>
      </c>
      <c r="E15" s="36">
        <v>0.0</v>
      </c>
      <c r="F15" s="36">
        <v>0.0</v>
      </c>
      <c r="G15" s="36">
        <v>0.0</v>
      </c>
      <c r="H15" s="36">
        <v>0.0</v>
      </c>
      <c r="I15" s="36">
        <v>0.0</v>
      </c>
      <c r="J15" s="36">
        <v>0.0</v>
      </c>
      <c r="K15" s="99">
        <v>0.0</v>
      </c>
      <c r="L15" s="37">
        <f t="shared" si="3"/>
        <v>0</v>
      </c>
      <c r="M15" s="52"/>
    </row>
    <row r="16" outlineLevel="1">
      <c r="A16" s="21"/>
      <c r="B16" s="32" t="s">
        <v>44</v>
      </c>
      <c r="C16" s="36">
        <v>0.0</v>
      </c>
      <c r="D16" s="36">
        <v>0.0</v>
      </c>
      <c r="E16" s="36">
        <v>0.0</v>
      </c>
      <c r="F16" s="36">
        <v>0.0</v>
      </c>
      <c r="G16" s="36">
        <v>0.0</v>
      </c>
      <c r="H16" s="36">
        <v>0.0</v>
      </c>
      <c r="I16" s="37">
        <f>SUM(I18,I17, I19,I20)</f>
        <v>0</v>
      </c>
      <c r="J16" s="36">
        <v>0.0</v>
      </c>
      <c r="K16" s="99">
        <v>0.0</v>
      </c>
      <c r="L16" s="37">
        <f t="shared" si="3"/>
        <v>0</v>
      </c>
      <c r="M16" s="52"/>
    </row>
    <row r="17" outlineLevel="1">
      <c r="A17" s="21"/>
      <c r="B17" s="32" t="s">
        <v>45</v>
      </c>
      <c r="C17" s="36">
        <v>0.0</v>
      </c>
      <c r="D17" s="36">
        <v>0.0</v>
      </c>
      <c r="E17" s="36">
        <v>0.0</v>
      </c>
      <c r="F17" s="36">
        <v>0.0</v>
      </c>
      <c r="G17" s="36">
        <v>0.0</v>
      </c>
      <c r="H17" s="36">
        <v>0.0</v>
      </c>
      <c r="I17" s="36">
        <v>0.0</v>
      </c>
      <c r="J17" s="36">
        <v>0.0</v>
      </c>
      <c r="K17" s="99">
        <v>0.0</v>
      </c>
      <c r="L17" s="37">
        <f t="shared" si="3"/>
        <v>0</v>
      </c>
      <c r="M17" s="52"/>
    </row>
    <row r="18" outlineLevel="1">
      <c r="A18" s="21"/>
      <c r="B18" s="32" t="s">
        <v>46</v>
      </c>
      <c r="C18" s="36">
        <v>0.0</v>
      </c>
      <c r="D18" s="36">
        <v>0.0</v>
      </c>
      <c r="E18" s="36">
        <v>0.0</v>
      </c>
      <c r="F18" s="36">
        <v>0.0</v>
      </c>
      <c r="G18" s="36">
        <v>0.0</v>
      </c>
      <c r="H18" s="36">
        <v>0.0</v>
      </c>
      <c r="I18" s="36">
        <v>0.0</v>
      </c>
      <c r="J18" s="36">
        <v>0.0</v>
      </c>
      <c r="K18" s="99">
        <v>0.0</v>
      </c>
      <c r="L18" s="37">
        <f t="shared" si="3"/>
        <v>0</v>
      </c>
      <c r="M18" s="52"/>
    </row>
    <row r="19">
      <c r="A19" s="21"/>
      <c r="B19" s="24" t="s">
        <v>48</v>
      </c>
      <c r="C19" s="45">
        <v>0.0</v>
      </c>
      <c r="D19" s="45">
        <v>0.0</v>
      </c>
      <c r="E19" s="45">
        <v>0.0</v>
      </c>
      <c r="F19" s="45">
        <v>0.0</v>
      </c>
      <c r="G19" s="45">
        <v>0.0</v>
      </c>
      <c r="H19" s="45">
        <v>0.0</v>
      </c>
      <c r="I19" s="45">
        <v>0.0</v>
      </c>
      <c r="J19" s="45">
        <v>0.0</v>
      </c>
      <c r="K19" s="45">
        <v>0.0</v>
      </c>
      <c r="L19" s="27">
        <f t="shared" si="3"/>
        <v>0</v>
      </c>
      <c r="M19" s="38">
        <f t="shared" ref="M19:M24" si="8">L19/1.18</f>
        <v>0</v>
      </c>
    </row>
    <row r="20">
      <c r="A20" s="21"/>
      <c r="B20" s="58" t="s">
        <v>49</v>
      </c>
      <c r="C20" s="36">
        <v>0.0</v>
      </c>
      <c r="D20" s="36">
        <v>0.0</v>
      </c>
      <c r="E20" s="36">
        <v>0.0</v>
      </c>
      <c r="F20" s="36">
        <v>0.0</v>
      </c>
      <c r="G20" s="36">
        <v>0.0</v>
      </c>
      <c r="H20" s="36">
        <v>0.0</v>
      </c>
      <c r="I20" s="36">
        <v>0.0</v>
      </c>
      <c r="J20" s="36">
        <v>0.0</v>
      </c>
      <c r="K20" s="99">
        <v>0.0</v>
      </c>
      <c r="L20" s="27">
        <f t="shared" si="3"/>
        <v>0</v>
      </c>
      <c r="M20" s="38">
        <f t="shared" si="8"/>
        <v>0</v>
      </c>
    </row>
    <row r="21">
      <c r="A21" s="21"/>
      <c r="B21" s="24" t="s">
        <v>50</v>
      </c>
      <c r="C21" s="36">
        <v>0.0</v>
      </c>
      <c r="D21" s="36">
        <v>0.0</v>
      </c>
      <c r="E21" s="36">
        <v>0.0</v>
      </c>
      <c r="F21" s="36">
        <v>0.0</v>
      </c>
      <c r="G21" s="36">
        <v>0.0</v>
      </c>
      <c r="H21" s="36">
        <v>0.0</v>
      </c>
      <c r="I21" s="36">
        <v>0.0</v>
      </c>
      <c r="J21" s="36">
        <v>0.0</v>
      </c>
      <c r="K21" s="99">
        <v>0.0</v>
      </c>
      <c r="L21" s="27">
        <f t="shared" si="3"/>
        <v>0</v>
      </c>
      <c r="M21" s="38">
        <f t="shared" si="8"/>
        <v>0</v>
      </c>
    </row>
    <row r="22">
      <c r="A22" s="21"/>
      <c r="B22" s="24" t="s">
        <v>51</v>
      </c>
      <c r="C22" s="36">
        <v>0.0</v>
      </c>
      <c r="D22" s="36">
        <v>0.0</v>
      </c>
      <c r="E22" s="36">
        <v>0.0</v>
      </c>
      <c r="F22" s="36">
        <v>0.0</v>
      </c>
      <c r="G22" s="36">
        <v>0.0</v>
      </c>
      <c r="H22" s="36">
        <v>0.0</v>
      </c>
      <c r="I22" s="36">
        <v>0.0</v>
      </c>
      <c r="J22" s="36">
        <v>0.0</v>
      </c>
      <c r="K22" s="99">
        <v>0.0</v>
      </c>
      <c r="L22" s="27">
        <f t="shared" si="3"/>
        <v>0</v>
      </c>
      <c r="M22" s="38">
        <f t="shared" si="8"/>
        <v>0</v>
      </c>
    </row>
    <row r="23">
      <c r="A23" s="21"/>
      <c r="B23" s="24" t="s">
        <v>52</v>
      </c>
      <c r="C23" s="36">
        <v>0.0</v>
      </c>
      <c r="D23" s="36">
        <v>0.0</v>
      </c>
      <c r="E23" s="36">
        <v>0.0</v>
      </c>
      <c r="F23" s="36">
        <v>0.0</v>
      </c>
      <c r="G23" s="36">
        <v>0.0</v>
      </c>
      <c r="H23" s="36">
        <v>0.0</v>
      </c>
      <c r="I23" s="36">
        <v>0.0</v>
      </c>
      <c r="J23" s="36">
        <v>59000.0</v>
      </c>
      <c r="K23" s="107">
        <v>118000.0</v>
      </c>
      <c r="L23" s="27">
        <f t="shared" si="3"/>
        <v>177000</v>
      </c>
      <c r="M23" s="38">
        <f t="shared" si="8"/>
        <v>150000</v>
      </c>
    </row>
    <row r="24">
      <c r="A24" s="41"/>
      <c r="B24" s="55" t="s">
        <v>47</v>
      </c>
      <c r="C24" s="64">
        <f t="shared" ref="C24:L24" si="9">sum(C3,C8,C14,C19,C20,C21,C22,C23)</f>
        <v>0</v>
      </c>
      <c r="D24" s="64">
        <f t="shared" si="9"/>
        <v>0</v>
      </c>
      <c r="E24" s="64">
        <f t="shared" si="9"/>
        <v>0</v>
      </c>
      <c r="F24" s="64">
        <f t="shared" si="9"/>
        <v>0</v>
      </c>
      <c r="G24" s="64">
        <f t="shared" si="9"/>
        <v>0</v>
      </c>
      <c r="H24" s="64">
        <f t="shared" si="9"/>
        <v>0</v>
      </c>
      <c r="I24" s="64">
        <f t="shared" si="9"/>
        <v>0</v>
      </c>
      <c r="J24" s="64">
        <f t="shared" si="9"/>
        <v>59161</v>
      </c>
      <c r="K24" s="64">
        <f t="shared" si="9"/>
        <v>186760</v>
      </c>
      <c r="L24" s="64">
        <f t="shared" si="9"/>
        <v>245921</v>
      </c>
      <c r="M24" s="38">
        <f t="shared" si="8"/>
        <v>208407.6271</v>
      </c>
    </row>
    <row r="25">
      <c r="A25" s="25"/>
      <c r="B25" s="77" t="s">
        <v>54</v>
      </c>
      <c r="C25" s="45">
        <v>0.0</v>
      </c>
      <c r="D25" s="45">
        <v>0.0</v>
      </c>
      <c r="E25" s="45">
        <v>0.0</v>
      </c>
      <c r="F25" s="45">
        <v>0.0</v>
      </c>
      <c r="G25" s="45">
        <v>0.0</v>
      </c>
      <c r="H25" s="45">
        <v>0.0</v>
      </c>
      <c r="I25" s="36">
        <v>0.0</v>
      </c>
      <c r="J25" s="45">
        <v>59152.95</v>
      </c>
      <c r="K25" s="102">
        <v>183544.37</v>
      </c>
      <c r="L25" s="97">
        <f t="shared" ref="L25:L26" si="11">SUM(C25:K25)</f>
        <v>242697.32</v>
      </c>
      <c r="M25" s="73"/>
    </row>
    <row r="26">
      <c r="A26" s="98"/>
      <c r="B26" s="68" t="s">
        <v>55</v>
      </c>
      <c r="C26" s="45">
        <v>0.0</v>
      </c>
      <c r="D26" s="45">
        <v>0.0</v>
      </c>
      <c r="E26" s="45">
        <v>0.0</v>
      </c>
      <c r="F26" s="45">
        <v>0.0</v>
      </c>
      <c r="G26" s="45">
        <v>0.0</v>
      </c>
      <c r="H26" s="45">
        <v>0.0</v>
      </c>
      <c r="I26" s="45">
        <f t="shared" ref="I26:K26" si="10">I25/1.18</f>
        <v>0</v>
      </c>
      <c r="J26" s="45">
        <f t="shared" si="10"/>
        <v>50129.61864</v>
      </c>
      <c r="K26" s="45">
        <f t="shared" si="10"/>
        <v>155546.0763</v>
      </c>
      <c r="L26" s="97">
        <f t="shared" si="11"/>
        <v>205675.6949</v>
      </c>
      <c r="M26" s="73"/>
    </row>
    <row r="27">
      <c r="B27" s="72" t="s">
        <v>56</v>
      </c>
      <c r="C27" s="103"/>
      <c r="D27" s="103"/>
      <c r="E27" s="103"/>
      <c r="F27" s="103"/>
      <c r="G27" s="103"/>
      <c r="H27" s="103"/>
      <c r="I27" s="45"/>
      <c r="J27" s="103"/>
      <c r="K27" s="103"/>
    </row>
    <row r="28">
      <c r="B28" s="46" t="s">
        <v>67</v>
      </c>
      <c r="C28" s="103"/>
      <c r="D28" s="103"/>
      <c r="E28" s="103"/>
      <c r="F28" s="103"/>
      <c r="G28" s="103"/>
      <c r="H28" s="103"/>
      <c r="I28" s="45"/>
      <c r="J28" s="103"/>
      <c r="K28" s="103"/>
    </row>
  </sheetData>
  <hyperlinks>
    <hyperlink r:id="rId1" ref="J1"/>
    <hyperlink r:id="rId2" ref="K1"/>
  </hyperlinks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3.63"/>
    <col customWidth="1" min="2" max="2" width="28.0"/>
  </cols>
  <sheetData>
    <row r="1">
      <c r="A1" s="16"/>
      <c r="B1" s="2" t="s">
        <v>0</v>
      </c>
      <c r="C1" s="5"/>
      <c r="D1" s="5"/>
      <c r="E1" s="5"/>
      <c r="F1" s="92"/>
      <c r="G1" s="93"/>
      <c r="H1" s="93"/>
      <c r="I1" s="93"/>
      <c r="J1" s="93"/>
      <c r="K1" s="12" t="s">
        <v>1</v>
      </c>
    </row>
    <row r="2">
      <c r="A2" s="96"/>
      <c r="B2" s="18" t="s">
        <v>16</v>
      </c>
      <c r="C2" s="5" t="s">
        <v>4</v>
      </c>
      <c r="D2" s="5" t="s">
        <v>5</v>
      </c>
      <c r="E2" s="5" t="s">
        <v>6</v>
      </c>
      <c r="F2" s="18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104" t="s">
        <v>12</v>
      </c>
      <c r="L2" s="20" t="s">
        <v>17</v>
      </c>
      <c r="M2" s="23"/>
    </row>
    <row r="3">
      <c r="A3" s="21"/>
      <c r="B3" s="24" t="s">
        <v>18</v>
      </c>
      <c r="C3" s="27">
        <f t="shared" ref="C3:H3" si="1">SUM(C4,C5,C6,C7)</f>
        <v>0</v>
      </c>
      <c r="D3" s="27">
        <f t="shared" si="1"/>
        <v>0</v>
      </c>
      <c r="E3" s="27">
        <f t="shared" si="1"/>
        <v>0</v>
      </c>
      <c r="F3" s="27">
        <f t="shared" si="1"/>
        <v>0</v>
      </c>
      <c r="G3" s="27">
        <f t="shared" si="1"/>
        <v>0</v>
      </c>
      <c r="H3" s="27">
        <f t="shared" si="1"/>
        <v>0</v>
      </c>
      <c r="I3" s="45">
        <v>0.0</v>
      </c>
      <c r="J3" s="45">
        <v>0.0</v>
      </c>
      <c r="K3" s="105">
        <f>SUM(K4,K5,K6,K7)</f>
        <v>2650</v>
      </c>
      <c r="L3" s="27">
        <f t="shared" ref="L3:L23" si="2">SUM(C3:K3)</f>
        <v>2650</v>
      </c>
      <c r="M3" s="38">
        <f>L3/1.18</f>
        <v>2245.762712</v>
      </c>
    </row>
    <row r="4" outlineLevel="1">
      <c r="A4" s="21"/>
      <c r="B4" s="31" t="s">
        <v>21</v>
      </c>
      <c r="C4" s="36">
        <v>0.0</v>
      </c>
      <c r="D4" s="36">
        <v>0.0</v>
      </c>
      <c r="E4" s="36">
        <v>0.0</v>
      </c>
      <c r="F4" s="36">
        <v>0.0</v>
      </c>
      <c r="G4" s="36">
        <v>0.0</v>
      </c>
      <c r="H4" s="36">
        <v>0.0</v>
      </c>
      <c r="I4" s="36">
        <v>0.0</v>
      </c>
      <c r="J4" s="36">
        <v>0.0</v>
      </c>
      <c r="K4" s="99">
        <v>600.0</v>
      </c>
      <c r="L4" s="37">
        <f t="shared" si="2"/>
        <v>600</v>
      </c>
      <c r="M4" s="52"/>
    </row>
    <row r="5" outlineLevel="1">
      <c r="A5" s="21"/>
      <c r="B5" s="31" t="s">
        <v>23</v>
      </c>
      <c r="C5" s="36">
        <v>0.0</v>
      </c>
      <c r="D5" s="36">
        <v>0.0</v>
      </c>
      <c r="E5" s="36">
        <v>0.0</v>
      </c>
      <c r="F5" s="36">
        <v>0.0</v>
      </c>
      <c r="G5" s="36">
        <v>0.0</v>
      </c>
      <c r="H5" s="36">
        <v>0.0</v>
      </c>
      <c r="I5" s="37">
        <f t="shared" ref="I5:J5" si="3">SUM(I6,I7,I8,I9)</f>
        <v>0</v>
      </c>
      <c r="J5" s="37">
        <f t="shared" si="3"/>
        <v>0</v>
      </c>
      <c r="K5" s="99">
        <v>0.0</v>
      </c>
      <c r="L5" s="37">
        <f t="shared" si="2"/>
        <v>0</v>
      </c>
      <c r="M5" s="52"/>
    </row>
    <row r="6" outlineLevel="1">
      <c r="A6" s="21"/>
      <c r="B6" s="31" t="s">
        <v>25</v>
      </c>
      <c r="C6" s="36">
        <v>0.0</v>
      </c>
      <c r="D6" s="36">
        <v>0.0</v>
      </c>
      <c r="E6" s="36">
        <v>0.0</v>
      </c>
      <c r="F6" s="36">
        <v>0.0</v>
      </c>
      <c r="G6" s="36">
        <v>0.0</v>
      </c>
      <c r="H6" s="36">
        <v>0.0</v>
      </c>
      <c r="I6" s="36">
        <v>0.0</v>
      </c>
      <c r="J6" s="36">
        <v>0.0</v>
      </c>
      <c r="K6" s="99">
        <v>0.0</v>
      </c>
      <c r="L6" s="37">
        <f t="shared" si="2"/>
        <v>0</v>
      </c>
      <c r="M6" s="52"/>
    </row>
    <row r="7" outlineLevel="1">
      <c r="A7" s="21"/>
      <c r="B7" s="31" t="s">
        <v>26</v>
      </c>
      <c r="C7" s="36">
        <v>0.0</v>
      </c>
      <c r="D7" s="36">
        <v>0.0</v>
      </c>
      <c r="E7" s="36">
        <v>0.0</v>
      </c>
      <c r="F7" s="36">
        <v>0.0</v>
      </c>
      <c r="G7" s="36">
        <v>0.0</v>
      </c>
      <c r="H7" s="36">
        <v>0.0</v>
      </c>
      <c r="I7" s="36">
        <v>0.0</v>
      </c>
      <c r="J7" s="36">
        <v>0.0</v>
      </c>
      <c r="K7" s="99">
        <v>2050.0</v>
      </c>
      <c r="L7" s="37">
        <f t="shared" si="2"/>
        <v>2050</v>
      </c>
      <c r="M7" s="52"/>
    </row>
    <row r="8">
      <c r="A8" s="21"/>
      <c r="B8" s="44" t="s">
        <v>28</v>
      </c>
      <c r="C8" s="27">
        <f t="shared" ref="C8:H8" si="4">SUM(C9:C13)</f>
        <v>0</v>
      </c>
      <c r="D8" s="27">
        <f t="shared" si="4"/>
        <v>0</v>
      </c>
      <c r="E8" s="27">
        <f t="shared" si="4"/>
        <v>0</v>
      </c>
      <c r="F8" s="27">
        <f t="shared" si="4"/>
        <v>0</v>
      </c>
      <c r="G8" s="27">
        <f t="shared" si="4"/>
        <v>0</v>
      </c>
      <c r="H8" s="27">
        <f t="shared" si="4"/>
        <v>0</v>
      </c>
      <c r="I8" s="45">
        <v>0.0</v>
      </c>
      <c r="J8" s="45">
        <v>0.0</v>
      </c>
      <c r="K8" s="27">
        <f>SUM(K9:K13)</f>
        <v>5740</v>
      </c>
      <c r="L8" s="27">
        <f t="shared" si="2"/>
        <v>5740</v>
      </c>
      <c r="M8" s="38">
        <f>L8/1.18</f>
        <v>4864.40678</v>
      </c>
    </row>
    <row r="9" outlineLevel="1">
      <c r="A9" s="21"/>
      <c r="B9" s="32" t="s">
        <v>33</v>
      </c>
      <c r="C9" s="36">
        <v>0.0</v>
      </c>
      <c r="D9" s="36">
        <v>0.0</v>
      </c>
      <c r="E9" s="36">
        <v>0.0</v>
      </c>
      <c r="F9" s="36">
        <v>0.0</v>
      </c>
      <c r="G9" s="36">
        <v>0.0</v>
      </c>
      <c r="H9" s="36">
        <v>0.0</v>
      </c>
      <c r="I9" s="36">
        <v>0.0</v>
      </c>
      <c r="J9" s="36">
        <v>0.0</v>
      </c>
      <c r="K9" s="99">
        <v>5740.0</v>
      </c>
      <c r="L9" s="37">
        <f t="shared" si="2"/>
        <v>5740</v>
      </c>
      <c r="M9" s="52"/>
    </row>
    <row r="10" outlineLevel="1">
      <c r="A10" s="21"/>
      <c r="B10" s="32" t="s">
        <v>34</v>
      </c>
      <c r="C10" s="36">
        <v>0.0</v>
      </c>
      <c r="D10" s="36">
        <v>0.0</v>
      </c>
      <c r="E10" s="36">
        <v>0.0</v>
      </c>
      <c r="F10" s="36">
        <v>0.0</v>
      </c>
      <c r="G10" s="36">
        <v>0.0</v>
      </c>
      <c r="H10" s="36">
        <v>0.0</v>
      </c>
      <c r="I10" s="37">
        <f t="shared" ref="I10:J10" si="5">SUM(I11:I15)</f>
        <v>0</v>
      </c>
      <c r="J10" s="37">
        <f t="shared" si="5"/>
        <v>0</v>
      </c>
      <c r="K10" s="99">
        <v>0.0</v>
      </c>
      <c r="L10" s="37">
        <f t="shared" si="2"/>
        <v>0</v>
      </c>
      <c r="M10" s="52"/>
    </row>
    <row r="11" outlineLevel="1">
      <c r="A11" s="21"/>
      <c r="B11" s="100" t="s">
        <v>36</v>
      </c>
      <c r="C11" s="36">
        <v>0.0</v>
      </c>
      <c r="D11" s="36">
        <v>0.0</v>
      </c>
      <c r="E11" s="36">
        <v>0.0</v>
      </c>
      <c r="F11" s="36">
        <v>0.0</v>
      </c>
      <c r="G11" s="36">
        <v>0.0</v>
      </c>
      <c r="H11" s="36">
        <v>0.0</v>
      </c>
      <c r="I11" s="36">
        <v>0.0</v>
      </c>
      <c r="J11" s="36">
        <v>0.0</v>
      </c>
      <c r="K11" s="99">
        <v>0.0</v>
      </c>
      <c r="L11" s="37">
        <f t="shared" si="2"/>
        <v>0</v>
      </c>
      <c r="M11" s="52"/>
    </row>
    <row r="12" outlineLevel="1">
      <c r="A12" s="21"/>
      <c r="B12" s="32" t="s">
        <v>37</v>
      </c>
      <c r="C12" s="36">
        <v>0.0</v>
      </c>
      <c r="D12" s="36">
        <v>0.0</v>
      </c>
      <c r="E12" s="36">
        <v>0.0</v>
      </c>
      <c r="F12" s="36">
        <v>0.0</v>
      </c>
      <c r="G12" s="36">
        <v>0.0</v>
      </c>
      <c r="H12" s="36">
        <v>0.0</v>
      </c>
      <c r="I12" s="36">
        <v>0.0</v>
      </c>
      <c r="J12" s="36">
        <v>0.0</v>
      </c>
      <c r="K12" s="99">
        <v>0.0</v>
      </c>
      <c r="L12" s="37">
        <f t="shared" si="2"/>
        <v>0</v>
      </c>
      <c r="M12" s="52"/>
    </row>
    <row r="13">
      <c r="A13" s="21"/>
      <c r="B13" s="31" t="s">
        <v>38</v>
      </c>
      <c r="C13" s="36">
        <v>0.0</v>
      </c>
      <c r="D13" s="36">
        <v>0.0</v>
      </c>
      <c r="E13" s="36">
        <v>0.0</v>
      </c>
      <c r="F13" s="36">
        <v>0.0</v>
      </c>
      <c r="G13" s="36">
        <v>0.0</v>
      </c>
      <c r="H13" s="36">
        <v>0.0</v>
      </c>
      <c r="I13" s="36">
        <v>0.0</v>
      </c>
      <c r="J13" s="36">
        <v>0.0</v>
      </c>
      <c r="K13" s="99">
        <v>0.0</v>
      </c>
      <c r="L13" s="37">
        <f t="shared" si="2"/>
        <v>0</v>
      </c>
      <c r="M13" s="52"/>
    </row>
    <row r="14">
      <c r="A14" s="21"/>
      <c r="B14" s="44" t="s">
        <v>39</v>
      </c>
      <c r="C14" s="27">
        <f t="shared" ref="C14:H14" si="6">SUM(C16,C15, C17,C18)</f>
        <v>0</v>
      </c>
      <c r="D14" s="27">
        <f t="shared" si="6"/>
        <v>0</v>
      </c>
      <c r="E14" s="27">
        <f t="shared" si="6"/>
        <v>0</v>
      </c>
      <c r="F14" s="27">
        <f t="shared" si="6"/>
        <v>0</v>
      </c>
      <c r="G14" s="27">
        <f t="shared" si="6"/>
        <v>0</v>
      </c>
      <c r="H14" s="27">
        <f t="shared" si="6"/>
        <v>0</v>
      </c>
      <c r="I14" s="45">
        <v>0.0</v>
      </c>
      <c r="J14" s="45">
        <v>0.0</v>
      </c>
      <c r="K14" s="27">
        <f>SUM(K16,K15, K17,K18)</f>
        <v>110270</v>
      </c>
      <c r="L14" s="27">
        <f t="shared" si="2"/>
        <v>110270</v>
      </c>
      <c r="M14" s="38">
        <f>L14/1.18</f>
        <v>93449.15254</v>
      </c>
    </row>
    <row r="15" outlineLevel="1">
      <c r="A15" s="21"/>
      <c r="B15" s="32" t="s">
        <v>42</v>
      </c>
      <c r="C15" s="36">
        <v>0.0</v>
      </c>
      <c r="D15" s="36">
        <v>0.0</v>
      </c>
      <c r="E15" s="36">
        <v>0.0</v>
      </c>
      <c r="F15" s="36">
        <v>0.0</v>
      </c>
      <c r="G15" s="36">
        <v>0.0</v>
      </c>
      <c r="H15" s="36">
        <v>0.0</v>
      </c>
      <c r="I15" s="36">
        <v>0.0</v>
      </c>
      <c r="J15" s="36">
        <v>0.0</v>
      </c>
      <c r="K15" s="99">
        <v>52820.0</v>
      </c>
      <c r="L15" s="37">
        <f t="shared" si="2"/>
        <v>52820</v>
      </c>
      <c r="M15" s="52"/>
    </row>
    <row r="16" outlineLevel="1">
      <c r="A16" s="21"/>
      <c r="B16" s="32" t="s">
        <v>44</v>
      </c>
      <c r="C16" s="36">
        <v>0.0</v>
      </c>
      <c r="D16" s="36">
        <v>0.0</v>
      </c>
      <c r="E16" s="36">
        <v>0.0</v>
      </c>
      <c r="F16" s="36">
        <v>0.0</v>
      </c>
      <c r="G16" s="36">
        <v>0.0</v>
      </c>
      <c r="H16" s="36">
        <v>0.0</v>
      </c>
      <c r="I16" s="37">
        <f t="shared" ref="I16:J16" si="7">SUM(I18,I17, I19,I20)</f>
        <v>0</v>
      </c>
      <c r="J16" s="37">
        <f t="shared" si="7"/>
        <v>0</v>
      </c>
      <c r="K16" s="99">
        <v>0.0</v>
      </c>
      <c r="L16" s="37">
        <f t="shared" si="2"/>
        <v>0</v>
      </c>
      <c r="M16" s="52"/>
    </row>
    <row r="17" outlineLevel="1">
      <c r="A17" s="21"/>
      <c r="B17" s="32" t="s">
        <v>45</v>
      </c>
      <c r="C17" s="36">
        <v>0.0</v>
      </c>
      <c r="D17" s="36">
        <v>0.0</v>
      </c>
      <c r="E17" s="36">
        <v>0.0</v>
      </c>
      <c r="F17" s="36">
        <v>0.0</v>
      </c>
      <c r="G17" s="36">
        <v>0.0</v>
      </c>
      <c r="H17" s="36">
        <v>0.0</v>
      </c>
      <c r="I17" s="36">
        <v>0.0</v>
      </c>
      <c r="J17" s="36">
        <v>0.0</v>
      </c>
      <c r="K17" s="99">
        <v>57450.0</v>
      </c>
      <c r="L17" s="37">
        <f t="shared" si="2"/>
        <v>57450</v>
      </c>
      <c r="M17" s="52"/>
    </row>
    <row r="18" outlineLevel="1">
      <c r="A18" s="21"/>
      <c r="B18" s="32" t="s">
        <v>46</v>
      </c>
      <c r="C18" s="36">
        <v>0.0</v>
      </c>
      <c r="D18" s="36">
        <v>0.0</v>
      </c>
      <c r="E18" s="36">
        <v>0.0</v>
      </c>
      <c r="F18" s="36">
        <v>0.0</v>
      </c>
      <c r="G18" s="36">
        <v>0.0</v>
      </c>
      <c r="H18" s="36">
        <v>0.0</v>
      </c>
      <c r="I18" s="36">
        <v>0.0</v>
      </c>
      <c r="J18" s="36">
        <v>0.0</v>
      </c>
      <c r="K18" s="99">
        <v>0.0</v>
      </c>
      <c r="L18" s="37">
        <f t="shared" si="2"/>
        <v>0</v>
      </c>
      <c r="M18" s="52"/>
    </row>
    <row r="19">
      <c r="A19" s="21"/>
      <c r="B19" s="24" t="s">
        <v>48</v>
      </c>
      <c r="C19" s="45">
        <v>0.0</v>
      </c>
      <c r="D19" s="45">
        <v>0.0</v>
      </c>
      <c r="E19" s="45">
        <v>0.0</v>
      </c>
      <c r="F19" s="45">
        <v>0.0</v>
      </c>
      <c r="G19" s="45">
        <v>0.0</v>
      </c>
      <c r="H19" s="45">
        <v>0.0</v>
      </c>
      <c r="I19" s="45">
        <v>0.0</v>
      </c>
      <c r="J19" s="45">
        <v>0.0</v>
      </c>
      <c r="K19" s="45">
        <v>0.0</v>
      </c>
      <c r="L19" s="27">
        <f t="shared" si="2"/>
        <v>0</v>
      </c>
      <c r="M19" s="38">
        <f t="shared" ref="M19:M24" si="8">L19/1.18</f>
        <v>0</v>
      </c>
    </row>
    <row r="20">
      <c r="A20" s="21"/>
      <c r="B20" s="58" t="s">
        <v>49</v>
      </c>
      <c r="C20" s="36">
        <v>0.0</v>
      </c>
      <c r="D20" s="36">
        <v>0.0</v>
      </c>
      <c r="E20" s="36">
        <v>0.0</v>
      </c>
      <c r="F20" s="36">
        <v>0.0</v>
      </c>
      <c r="G20" s="36">
        <v>0.0</v>
      </c>
      <c r="H20" s="36">
        <v>0.0</v>
      </c>
      <c r="I20" s="36">
        <v>0.0</v>
      </c>
      <c r="J20" s="36">
        <v>0.0</v>
      </c>
      <c r="K20" s="99">
        <v>0.0</v>
      </c>
      <c r="L20" s="27">
        <f t="shared" si="2"/>
        <v>0</v>
      </c>
      <c r="M20" s="38">
        <f t="shared" si="8"/>
        <v>0</v>
      </c>
    </row>
    <row r="21">
      <c r="A21" s="21"/>
      <c r="B21" s="24" t="s">
        <v>50</v>
      </c>
      <c r="C21" s="36">
        <v>0.0</v>
      </c>
      <c r="D21" s="36">
        <v>0.0</v>
      </c>
      <c r="E21" s="36">
        <v>0.0</v>
      </c>
      <c r="F21" s="36">
        <v>0.0</v>
      </c>
      <c r="G21" s="36">
        <v>0.0</v>
      </c>
      <c r="H21" s="36">
        <v>0.0</v>
      </c>
      <c r="I21" s="36">
        <v>0.0</v>
      </c>
      <c r="J21" s="36">
        <v>0.0</v>
      </c>
      <c r="K21" s="99">
        <v>0.0</v>
      </c>
      <c r="L21" s="27">
        <f t="shared" si="2"/>
        <v>0</v>
      </c>
      <c r="M21" s="38">
        <f t="shared" si="8"/>
        <v>0</v>
      </c>
    </row>
    <row r="22">
      <c r="A22" s="21"/>
      <c r="B22" s="24" t="s">
        <v>51</v>
      </c>
      <c r="C22" s="36">
        <v>0.0</v>
      </c>
      <c r="D22" s="36">
        <v>0.0</v>
      </c>
      <c r="E22" s="36">
        <v>0.0</v>
      </c>
      <c r="F22" s="36">
        <v>0.0</v>
      </c>
      <c r="G22" s="36">
        <v>0.0</v>
      </c>
      <c r="H22" s="36">
        <v>0.0</v>
      </c>
      <c r="I22" s="36">
        <v>0.0</v>
      </c>
      <c r="J22" s="36">
        <v>0.0</v>
      </c>
      <c r="K22" s="99">
        <v>18000.0</v>
      </c>
      <c r="L22" s="27">
        <f t="shared" si="2"/>
        <v>18000</v>
      </c>
      <c r="M22" s="38">
        <f t="shared" si="8"/>
        <v>15254.23729</v>
      </c>
    </row>
    <row r="23">
      <c r="A23" s="21"/>
      <c r="B23" s="24" t="s">
        <v>52</v>
      </c>
      <c r="C23" s="36">
        <v>0.0</v>
      </c>
      <c r="D23" s="36">
        <v>0.0</v>
      </c>
      <c r="E23" s="36">
        <v>0.0</v>
      </c>
      <c r="F23" s="36">
        <v>0.0</v>
      </c>
      <c r="G23" s="36">
        <v>0.0</v>
      </c>
      <c r="H23" s="36">
        <v>0.0</v>
      </c>
      <c r="I23" s="36">
        <v>0.0</v>
      </c>
      <c r="J23" s="36">
        <v>0.0</v>
      </c>
      <c r="K23" s="99">
        <v>0.0</v>
      </c>
      <c r="L23" s="27">
        <f t="shared" si="2"/>
        <v>0</v>
      </c>
      <c r="M23" s="38">
        <f t="shared" si="8"/>
        <v>0</v>
      </c>
    </row>
    <row r="24">
      <c r="A24" s="41"/>
      <c r="B24" s="55" t="s">
        <v>47</v>
      </c>
      <c r="C24" s="64">
        <f t="shared" ref="C24:L24" si="9">sum(C3,C8,C14,C19,C20,C21,C22,C23)</f>
        <v>0</v>
      </c>
      <c r="D24" s="64">
        <f t="shared" si="9"/>
        <v>0</v>
      </c>
      <c r="E24" s="64">
        <f t="shared" si="9"/>
        <v>0</v>
      </c>
      <c r="F24" s="64">
        <f t="shared" si="9"/>
        <v>0</v>
      </c>
      <c r="G24" s="64">
        <f t="shared" si="9"/>
        <v>0</v>
      </c>
      <c r="H24" s="64">
        <f t="shared" si="9"/>
        <v>0</v>
      </c>
      <c r="I24" s="64">
        <f t="shared" si="9"/>
        <v>0</v>
      </c>
      <c r="J24" s="64">
        <f t="shared" si="9"/>
        <v>0</v>
      </c>
      <c r="K24" s="64">
        <f t="shared" si="9"/>
        <v>136660</v>
      </c>
      <c r="L24" s="64">
        <f t="shared" si="9"/>
        <v>136660</v>
      </c>
      <c r="M24" s="38">
        <f t="shared" si="8"/>
        <v>115813.5593</v>
      </c>
    </row>
    <row r="25">
      <c r="A25" s="25"/>
      <c r="B25" s="77" t="s">
        <v>54</v>
      </c>
      <c r="C25" s="45">
        <v>0.0</v>
      </c>
      <c r="D25" s="45">
        <v>0.0</v>
      </c>
      <c r="E25" s="45">
        <v>0.0</v>
      </c>
      <c r="F25" s="45">
        <v>0.0</v>
      </c>
      <c r="G25" s="45">
        <v>0.0</v>
      </c>
      <c r="H25" s="45">
        <v>0.0</v>
      </c>
      <c r="I25" s="36">
        <v>0.0</v>
      </c>
      <c r="J25" s="36">
        <v>0.0</v>
      </c>
      <c r="K25" s="102">
        <v>134329.16</v>
      </c>
      <c r="L25" s="97">
        <f t="shared" ref="L25:L26" si="11">SUM(C25:K25)</f>
        <v>134329.16</v>
      </c>
      <c r="M25" s="73"/>
    </row>
    <row r="26">
      <c r="A26" s="98"/>
      <c r="B26" s="68" t="s">
        <v>55</v>
      </c>
      <c r="C26" s="45">
        <v>0.0</v>
      </c>
      <c r="D26" s="45">
        <v>0.0</v>
      </c>
      <c r="E26" s="45">
        <v>0.0</v>
      </c>
      <c r="F26" s="45">
        <v>0.0</v>
      </c>
      <c r="G26" s="45">
        <v>0.0</v>
      </c>
      <c r="H26" s="45">
        <v>0.0</v>
      </c>
      <c r="I26" s="45">
        <f t="shared" ref="I26:K26" si="10">I25/1.18</f>
        <v>0</v>
      </c>
      <c r="J26" s="45">
        <f t="shared" si="10"/>
        <v>0</v>
      </c>
      <c r="K26" s="45">
        <f t="shared" si="10"/>
        <v>113838.2712</v>
      </c>
      <c r="L26" s="97">
        <f t="shared" si="11"/>
        <v>113838.2712</v>
      </c>
      <c r="M26" s="73"/>
    </row>
    <row r="27">
      <c r="B27" s="72" t="s">
        <v>56</v>
      </c>
      <c r="C27" s="103"/>
      <c r="D27" s="103"/>
      <c r="E27" s="103"/>
      <c r="F27" s="103"/>
      <c r="G27" s="103"/>
      <c r="H27" s="103"/>
      <c r="I27" s="45"/>
      <c r="J27" s="45"/>
      <c r="K27" s="103"/>
    </row>
    <row r="28">
      <c r="B28" s="46" t="s">
        <v>66</v>
      </c>
      <c r="C28" s="103"/>
      <c r="D28" s="103"/>
      <c r="E28" s="103"/>
      <c r="F28" s="103"/>
      <c r="G28" s="103"/>
      <c r="H28" s="103"/>
      <c r="I28" s="45"/>
      <c r="J28" s="45"/>
      <c r="K28" s="103"/>
    </row>
  </sheetData>
  <hyperlinks>
    <hyperlink r:id="rId1" ref="K1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25.38"/>
    <col customWidth="1" min="3" max="3" width="13.75"/>
    <col customWidth="1" min="4" max="7" width="16.38"/>
    <col customWidth="1" min="8" max="8" width="12.63"/>
  </cols>
  <sheetData>
    <row r="1">
      <c r="A1" s="108" t="s">
        <v>68</v>
      </c>
    </row>
    <row r="2">
      <c r="A2" s="95" t="s">
        <v>69</v>
      </c>
      <c r="B2" s="95" t="s">
        <v>3</v>
      </c>
      <c r="C2" s="58" t="s">
        <v>70</v>
      </c>
      <c r="D2" s="95" t="s">
        <v>71</v>
      </c>
      <c r="E2" s="95" t="s">
        <v>49</v>
      </c>
      <c r="F2" s="58" t="s">
        <v>72</v>
      </c>
      <c r="G2" s="58" t="s">
        <v>73</v>
      </c>
      <c r="H2" s="58" t="s">
        <v>74</v>
      </c>
      <c r="I2" s="95" t="s">
        <v>75</v>
      </c>
      <c r="K2" s="25" t="s">
        <v>76</v>
      </c>
      <c r="M2" s="25" t="s">
        <v>77</v>
      </c>
    </row>
    <row r="3">
      <c r="A3" s="109">
        <v>1.0</v>
      </c>
      <c r="B3" s="110" t="s">
        <v>14</v>
      </c>
      <c r="C3" s="111">
        <v>4.0</v>
      </c>
      <c r="D3" s="50">
        <v>250000.0</v>
      </c>
      <c r="E3" s="85">
        <f>12*5000+8000*12</f>
        <v>156000</v>
      </c>
      <c r="F3" s="37">
        <v>75000.0</v>
      </c>
      <c r="G3" s="85"/>
      <c r="H3" s="50">
        <f t="shared" ref="H3:H10" si="1">5000*C3</f>
        <v>20000</v>
      </c>
      <c r="I3" s="85">
        <f t="shared" ref="I3:I11" si="2">SUM(D3:H3)</f>
        <v>501000</v>
      </c>
      <c r="K3" s="98">
        <v>12.0</v>
      </c>
      <c r="L3" s="98">
        <v>1.0</v>
      </c>
      <c r="M3" s="98">
        <v>12.0</v>
      </c>
      <c r="N3" s="98">
        <v>1.0</v>
      </c>
    </row>
    <row r="4">
      <c r="A4" s="109">
        <v>2.0</v>
      </c>
      <c r="B4" s="110" t="s">
        <v>15</v>
      </c>
      <c r="C4" s="111">
        <v>4.0</v>
      </c>
      <c r="D4" s="50">
        <v>200000.0</v>
      </c>
      <c r="E4" s="85">
        <f>5000*6</f>
        <v>30000</v>
      </c>
      <c r="F4" s="37">
        <v>45000.0</v>
      </c>
      <c r="G4" s="85">
        <f>30000*4</f>
        <v>120000</v>
      </c>
      <c r="H4" s="50">
        <f t="shared" si="1"/>
        <v>20000</v>
      </c>
      <c r="I4" s="85">
        <f t="shared" si="2"/>
        <v>415000</v>
      </c>
      <c r="K4" s="98">
        <v>6.0</v>
      </c>
      <c r="M4" s="98">
        <v>0.0</v>
      </c>
    </row>
    <row r="5">
      <c r="A5" s="109">
        <v>3.0</v>
      </c>
      <c r="B5" s="110" t="s">
        <v>19</v>
      </c>
      <c r="C5" s="111">
        <v>3.0</v>
      </c>
      <c r="D5" s="50">
        <v>250000.0</v>
      </c>
      <c r="E5" s="85">
        <f>12*5000+8000*12</f>
        <v>156000</v>
      </c>
      <c r="F5" s="37">
        <v>90000.0</v>
      </c>
      <c r="G5" s="85">
        <f>30000*2</f>
        <v>60000</v>
      </c>
      <c r="H5" s="50">
        <f t="shared" si="1"/>
        <v>15000</v>
      </c>
      <c r="I5" s="85">
        <f t="shared" si="2"/>
        <v>571000</v>
      </c>
      <c r="K5" s="98">
        <v>12.0</v>
      </c>
      <c r="L5" s="98">
        <v>6.0</v>
      </c>
      <c r="M5" s="98">
        <v>12.0</v>
      </c>
      <c r="N5" s="98">
        <v>5.0</v>
      </c>
    </row>
    <row r="6">
      <c r="A6" s="109">
        <v>4.0</v>
      </c>
      <c r="B6" s="110" t="s">
        <v>78</v>
      </c>
      <c r="C6" s="111">
        <v>3.0</v>
      </c>
      <c r="D6" s="50">
        <v>125000.0</v>
      </c>
      <c r="E6" s="85">
        <f>12*5000+8000*6</f>
        <v>108000</v>
      </c>
      <c r="F6" s="37">
        <v>45000.0</v>
      </c>
      <c r="G6" s="85"/>
      <c r="H6" s="50">
        <f t="shared" si="1"/>
        <v>15000</v>
      </c>
      <c r="I6" s="85">
        <f t="shared" si="2"/>
        <v>293000</v>
      </c>
      <c r="K6" s="98">
        <v>12.0</v>
      </c>
      <c r="M6" s="98">
        <v>6.0</v>
      </c>
    </row>
    <row r="7">
      <c r="A7" s="109">
        <v>5.0</v>
      </c>
      <c r="B7" s="112" t="s">
        <v>32</v>
      </c>
      <c r="C7" s="111">
        <v>4.0</v>
      </c>
      <c r="D7" s="50">
        <v>200000.0</v>
      </c>
      <c r="E7" s="85">
        <f>7000*6</f>
        <v>42000</v>
      </c>
      <c r="F7" s="50">
        <v>45000.0</v>
      </c>
      <c r="G7" s="85">
        <f>30000*2</f>
        <v>60000</v>
      </c>
      <c r="H7" s="50">
        <f t="shared" si="1"/>
        <v>20000</v>
      </c>
      <c r="I7" s="85">
        <f t="shared" si="2"/>
        <v>367000</v>
      </c>
      <c r="K7" s="98">
        <v>0.0</v>
      </c>
      <c r="M7" s="98">
        <v>6.0</v>
      </c>
    </row>
    <row r="8">
      <c r="A8" s="109">
        <v>6.0</v>
      </c>
      <c r="B8" s="113" t="s">
        <v>22</v>
      </c>
      <c r="C8" s="114">
        <v>4.0</v>
      </c>
      <c r="D8" s="50">
        <v>150000.0</v>
      </c>
      <c r="E8" s="85">
        <f>5000*12+8000*6</f>
        <v>108000</v>
      </c>
      <c r="F8" s="37">
        <v>30000.0</v>
      </c>
      <c r="G8" s="85"/>
      <c r="H8" s="50">
        <f t="shared" si="1"/>
        <v>20000</v>
      </c>
      <c r="I8" s="85">
        <f t="shared" si="2"/>
        <v>308000</v>
      </c>
      <c r="K8" s="98">
        <v>12.0</v>
      </c>
      <c r="M8" s="98">
        <v>6.0</v>
      </c>
    </row>
    <row r="9">
      <c r="A9" s="109">
        <v>7.0</v>
      </c>
      <c r="B9" s="113" t="s">
        <v>79</v>
      </c>
      <c r="C9" s="114">
        <v>3.0</v>
      </c>
      <c r="D9" s="50">
        <v>150000.0</v>
      </c>
      <c r="E9" s="85">
        <f>4000*6</f>
        <v>24000</v>
      </c>
      <c r="F9" s="37">
        <v>30000.0</v>
      </c>
      <c r="G9" s="85"/>
      <c r="H9" s="50">
        <f t="shared" si="1"/>
        <v>15000</v>
      </c>
      <c r="I9" s="85">
        <f t="shared" si="2"/>
        <v>219000</v>
      </c>
      <c r="K9" s="98">
        <v>6.0</v>
      </c>
      <c r="M9" s="98">
        <v>0.0</v>
      </c>
    </row>
    <row r="10">
      <c r="A10" s="115">
        <v>8.0</v>
      </c>
      <c r="B10" s="33" t="s">
        <v>80</v>
      </c>
      <c r="C10" s="114">
        <v>5.0</v>
      </c>
      <c r="D10" s="50">
        <v>200000.0</v>
      </c>
      <c r="E10" s="85">
        <f>5000*12+8000*6</f>
        <v>108000</v>
      </c>
      <c r="F10" s="37">
        <v>60000.0</v>
      </c>
      <c r="G10" s="85">
        <f>30000*2</f>
        <v>60000</v>
      </c>
      <c r="H10" s="50">
        <f t="shared" si="1"/>
        <v>25000</v>
      </c>
      <c r="I10" s="85">
        <f t="shared" si="2"/>
        <v>453000</v>
      </c>
      <c r="K10" s="98">
        <v>12.0</v>
      </c>
      <c r="M10" s="98">
        <v>6.0</v>
      </c>
    </row>
    <row r="11">
      <c r="A11" s="67"/>
      <c r="B11" s="72" t="s">
        <v>75</v>
      </c>
      <c r="C11" s="116">
        <f t="shared" ref="C11:H11" si="3">SUM(C3:C10)</f>
        <v>30</v>
      </c>
      <c r="D11" s="29">
        <f t="shared" si="3"/>
        <v>1525000</v>
      </c>
      <c r="E11" s="29">
        <f t="shared" si="3"/>
        <v>732000</v>
      </c>
      <c r="F11" s="29">
        <f t="shared" si="3"/>
        <v>420000</v>
      </c>
      <c r="G11" s="29">
        <f t="shared" si="3"/>
        <v>300000</v>
      </c>
      <c r="H11" s="29">
        <f t="shared" si="3"/>
        <v>150000</v>
      </c>
      <c r="I11" s="29">
        <f t="shared" si="2"/>
        <v>3127000</v>
      </c>
      <c r="K11" s="117">
        <f t="shared" ref="K11:N11" si="4">SUM(K3:K10)</f>
        <v>72</v>
      </c>
      <c r="L11" s="117">
        <f t="shared" si="4"/>
        <v>7</v>
      </c>
      <c r="M11" s="117">
        <f t="shared" si="4"/>
        <v>48</v>
      </c>
      <c r="N11" s="117">
        <f t="shared" si="4"/>
        <v>6</v>
      </c>
    </row>
    <row r="12">
      <c r="A12" s="98">
        <v>9.0</v>
      </c>
      <c r="B12" s="118" t="s">
        <v>81</v>
      </c>
      <c r="C12" s="98">
        <v>4.0</v>
      </c>
    </row>
    <row r="13">
      <c r="A13" s="98">
        <v>10.0</v>
      </c>
      <c r="B13" s="118" t="s">
        <v>82</v>
      </c>
      <c r="C13" s="98">
        <v>5.0</v>
      </c>
    </row>
    <row r="14">
      <c r="C14" s="119">
        <f>SUM(C11:C13)</f>
        <v>39</v>
      </c>
    </row>
  </sheetData>
  <mergeCells count="1">
    <mergeCell ref="A1:I1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 outlineLevelRow="1"/>
  <cols>
    <col customWidth="1" min="2" max="2" width="37.88"/>
    <col customWidth="1" min="3" max="5" width="13.25"/>
    <col customWidth="1" min="6" max="6" width="13.63"/>
    <col customWidth="1" min="7" max="7" width="13.25"/>
    <col customWidth="1" min="9" max="9" width="12.63"/>
  </cols>
  <sheetData>
    <row r="1">
      <c r="A1" s="8" t="s">
        <v>2</v>
      </c>
      <c r="B1" s="8" t="s">
        <v>3</v>
      </c>
      <c r="C1" s="9" t="s">
        <v>4</v>
      </c>
      <c r="D1" s="9" t="s">
        <v>5</v>
      </c>
      <c r="E1" s="9" t="s">
        <v>6</v>
      </c>
      <c r="F1" s="9" t="s">
        <v>7</v>
      </c>
      <c r="G1" s="9" t="s">
        <v>8</v>
      </c>
      <c r="H1" s="9" t="s">
        <v>9</v>
      </c>
      <c r="I1" s="9" t="s">
        <v>10</v>
      </c>
      <c r="J1" s="9" t="s">
        <v>11</v>
      </c>
      <c r="K1" s="9" t="s">
        <v>12</v>
      </c>
    </row>
    <row r="2">
      <c r="A2" s="10">
        <v>1.0</v>
      </c>
      <c r="B2" s="11" t="s">
        <v>14</v>
      </c>
      <c r="C2" s="13">
        <f>'RallyGully I Sector 10 Dwarka'!C24</f>
        <v>103615</v>
      </c>
      <c r="D2" s="13">
        <f>'RallyGully I Sector 10 Dwarka'!D24</f>
        <v>298839</v>
      </c>
      <c r="E2" s="13">
        <f>'RallyGully I Sector 10 Dwarka'!E24</f>
        <v>245054</v>
      </c>
      <c r="F2" s="13">
        <f>'RallyGully I Sector 10 Dwarka'!F24</f>
        <v>200720</v>
      </c>
      <c r="G2" s="14">
        <f>'RallyGully I Sector 10 Dwarka'!G24</f>
        <v>168129</v>
      </c>
      <c r="H2" s="14">
        <f>'RallyGully I Sector 10 Dwarka'!H24</f>
        <v>206326</v>
      </c>
      <c r="I2" s="14">
        <f>'RallyGully I Sector 10 Dwarka'!I24</f>
        <v>301217</v>
      </c>
      <c r="J2" s="14">
        <f>'RallyGully I Sector 10 Dwarka'!J24</f>
        <v>263730</v>
      </c>
      <c r="K2" s="14">
        <f>'RallyGully I Sector 10 Dwarka'!K24</f>
        <v>251120</v>
      </c>
      <c r="M2" s="15"/>
      <c r="N2" s="15"/>
      <c r="O2" s="15"/>
      <c r="P2" s="15"/>
      <c r="Q2" s="15"/>
    </row>
    <row r="3">
      <c r="A3" s="10">
        <v>2.0</v>
      </c>
      <c r="B3" s="11" t="s">
        <v>15</v>
      </c>
      <c r="C3" s="13">
        <v>0.0</v>
      </c>
      <c r="D3" s="13">
        <f>'RallyGully I Sector 83 Gurgaon'!D24</f>
        <v>37420</v>
      </c>
      <c r="E3" s="13">
        <f>'RallyGully I Sector 83 Gurgaon'!E24</f>
        <v>154961</v>
      </c>
      <c r="F3" s="13">
        <v>90075.0</v>
      </c>
      <c r="G3" s="14">
        <f>'RallyGully I Sector 83 Gurgaon'!G24</f>
        <v>151276</v>
      </c>
      <c r="H3" s="14">
        <f>'RallyGully I Sector 83 Gurgaon'!H24</f>
        <v>175700</v>
      </c>
      <c r="I3" s="14">
        <f>'RallyGully I Sector 83 Gurgaon'!I24</f>
        <v>169521</v>
      </c>
      <c r="J3" s="14">
        <f>'RallyGully I Sector 83 Gurgaon'!J24</f>
        <v>210880</v>
      </c>
      <c r="K3" s="14">
        <f>'RallyGully I Sector 83 Gurgaon'!K24</f>
        <v>226770</v>
      </c>
    </row>
    <row r="4">
      <c r="A4" s="10">
        <v>3.0</v>
      </c>
      <c r="B4" s="11" t="s">
        <v>19</v>
      </c>
      <c r="C4" s="13">
        <v>0.0</v>
      </c>
      <c r="D4" s="13">
        <v>0.0</v>
      </c>
      <c r="E4" s="13">
        <f>'RallyGully I East of Kailash'!E24</f>
        <v>78858.8</v>
      </c>
      <c r="F4" s="13">
        <f>'RallyGully I East of Kailash'!F24</f>
        <v>183432.6</v>
      </c>
      <c r="G4" s="14">
        <f>'RallyGully I East of Kailash'!G24</f>
        <v>144284</v>
      </c>
      <c r="H4" s="14">
        <f>'RallyGully I East of Kailash'!H24</f>
        <v>123338</v>
      </c>
      <c r="I4" s="14">
        <f>'RallyGully I East of Kailash'!I24</f>
        <v>279567</v>
      </c>
      <c r="J4" s="14">
        <f>'RallyGully I East of Kailash'!J24</f>
        <v>365154</v>
      </c>
      <c r="K4" s="14">
        <f>'RallyGully I East of Kailash'!K24</f>
        <v>281064</v>
      </c>
    </row>
    <row r="5">
      <c r="A5" s="10">
        <v>4.0</v>
      </c>
      <c r="B5" s="11" t="s">
        <v>78</v>
      </c>
      <c r="C5" s="13">
        <v>0.0</v>
      </c>
      <c r="D5" s="13">
        <v>0.0</v>
      </c>
      <c r="E5" s="13">
        <v>0.0</v>
      </c>
      <c r="F5" s="13">
        <f>'RallyGully I Sector 19 Dwarka'!F24</f>
        <v>71245</v>
      </c>
      <c r="G5" s="14">
        <f>'RallyGully I Sector 19 Dwarka'!$G$24</f>
        <v>78029</v>
      </c>
      <c r="H5" s="14">
        <f>'RallyGully I Sector 19 Dwarka'!H24</f>
        <v>50925</v>
      </c>
      <c r="I5" s="14">
        <f>'RallyGully I Sector 19 Dwarka'!I24</f>
        <v>125214</v>
      </c>
      <c r="J5" s="14">
        <f>'RallyGully I Sector 19 Dwarka'!J24</f>
        <v>86460</v>
      </c>
      <c r="K5" s="14">
        <f>'RallyGully I Sector 19 Dwarka'!K24</f>
        <v>104875</v>
      </c>
    </row>
    <row r="6">
      <c r="A6" s="10">
        <v>5.0</v>
      </c>
      <c r="B6" s="46" t="s">
        <v>32</v>
      </c>
      <c r="C6" s="13">
        <v>0.0</v>
      </c>
      <c r="D6" s="13">
        <v>0.0</v>
      </c>
      <c r="E6" s="13">
        <v>0.0</v>
      </c>
      <c r="F6" s="13">
        <v>0.0</v>
      </c>
      <c r="G6" s="14">
        <f>'RallyGully | LCR Pune'!G24</f>
        <v>40125</v>
      </c>
      <c r="H6" s="14">
        <f>'RallyGully | LCR Pune'!H24</f>
        <v>171603</v>
      </c>
      <c r="I6" s="14">
        <f>'RallyGully | LCR Pune'!I24</f>
        <v>399500</v>
      </c>
      <c r="J6" s="14">
        <f>'RallyGully | LCR Pune'!J24</f>
        <v>450865</v>
      </c>
      <c r="K6" s="14">
        <f>'RallyGully | LCR Pune'!K24</f>
        <v>415235</v>
      </c>
    </row>
    <row r="7">
      <c r="A7" s="120">
        <v>6.0</v>
      </c>
      <c r="B7" s="33" t="s">
        <v>22</v>
      </c>
      <c r="C7" s="35">
        <v>0.0</v>
      </c>
      <c r="D7" s="35">
        <v>0.0</v>
      </c>
      <c r="E7" s="35">
        <v>0.0</v>
      </c>
      <c r="F7" s="35">
        <v>0.0</v>
      </c>
      <c r="G7" s="35">
        <v>0.0</v>
      </c>
      <c r="H7" s="39">
        <f>'RallyGully | DPSG'!H24</f>
        <v>21637</v>
      </c>
      <c r="I7" s="39">
        <f>'RallyGully | DPSG'!I24</f>
        <v>49820</v>
      </c>
      <c r="J7" s="39">
        <f>'RallyGully | DPSG'!J24</f>
        <v>113460</v>
      </c>
      <c r="K7" s="39">
        <f>'RallyGully | DPSG'!K24</f>
        <v>179380</v>
      </c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</row>
    <row r="8">
      <c r="A8" s="120">
        <v>7.0</v>
      </c>
      <c r="B8" s="33" t="s">
        <v>40</v>
      </c>
      <c r="C8" s="35">
        <v>0.0</v>
      </c>
      <c r="D8" s="35">
        <v>0.0</v>
      </c>
      <c r="E8" s="35">
        <v>0.0</v>
      </c>
      <c r="F8" s="35">
        <v>0.0</v>
      </c>
      <c r="G8" s="35">
        <v>0.0</v>
      </c>
      <c r="H8" s="39">
        <f>'RallyGully | Gandipath'!H24</f>
        <v>4900</v>
      </c>
      <c r="I8" s="39">
        <f>'RallyGully | Gandipath'!I24</f>
        <v>98125</v>
      </c>
      <c r="J8" s="39">
        <f>'RallyGully | Gandipath'!J24</f>
        <v>74878</v>
      </c>
      <c r="K8" s="39">
        <f>'RallyGully | Gandipath'!K24</f>
        <v>139155</v>
      </c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</row>
    <row r="9">
      <c r="A9" s="120">
        <v>8.0</v>
      </c>
      <c r="B9" s="33" t="s">
        <v>29</v>
      </c>
      <c r="C9" s="35">
        <v>0.0</v>
      </c>
      <c r="D9" s="35">
        <v>0.0</v>
      </c>
      <c r="E9" s="35">
        <v>0.0</v>
      </c>
      <c r="F9" s="35">
        <v>0.0</v>
      </c>
      <c r="G9" s="35">
        <v>0.0</v>
      </c>
      <c r="H9" s="35">
        <v>0.0</v>
      </c>
      <c r="I9" s="39">
        <f>'RallyGully | Panchsheel'!I24</f>
        <v>78588</v>
      </c>
      <c r="J9" s="39">
        <f>'RallyGully | Panchsheel'!J24</f>
        <v>88970</v>
      </c>
      <c r="K9" s="39">
        <f>'RallyGully | Panchsheel'!K24</f>
        <v>141013</v>
      </c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</row>
    <row r="10">
      <c r="A10" s="120">
        <v>9.0</v>
      </c>
      <c r="B10" s="33" t="s">
        <v>41</v>
      </c>
      <c r="C10" s="35">
        <v>0.0</v>
      </c>
      <c r="D10" s="35">
        <v>0.0</v>
      </c>
      <c r="E10" s="35">
        <v>0.0</v>
      </c>
      <c r="F10" s="35">
        <v>0.0</v>
      </c>
      <c r="G10" s="35">
        <v>0.0</v>
      </c>
      <c r="H10" s="35">
        <v>0.0</v>
      </c>
      <c r="I10" s="35">
        <v>0.0</v>
      </c>
      <c r="J10" s="35">
        <f>'Powerplay Park, Pune'!J24</f>
        <v>59161</v>
      </c>
      <c r="K10" s="39">
        <f>'Powerplay Park, Pune'!K24</f>
        <v>186760</v>
      </c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</row>
    <row r="11">
      <c r="A11" s="120">
        <v>10.0</v>
      </c>
      <c r="B11" s="33" t="s">
        <v>43</v>
      </c>
      <c r="C11" s="35">
        <v>0.0</v>
      </c>
      <c r="D11" s="35">
        <v>0.0</v>
      </c>
      <c r="E11" s="35">
        <v>0.0</v>
      </c>
      <c r="F11" s="35">
        <v>0.0</v>
      </c>
      <c r="G11" s="35">
        <v>0.0</v>
      </c>
      <c r="H11" s="35">
        <v>0.0</v>
      </c>
      <c r="I11" s="35">
        <v>0.0</v>
      </c>
      <c r="J11" s="35">
        <v>0.0</v>
      </c>
      <c r="K11" s="39">
        <f>'Commons, Noida'!K24</f>
        <v>136660</v>
      </c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</row>
    <row r="12">
      <c r="A12" s="54"/>
      <c r="B12" s="55" t="s">
        <v>47</v>
      </c>
      <c r="C12" s="57">
        <f t="shared" ref="C12:G12" si="1">SUM(C2:C9)</f>
        <v>103615</v>
      </c>
      <c r="D12" s="57">
        <f t="shared" si="1"/>
        <v>336259</v>
      </c>
      <c r="E12" s="57">
        <f t="shared" si="1"/>
        <v>478873.8</v>
      </c>
      <c r="F12" s="57">
        <f t="shared" si="1"/>
        <v>545472.6</v>
      </c>
      <c r="G12" s="57">
        <f t="shared" si="1"/>
        <v>581843</v>
      </c>
      <c r="H12" s="57">
        <f t="shared" ref="H12:K12" si="2">SUM(H2:H11)</f>
        <v>754429</v>
      </c>
      <c r="I12" s="57">
        <f t="shared" si="2"/>
        <v>1501552</v>
      </c>
      <c r="J12" s="57">
        <f t="shared" si="2"/>
        <v>1713558</v>
      </c>
      <c r="K12" s="57">
        <f t="shared" si="2"/>
        <v>2062032</v>
      </c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</row>
    <row r="14">
      <c r="A14" s="81"/>
      <c r="B14" s="82" t="s">
        <v>58</v>
      </c>
      <c r="C14" s="9" t="s">
        <v>4</v>
      </c>
      <c r="D14" s="9" t="s">
        <v>5</v>
      </c>
      <c r="E14" s="9" t="s">
        <v>6</v>
      </c>
      <c r="F14" s="9" t="s">
        <v>7</v>
      </c>
      <c r="G14" s="9" t="s">
        <v>8</v>
      </c>
      <c r="H14" s="9" t="s">
        <v>9</v>
      </c>
      <c r="I14" s="9" t="s">
        <v>10</v>
      </c>
      <c r="J14" s="83" t="s">
        <v>11</v>
      </c>
      <c r="K14" s="9" t="s">
        <v>12</v>
      </c>
    </row>
    <row r="15">
      <c r="A15" s="46">
        <v>1.0</v>
      </c>
      <c r="B15" s="84" t="s">
        <v>18</v>
      </c>
      <c r="C15" s="14">
        <f>SUM('RallyGully I Sector 10 Dwarka'!C3+'RallyGully I Sector 83 Gurgaon'!C3+'RallyGully I East of Kailash'!C3+'RallyGully I Sector 19 Dwarka'!C3+'RallyGully | LCR Pune'!C3+'RallyGully | DPSG'!C3+'RallyGully | Gandipath'!C3+'RallyGully | Panchsheel'!C3)</f>
        <v>4835</v>
      </c>
      <c r="D15" s="14">
        <f>SUM('RallyGully I Sector 10 Dwarka'!D3+'RallyGully I Sector 83 Gurgaon'!D3+'RallyGully I East of Kailash'!D3+'RallyGully I Sector 19 Dwarka'!D3+'RallyGully | LCR Pune'!D3+'RallyGully | DPSG'!D3+'RallyGully | Gandipath'!D3+'RallyGully | Panchsheel'!D3)</f>
        <v>51040</v>
      </c>
      <c r="E15" s="14">
        <f>SUM('RallyGully I Sector 10 Dwarka'!E3+'RallyGully I Sector 83 Gurgaon'!E3+'RallyGully I East of Kailash'!E3+'RallyGully I Sector 19 Dwarka'!E3+'RallyGully | LCR Pune'!E3+'RallyGully | DPSG'!E3+'RallyGully | Gandipath'!E3+'RallyGully | Panchsheel'!E3)</f>
        <v>139520</v>
      </c>
      <c r="F15" s="14">
        <f>SUM('RallyGully I Sector 10 Dwarka'!F3+'RallyGully I Sector 83 Gurgaon'!F3+'RallyGully I East of Kailash'!F3+'RallyGully I Sector 19 Dwarka'!F3+'RallyGully | LCR Pune'!F3+'RallyGully | DPSG'!F3+'RallyGully | Gandipath'!F3+'RallyGully | Panchsheel'!F3)</f>
        <v>73240</v>
      </c>
      <c r="G15" s="14">
        <f>SUM('RallyGully I Sector 10 Dwarka'!G3+'RallyGully I Sector 83 Gurgaon'!G3+'RallyGully I East of Kailash'!G3+'RallyGully I Sector 19 Dwarka'!G3+'RallyGully | LCR Pune'!G3+'RallyGully | DPSG'!G3+'RallyGully | Gandipath'!G3+'RallyGully | Panchsheel'!G3)</f>
        <v>175494</v>
      </c>
      <c r="H15" s="14">
        <f>SUM('RallyGully I Sector 10 Dwarka'!H3+'RallyGully I Sector 83 Gurgaon'!H3+'RallyGully I East of Kailash'!H3+'RallyGully I Sector 19 Dwarka'!H3+'RallyGully | LCR Pune'!H3+'RallyGully | DPSG'!H3+'RallyGully | Gandipath'!H3+'RallyGully | Panchsheel'!H3)</f>
        <v>269512</v>
      </c>
      <c r="I15" s="14">
        <f>SUM('RallyGully I Sector 10 Dwarka'!I3+'RallyGully I Sector 83 Gurgaon'!I3+'RallyGully I East of Kailash'!I3+'RallyGully I Sector 19 Dwarka'!I3+'RallyGully | LCR Pune'!I3+'RallyGully | DPSG'!I3+'RallyGully | Gandipath'!I3+'RallyGully | Panchsheel'!I3)</f>
        <v>481369</v>
      </c>
      <c r="J15" s="14">
        <f>SUM('RallyGully I Sector 10 Dwarka'!J3+'RallyGully I Sector 83 Gurgaon'!J3+'RallyGully I East of Kailash'!J3+'RallyGully I Sector 19 Dwarka'!J3+'RallyGully | LCR Pune'!J3+'RallyGully | DPSG'!J3+'RallyGully | Gandipath'!J3+'RallyGully | Panchsheel'!J3+'Powerplay Park, Pune'!J3+'Commons, Noida'!J3)</f>
        <v>515675</v>
      </c>
      <c r="K15" s="14">
        <f>SUM('RallyGully I Sector 10 Dwarka'!K3+'RallyGully I Sector 83 Gurgaon'!K3+'RallyGully I East of Kailash'!K3+'RallyGully I Sector 19 Dwarka'!K3+'RallyGully | LCR Pune'!K3+'RallyGully | DPSG'!K3+'RallyGully | Gandipath'!K3+'RallyGully | Panchsheel'!K3+'Powerplay Park, Pune'!K3+'Commons, Noida'!K3)</f>
        <v>528815</v>
      </c>
    </row>
    <row r="16" outlineLevel="1">
      <c r="A16" s="46">
        <v>1.1</v>
      </c>
      <c r="B16" s="88" t="s">
        <v>21</v>
      </c>
      <c r="C16" s="14">
        <f>SUM('RallyGully I Sector 10 Dwarka'!C4+'RallyGully I Sector 83 Gurgaon'!C4+'RallyGully I East of Kailash'!C4+'RallyGully I Sector 19 Dwarka'!C4+'RallyGully | LCR Pune'!C4+'RallyGully | DPSG'!C4+'RallyGully | Gandipath'!C4+'RallyGully | Panchsheel'!C4)</f>
        <v>4475</v>
      </c>
      <c r="D16" s="14">
        <f>SUM('RallyGully I Sector 10 Dwarka'!D4+'RallyGully I Sector 83 Gurgaon'!D4+'RallyGully I East of Kailash'!D4+'RallyGully I Sector 19 Dwarka'!D4+'RallyGully | LCR Pune'!D4+'RallyGully | DPSG'!D4+'RallyGully | Gandipath'!D4+'RallyGully | Panchsheel'!D4)</f>
        <v>15580</v>
      </c>
      <c r="E16" s="14">
        <f>SUM('RallyGully I Sector 10 Dwarka'!E4+'RallyGully I Sector 83 Gurgaon'!E4+'RallyGully I East of Kailash'!E4+'RallyGully I Sector 19 Dwarka'!E4+'RallyGully | LCR Pune'!E4+'RallyGully | DPSG'!E4+'RallyGully | Gandipath'!E4+'RallyGully | Panchsheel'!E4)</f>
        <v>22280</v>
      </c>
      <c r="F16" s="14">
        <f>SUM('RallyGully I Sector 10 Dwarka'!F4+'RallyGully I Sector 83 Gurgaon'!F4+'RallyGully I East of Kailash'!F4+'RallyGully I Sector 19 Dwarka'!F4+'RallyGully | LCR Pune'!F4+'RallyGully | DPSG'!F4+'RallyGully | Gandipath'!F4+'RallyGully | Panchsheel'!F4)</f>
        <v>24840</v>
      </c>
      <c r="G16" s="14">
        <f>SUM('RallyGully I Sector 10 Dwarka'!G4+'RallyGully I Sector 83 Gurgaon'!G4+'RallyGully I East of Kailash'!G4+'RallyGully I Sector 19 Dwarka'!G4+'RallyGully | LCR Pune'!G4+'RallyGully | DPSG'!G4+'RallyGully | Gandipath'!G4+'RallyGully | Panchsheel'!G4)</f>
        <v>27820</v>
      </c>
      <c r="H16" s="14">
        <f>SUM('RallyGully I Sector 10 Dwarka'!H4+'RallyGully I Sector 83 Gurgaon'!H4+'RallyGully I East of Kailash'!H4+'RallyGully I Sector 19 Dwarka'!H4+'RallyGully | LCR Pune'!H4+'RallyGully | DPSG'!H4+'RallyGully | Gandipath'!H4+'RallyGully | Panchsheel'!H4)</f>
        <v>60775</v>
      </c>
      <c r="I16" s="14">
        <f>SUM('RallyGully I Sector 10 Dwarka'!I4+'RallyGully I Sector 83 Gurgaon'!I4+'RallyGully I East of Kailash'!I4+'RallyGully I Sector 19 Dwarka'!I4+'RallyGully | LCR Pune'!I4+'RallyGully | DPSG'!I4+'RallyGully | Gandipath'!I4+'RallyGully | Panchsheel'!I4)</f>
        <v>91339</v>
      </c>
      <c r="J16" s="14">
        <f>SUM('RallyGully I Sector 10 Dwarka'!J4+'RallyGully I Sector 83 Gurgaon'!J4+'RallyGully I East of Kailash'!J4+'RallyGully I Sector 19 Dwarka'!J4+'RallyGully | LCR Pune'!J4+'RallyGully | DPSG'!J4+'RallyGully | Gandipath'!J4+'RallyGully | Panchsheel'!J4)</f>
        <v>94325</v>
      </c>
      <c r="K16" s="14">
        <f>SUM('RallyGully I Sector 10 Dwarka'!K4+'RallyGully I Sector 83 Gurgaon'!K4+'RallyGully I East of Kailash'!K4+'RallyGully I Sector 19 Dwarka'!K4+'RallyGully | LCR Pune'!K4+'RallyGully | DPSG'!K4+'RallyGully | Gandipath'!K4+'RallyGully | Panchsheel'!K4)</f>
        <v>82230</v>
      </c>
    </row>
    <row r="17" outlineLevel="1">
      <c r="A17" s="46">
        <v>1.2</v>
      </c>
      <c r="B17" s="88" t="s">
        <v>23</v>
      </c>
      <c r="C17" s="14">
        <f>SUM('RallyGully I Sector 10 Dwarka'!C5+'RallyGully I Sector 83 Gurgaon'!C5+'RallyGully I East of Kailash'!C5+'RallyGully I Sector 19 Dwarka'!C5+'RallyGully | LCR Pune'!C5+'RallyGully | DPSG'!C5+'RallyGully | Gandipath'!C5+'RallyGully | Panchsheel'!C5)</f>
        <v>360</v>
      </c>
      <c r="D17" s="14">
        <f>SUM('RallyGully I Sector 10 Dwarka'!D5+'RallyGully I Sector 83 Gurgaon'!D5+'RallyGully I East of Kailash'!D5+'RallyGully I Sector 19 Dwarka'!D5+'RallyGully | LCR Pune'!D5+'RallyGully | DPSG'!D5+'RallyGully | Gandipath'!D5+'RallyGully | Panchsheel'!D5)</f>
        <v>1920</v>
      </c>
      <c r="E17" s="14">
        <f>SUM('RallyGully I Sector 10 Dwarka'!E5+'RallyGully I Sector 83 Gurgaon'!E5+'RallyGully I East of Kailash'!E5+'RallyGully I Sector 19 Dwarka'!E5+'RallyGully | LCR Pune'!E5+'RallyGully | DPSG'!E5+'RallyGully | Gandipath'!E5+'RallyGully | Panchsheel'!E5)</f>
        <v>4400</v>
      </c>
      <c r="F17" s="14">
        <f>SUM('RallyGully I Sector 10 Dwarka'!F5+'RallyGully I Sector 83 Gurgaon'!F5+'RallyGully I East of Kailash'!F5+'RallyGully I Sector 19 Dwarka'!F5+'RallyGully | LCR Pune'!F5+'RallyGully | DPSG'!F5+'RallyGully | Gandipath'!F5+'RallyGully | Panchsheel'!F5)</f>
        <v>2490</v>
      </c>
      <c r="G17" s="14">
        <f>SUM('RallyGully I Sector 10 Dwarka'!G5+'RallyGully I Sector 83 Gurgaon'!G5+'RallyGully I East of Kailash'!G5+'RallyGully I Sector 19 Dwarka'!G5+'RallyGully | LCR Pune'!G5+'RallyGully | DPSG'!G5+'RallyGully | Gandipath'!G5+'RallyGully | Panchsheel'!G5)</f>
        <v>1890</v>
      </c>
      <c r="H17" s="14">
        <f>SUM('RallyGully I Sector 10 Dwarka'!H5+'RallyGully I Sector 83 Gurgaon'!H5+'RallyGully I East of Kailash'!H5+'RallyGully I Sector 19 Dwarka'!H5+'RallyGully | LCR Pune'!H5+'RallyGully | DPSG'!H5+'RallyGully | Gandipath'!H5+'RallyGully | Panchsheel'!H5)</f>
        <v>5260</v>
      </c>
      <c r="I17" s="14">
        <f>SUM('RallyGully I Sector 10 Dwarka'!I5+'RallyGully I Sector 83 Gurgaon'!I5+'RallyGully I East of Kailash'!I5+'RallyGully I Sector 19 Dwarka'!I5+'RallyGully | LCR Pune'!I5+'RallyGully | DPSG'!I5+'RallyGully | Gandipath'!I5+'RallyGully | Panchsheel'!I5)</f>
        <v>4055</v>
      </c>
      <c r="J17" s="14">
        <f>SUM('RallyGully I Sector 10 Dwarka'!J5+'RallyGully I Sector 83 Gurgaon'!J5+'RallyGully I East of Kailash'!J5+'RallyGully I Sector 19 Dwarka'!J5+'RallyGully | LCR Pune'!J5+'RallyGully | DPSG'!J5+'RallyGully | Gandipath'!J5+'RallyGully | Panchsheel'!J5)</f>
        <v>5445</v>
      </c>
      <c r="K17" s="14">
        <f>SUM('RallyGully I Sector 10 Dwarka'!K5+'RallyGully I Sector 83 Gurgaon'!K5+'RallyGully I East of Kailash'!K5+'RallyGully I Sector 19 Dwarka'!K5+'RallyGully | LCR Pune'!K5+'RallyGully | DPSG'!K5+'RallyGully | Gandipath'!K5+'RallyGully | Panchsheel'!K5)</f>
        <v>3825</v>
      </c>
    </row>
    <row r="18" outlineLevel="1">
      <c r="A18" s="46">
        <v>1.3</v>
      </c>
      <c r="B18" s="88" t="s">
        <v>25</v>
      </c>
      <c r="C18" s="14">
        <f>SUM('RallyGully I Sector 10 Dwarka'!C6+'RallyGully I Sector 83 Gurgaon'!C6+'RallyGully I East of Kailash'!C6+'RallyGully I Sector 19 Dwarka'!C6+'RallyGully | LCR Pune'!C6+'RallyGully | DPSG'!C6+'RallyGully | Gandipath'!C6+'RallyGully | Panchsheel'!C6)</f>
        <v>0</v>
      </c>
      <c r="D18" s="14">
        <f>SUM('RallyGully I Sector 10 Dwarka'!D6+'RallyGully I Sector 83 Gurgaon'!D6+'RallyGully I East of Kailash'!D6+'RallyGully I Sector 19 Dwarka'!D6+'RallyGully | LCR Pune'!D6+'RallyGully | DPSG'!D6+'RallyGully | Gandipath'!D6+'RallyGully | Panchsheel'!D6)</f>
        <v>0</v>
      </c>
      <c r="E18" s="14">
        <f>SUM('RallyGully I Sector 10 Dwarka'!E6+'RallyGully I Sector 83 Gurgaon'!E6+'RallyGully I East of Kailash'!E6+'RallyGully I Sector 19 Dwarka'!E6+'RallyGully | LCR Pune'!E6+'RallyGully | DPSG'!E6+'RallyGully | Gandipath'!E6+'RallyGully | Panchsheel'!E6)</f>
        <v>12050</v>
      </c>
      <c r="F18" s="14">
        <f>SUM('RallyGully I Sector 10 Dwarka'!F6+'RallyGully I Sector 83 Gurgaon'!F6+'RallyGully I East of Kailash'!F6+'RallyGully I Sector 19 Dwarka'!F6+'RallyGully | LCR Pune'!F6+'RallyGully | DPSG'!F6+'RallyGully | Gandipath'!F6+'RallyGully | Panchsheel'!F6)</f>
        <v>0</v>
      </c>
      <c r="G18" s="14">
        <f>SUM('RallyGully I Sector 10 Dwarka'!G6+'RallyGully I Sector 83 Gurgaon'!G6+'RallyGully I East of Kailash'!G6+'RallyGully I Sector 19 Dwarka'!G6+'RallyGully | LCR Pune'!G6+'RallyGully | DPSG'!G6+'RallyGully | Gandipath'!G6+'RallyGully | Panchsheel'!G6)</f>
        <v>0</v>
      </c>
      <c r="H18" s="14">
        <f>SUM('RallyGully I Sector 10 Dwarka'!H6+'RallyGully I Sector 83 Gurgaon'!H6+'RallyGully I East of Kailash'!H6+'RallyGully I Sector 19 Dwarka'!H6+'RallyGully | LCR Pune'!H6+'RallyGully | DPSG'!H6+'RallyGully | Gandipath'!H6+'RallyGully | Panchsheel'!H6)</f>
        <v>0</v>
      </c>
      <c r="I18" s="14">
        <f>SUM('RallyGully I Sector 10 Dwarka'!I6+'RallyGully I Sector 83 Gurgaon'!I6+'RallyGully I East of Kailash'!I6+'RallyGully I Sector 19 Dwarka'!I6+'RallyGully | LCR Pune'!I6+'RallyGully | DPSG'!I6+'RallyGully | Gandipath'!I6+'RallyGully | Panchsheel'!I6)</f>
        <v>18000</v>
      </c>
      <c r="J18" s="14">
        <f>SUM('RallyGully I Sector 10 Dwarka'!J6+'RallyGully I Sector 83 Gurgaon'!J6+'RallyGully I East of Kailash'!J6+'RallyGully I Sector 19 Dwarka'!J6+'RallyGully | LCR Pune'!J6+'RallyGully | DPSG'!J6+'RallyGully | Gandipath'!J6+'RallyGully | Panchsheel'!J6)</f>
        <v>0</v>
      </c>
      <c r="K18" s="14">
        <f>SUM('RallyGully I Sector 10 Dwarka'!K6+'RallyGully I Sector 83 Gurgaon'!K6+'RallyGully I East of Kailash'!K6+'RallyGully I Sector 19 Dwarka'!K6+'RallyGully | LCR Pune'!K6+'RallyGully | DPSG'!K6+'RallyGully | Gandipath'!K6+'RallyGully | Panchsheel'!K6)</f>
        <v>0</v>
      </c>
    </row>
    <row r="19" outlineLevel="1">
      <c r="A19" s="46">
        <v>1.4</v>
      </c>
      <c r="B19" s="88" t="s">
        <v>26</v>
      </c>
      <c r="C19" s="14">
        <f>SUM('RallyGully I Sector 10 Dwarka'!C7+'RallyGully I Sector 83 Gurgaon'!C7+'RallyGully I East of Kailash'!C7+'RallyGully I Sector 19 Dwarka'!C7+'RallyGully | LCR Pune'!C7+'RallyGully | DPSG'!C7+'RallyGully | Gandipath'!C7+'RallyGully | Panchsheel'!C7)</f>
        <v>0</v>
      </c>
      <c r="D19" s="14">
        <f>SUM('RallyGully I Sector 10 Dwarka'!D7+'RallyGully I Sector 83 Gurgaon'!D7+'RallyGully I East of Kailash'!D7+'RallyGully I Sector 19 Dwarka'!D7+'RallyGully | LCR Pune'!D7+'RallyGully | DPSG'!D7+'RallyGully | Gandipath'!D7+'RallyGully | Panchsheel'!D7)</f>
        <v>33540</v>
      </c>
      <c r="E19" s="14">
        <f>SUM('RallyGully I Sector 10 Dwarka'!E7+'RallyGully I Sector 83 Gurgaon'!E7+'RallyGully I East of Kailash'!E7+'RallyGully I Sector 19 Dwarka'!E7+'RallyGully | LCR Pune'!E7+'RallyGully | DPSG'!E7+'RallyGully | Gandipath'!E7+'RallyGully | Panchsheel'!E7)</f>
        <v>100790</v>
      </c>
      <c r="F19" s="14">
        <f>SUM('RallyGully I Sector 10 Dwarka'!F7+'RallyGully I Sector 83 Gurgaon'!F7+'RallyGully I East of Kailash'!F7+'RallyGully I Sector 19 Dwarka'!F7+'RallyGully | LCR Pune'!F7+'RallyGully | DPSG'!F7+'RallyGully | Gandipath'!F7+'RallyGully | Panchsheel'!F7)</f>
        <v>40710</v>
      </c>
      <c r="G19" s="14">
        <f>SUM('RallyGully I Sector 10 Dwarka'!G7+'RallyGully I Sector 83 Gurgaon'!G7+'RallyGully I East of Kailash'!G7+'RallyGully I Sector 19 Dwarka'!G7+'RallyGully | LCR Pune'!G7+'RallyGully | DPSG'!G7+'RallyGully | Gandipath'!G7+'RallyGully | Panchsheel'!G7)</f>
        <v>145784</v>
      </c>
      <c r="H19" s="14">
        <f>SUM('RallyGully I Sector 10 Dwarka'!H7+'RallyGully I Sector 83 Gurgaon'!H7+'RallyGully I East of Kailash'!H7+'RallyGully I Sector 19 Dwarka'!H7+'RallyGully | LCR Pune'!H7+'RallyGully | DPSG'!H7+'RallyGully | Gandipath'!H7+'RallyGully | Panchsheel'!H7)</f>
        <v>203477</v>
      </c>
      <c r="I19" s="14">
        <f>SUM('RallyGully I Sector 10 Dwarka'!I7+'RallyGully I Sector 83 Gurgaon'!I7+'RallyGully I East of Kailash'!I7+'RallyGully I Sector 19 Dwarka'!I7+'RallyGully | LCR Pune'!I7+'RallyGully | DPSG'!I7+'RallyGully | Gandipath'!I7+'RallyGully | Panchsheel'!I7)</f>
        <v>367975</v>
      </c>
      <c r="J19" s="14">
        <f>SUM('RallyGully I Sector 10 Dwarka'!J7+'RallyGully I Sector 83 Gurgaon'!J7+'RallyGully I East of Kailash'!J7+'RallyGully I Sector 19 Dwarka'!J7+'RallyGully | LCR Pune'!J7+'RallyGully | DPSG'!J7+'RallyGully | Gandipath'!J7+'RallyGully | Panchsheel'!J7)</f>
        <v>415905</v>
      </c>
      <c r="K19" s="14">
        <f>SUM('RallyGully I Sector 10 Dwarka'!K7+'RallyGully I Sector 83 Gurgaon'!K7+'RallyGully I East of Kailash'!K7+'RallyGully I Sector 19 Dwarka'!K7+'RallyGully | LCR Pune'!K7+'RallyGully | DPSG'!K7+'RallyGully | Gandipath'!K7+'RallyGully | Panchsheel'!K7)</f>
        <v>410475</v>
      </c>
    </row>
    <row r="20">
      <c r="A20" s="46">
        <v>2.0</v>
      </c>
      <c r="B20" s="68" t="s">
        <v>28</v>
      </c>
      <c r="C20" s="14">
        <f>SUM('RallyGully I Sector 10 Dwarka'!C8+'RallyGully I Sector 83 Gurgaon'!C8+'RallyGully I East of Kailash'!C8+'RallyGully I Sector 19 Dwarka'!C8+'RallyGully | LCR Pune'!C8+'RallyGully | DPSG'!C8+'RallyGully | Gandipath'!C8+'RallyGully | Panchsheel'!C8)</f>
        <v>88280</v>
      </c>
      <c r="D20" s="14">
        <f>SUM('RallyGully I Sector 10 Dwarka'!D8+'RallyGully I Sector 83 Gurgaon'!D8+'RallyGully I East of Kailash'!D8+'RallyGully I Sector 19 Dwarka'!D8+'RallyGully | LCR Pune'!D8+'RallyGully | DPSG'!D8+'RallyGully | Gandipath'!D8+'RallyGully | Panchsheel'!D8)</f>
        <v>220132</v>
      </c>
      <c r="E20" s="14">
        <f>SUM('RallyGully I Sector 10 Dwarka'!E8+'RallyGully I Sector 83 Gurgaon'!E8+'RallyGully I East of Kailash'!E8+'RallyGully I Sector 19 Dwarka'!E8+'RallyGully | LCR Pune'!E8+'RallyGully | DPSG'!E8+'RallyGully | Gandipath'!E8+'RallyGully | Panchsheel'!E8)</f>
        <v>282863.8</v>
      </c>
      <c r="F20" s="14">
        <f>SUM('RallyGully I Sector 10 Dwarka'!F8+'RallyGully I Sector 83 Gurgaon'!F8+'RallyGully I East of Kailash'!F8+'RallyGully I Sector 19 Dwarka'!F8+'RallyGully | LCR Pune'!F8+'RallyGully | DPSG'!F8+'RallyGully | Gandipath'!F8+'RallyGully | Panchsheel'!F8)</f>
        <v>299312.6</v>
      </c>
      <c r="G20" s="14">
        <f>SUM('RallyGully I Sector 10 Dwarka'!G8+'RallyGully I Sector 83 Gurgaon'!G8+'RallyGully I East of Kailash'!G8+'RallyGully I Sector 19 Dwarka'!G8+'RallyGully | LCR Pune'!G8+'RallyGully | DPSG'!G8+'RallyGully | Gandipath'!G8+'RallyGully | Panchsheel'!G8)</f>
        <v>262229</v>
      </c>
      <c r="H20" s="14">
        <f>SUM('RallyGully I Sector 10 Dwarka'!H8+'RallyGully I Sector 83 Gurgaon'!H8+'RallyGully I East of Kailash'!H8+'RallyGully I Sector 19 Dwarka'!H8+'RallyGully | LCR Pune'!H8+'RallyGully | DPSG'!H8+'RallyGully | Gandipath'!H8+'RallyGully | Panchsheel'!H8)</f>
        <v>281135</v>
      </c>
      <c r="I20" s="14">
        <f>SUM('RallyGully I Sector 10 Dwarka'!I8+'RallyGully I Sector 83 Gurgaon'!I8+'RallyGully I East of Kailash'!I8+'RallyGully I Sector 19 Dwarka'!I8+'RallyGully | LCR Pune'!I8+'RallyGully | DPSG'!I8+'RallyGully | Gandipath'!I8+'RallyGully | Panchsheel'!I8)</f>
        <v>520434</v>
      </c>
      <c r="J20" s="14">
        <f>SUM('RallyGully I Sector 10 Dwarka'!J8+'RallyGully I Sector 83 Gurgaon'!J8+'RallyGully I East of Kailash'!J8+'RallyGully I Sector 19 Dwarka'!J8+'RallyGully | LCR Pune'!J8+'RallyGully | DPSG'!J8+'RallyGully | Gandipath'!J8+'RallyGully | Panchsheel'!J8+'Powerplay Park, Pune'!J8+'Commons, Noida'!J8)</f>
        <v>603109</v>
      </c>
      <c r="K20" s="14">
        <f>SUM('RallyGully I Sector 10 Dwarka'!K8+'RallyGully I Sector 83 Gurgaon'!K8+'RallyGully I East of Kailash'!K8+'RallyGully I Sector 19 Dwarka'!K8+'RallyGully | LCR Pune'!K8+'RallyGully | DPSG'!K8+'RallyGully | Gandipath'!K8+'RallyGully | Panchsheel'!K8+'Powerplay Park, Pune'!K8+'Commons, Noida'!K8)</f>
        <v>861713</v>
      </c>
    </row>
    <row r="21" outlineLevel="1">
      <c r="A21" s="46">
        <v>2.1</v>
      </c>
      <c r="B21" s="22" t="s">
        <v>33</v>
      </c>
      <c r="C21" s="14">
        <f>SUM('RallyGully I Sector 10 Dwarka'!C9+'RallyGully I Sector 83 Gurgaon'!C9+'RallyGully I East of Kailash'!C9+'RallyGully I Sector 19 Dwarka'!C9+'RallyGully | LCR Pune'!C9+'RallyGully | DPSG'!C9+'RallyGully | Gandipath'!C9+'RallyGully | Panchsheel'!C9)</f>
        <v>73440</v>
      </c>
      <c r="D21" s="14">
        <f>SUM('RallyGully I Sector 10 Dwarka'!D9+'RallyGully I Sector 83 Gurgaon'!D9+'RallyGully I East of Kailash'!D9+'RallyGully I Sector 19 Dwarka'!D9+'RallyGully | LCR Pune'!D9+'RallyGully | DPSG'!D9+'RallyGully | Gandipath'!D9+'RallyGully | Panchsheel'!D9)</f>
        <v>162660</v>
      </c>
      <c r="E21" s="14">
        <f>SUM('RallyGully I Sector 10 Dwarka'!E9+'RallyGully I Sector 83 Gurgaon'!E9+'RallyGully I East of Kailash'!E9+'RallyGully I Sector 19 Dwarka'!E9+'RallyGully | LCR Pune'!E9+'RallyGully | DPSG'!E9+'RallyGully | Gandipath'!E9+'RallyGully | Panchsheel'!E9)</f>
        <v>244051</v>
      </c>
      <c r="F21" s="14">
        <f>SUM('RallyGully I Sector 10 Dwarka'!F9+'RallyGully I Sector 83 Gurgaon'!F9+'RallyGully I East of Kailash'!F9+'RallyGully I Sector 19 Dwarka'!F9+'RallyGully | LCR Pune'!F9+'RallyGully | DPSG'!F9+'RallyGully | Gandipath'!F9+'RallyGully | Panchsheel'!F9)</f>
        <v>257545</v>
      </c>
      <c r="G21" s="14">
        <f>SUM('RallyGully I Sector 10 Dwarka'!G9+'RallyGully I Sector 83 Gurgaon'!G9+'RallyGully I East of Kailash'!G9+'RallyGully I Sector 19 Dwarka'!G9+'RallyGully | LCR Pune'!G9+'RallyGully | DPSG'!G9+'RallyGully | Gandipath'!G9+'RallyGully | Panchsheel'!G9)</f>
        <v>201485</v>
      </c>
      <c r="H21" s="14">
        <f>SUM('RallyGully I Sector 10 Dwarka'!H9+'RallyGully I Sector 83 Gurgaon'!H9+'RallyGully I East of Kailash'!H9+'RallyGully I Sector 19 Dwarka'!H9+'RallyGully | LCR Pune'!H9+'RallyGully | DPSG'!H9+'RallyGully | Gandipath'!H9+'RallyGully | Panchsheel'!H9)</f>
        <v>173633</v>
      </c>
      <c r="I21" s="14">
        <f>SUM('RallyGully I Sector 10 Dwarka'!I9+'RallyGully I Sector 83 Gurgaon'!I9+'RallyGully I East of Kailash'!I9+'RallyGully I Sector 19 Dwarka'!I9+'RallyGully | LCR Pune'!I9+'RallyGully | DPSG'!I9+'RallyGully | Gandipath'!I9+'RallyGully | Panchsheel'!I9)</f>
        <v>263500</v>
      </c>
      <c r="J21" s="14">
        <f>SUM('RallyGully I Sector 10 Dwarka'!J9+'RallyGully I Sector 83 Gurgaon'!J9+'RallyGully I East of Kailash'!J9+'RallyGully I Sector 19 Dwarka'!J9+'RallyGully | LCR Pune'!J9+'RallyGully | DPSG'!J9+'RallyGully | Gandipath'!J9+'RallyGully | Panchsheel'!J9+'Powerplay Park, Pune'!J9+'Commons, Noida'!J9)</f>
        <v>263802</v>
      </c>
      <c r="K21" s="14">
        <f>SUM('RallyGully I Sector 10 Dwarka'!K9+'RallyGully I Sector 83 Gurgaon'!K9+'RallyGully I East of Kailash'!K9+'RallyGully I Sector 19 Dwarka'!K9+'RallyGully | LCR Pune'!K9+'RallyGully | DPSG'!K9+'RallyGully | Gandipath'!K9+'RallyGully | Panchsheel'!K9+'Powerplay Park, Pune'!K9+'Commons, Noida'!K9)</f>
        <v>377943</v>
      </c>
    </row>
    <row r="22" outlineLevel="1">
      <c r="A22" s="46">
        <v>2.2</v>
      </c>
      <c r="B22" s="22" t="s">
        <v>34</v>
      </c>
      <c r="C22" s="14">
        <f>SUM('RallyGully I Sector 10 Dwarka'!C10+'RallyGully I Sector 83 Gurgaon'!C10+'RallyGully I East of Kailash'!C10+'RallyGully I Sector 19 Dwarka'!C10+'RallyGully | LCR Pune'!C10+'RallyGully | DPSG'!C10+'RallyGully | Gandipath'!C10+'RallyGully | Panchsheel'!C10)</f>
        <v>14840</v>
      </c>
      <c r="D22" s="14">
        <f>SUM('RallyGully I Sector 10 Dwarka'!D10+'RallyGully I Sector 83 Gurgaon'!D10+'RallyGully I East of Kailash'!D10+'RallyGully I Sector 19 Dwarka'!D10+'RallyGully | LCR Pune'!D10+'RallyGully | DPSG'!D10+'RallyGully | Gandipath'!D10+'RallyGully | Panchsheel'!D10)</f>
        <v>46790</v>
      </c>
      <c r="E22" s="14">
        <f>SUM('RallyGully I Sector 10 Dwarka'!E10+'RallyGully I Sector 83 Gurgaon'!E10+'RallyGully I East of Kailash'!E10+'RallyGully I Sector 19 Dwarka'!E10+'RallyGully | LCR Pune'!E10+'RallyGully | DPSG'!E10+'RallyGully | Gandipath'!E10+'RallyGully | Panchsheel'!E10)</f>
        <v>32658.8</v>
      </c>
      <c r="F22" s="14">
        <f>SUM('RallyGully I Sector 10 Dwarka'!F10+'RallyGully I Sector 83 Gurgaon'!F10+'RallyGully I East of Kailash'!F10+'RallyGully I Sector 19 Dwarka'!F10+'RallyGully | LCR Pune'!F10+'RallyGully | DPSG'!F10+'RallyGully | Gandipath'!F10+'RallyGully | Panchsheel'!F10)</f>
        <v>30067.6</v>
      </c>
      <c r="G22" s="14">
        <f>SUM('RallyGully I Sector 10 Dwarka'!G10+'RallyGully I Sector 83 Gurgaon'!G10+'RallyGully I East of Kailash'!G10+'RallyGully I Sector 19 Dwarka'!G10+'RallyGully | LCR Pune'!G10+'RallyGully | DPSG'!G10+'RallyGully | Gandipath'!G10+'RallyGully | Panchsheel'!G10)</f>
        <v>27305</v>
      </c>
      <c r="H22" s="14">
        <f>SUM('RallyGully I Sector 10 Dwarka'!H10+'RallyGully I Sector 83 Gurgaon'!H10+'RallyGully I East of Kailash'!H10+'RallyGully I Sector 19 Dwarka'!H10+'RallyGully | LCR Pune'!H10+'RallyGully | DPSG'!H10+'RallyGully | Gandipath'!H10+'RallyGully | Panchsheel'!H10)</f>
        <v>45577</v>
      </c>
      <c r="I22" s="14">
        <f>SUM('RallyGully I Sector 10 Dwarka'!I10+'RallyGully I Sector 83 Gurgaon'!I10+'RallyGully I East of Kailash'!I10+'RallyGully I Sector 19 Dwarka'!I10+'RallyGully | LCR Pune'!I10+'RallyGully | DPSG'!I10+'RallyGully | Gandipath'!I10+'RallyGully | Panchsheel'!I10)</f>
        <v>93017</v>
      </c>
      <c r="J22" s="14">
        <f>SUM('RallyGully I Sector 10 Dwarka'!J10+'RallyGully I Sector 83 Gurgaon'!J10+'RallyGully I East of Kailash'!J10+'RallyGully I Sector 19 Dwarka'!J10+'RallyGully | LCR Pune'!J10+'RallyGully | DPSG'!J10+'RallyGully | Gandipath'!J10+'RallyGully | Panchsheel'!J10+'Powerplay Park, Pune'!J10+'Commons, Noida'!J10)</f>
        <v>87503</v>
      </c>
      <c r="K22" s="14">
        <f>SUM('RallyGully I Sector 10 Dwarka'!K10+'RallyGully I Sector 83 Gurgaon'!K10+'RallyGully I East of Kailash'!K10+'RallyGully I Sector 19 Dwarka'!K10+'RallyGully | LCR Pune'!K10+'RallyGully | DPSG'!K10+'RallyGully | Gandipath'!K10+'RallyGully | Panchsheel'!K10+'Powerplay Park, Pune'!K10+'Commons, Noida'!K10)</f>
        <v>123355</v>
      </c>
    </row>
    <row r="23" outlineLevel="1">
      <c r="A23" s="46">
        <v>2.3</v>
      </c>
      <c r="B23" s="88" t="s">
        <v>36</v>
      </c>
      <c r="C23" s="14">
        <f>SUM('RallyGully I Sector 10 Dwarka'!C11+'RallyGully I Sector 83 Gurgaon'!C11+'RallyGully I East of Kailash'!C11+'RallyGully I Sector 19 Dwarka'!C11+'RallyGully | LCR Pune'!C11+'RallyGully | DPSG'!C11+'RallyGully | Gandipath'!C11+'RallyGully | Panchsheel'!C11)</f>
        <v>0</v>
      </c>
      <c r="D23" s="14">
        <f>SUM('RallyGully I Sector 10 Dwarka'!D11+'RallyGully I Sector 83 Gurgaon'!D11+'RallyGully I East of Kailash'!D11+'RallyGully I Sector 19 Dwarka'!D11+'RallyGully | LCR Pune'!D11+'RallyGully | DPSG'!D11+'RallyGully | Gandipath'!D11+'RallyGully | Panchsheel'!D11)</f>
        <v>0</v>
      </c>
      <c r="E23" s="14">
        <f>SUM('RallyGully I Sector 10 Dwarka'!E11+'RallyGully I Sector 83 Gurgaon'!E11+'RallyGully I East of Kailash'!E11+'RallyGully I Sector 19 Dwarka'!E11+'RallyGully | LCR Pune'!E11+'RallyGully | DPSG'!E11+'RallyGully | Gandipath'!E11+'RallyGully | Panchsheel'!E11)</f>
        <v>0</v>
      </c>
      <c r="F23" s="14">
        <f>SUM('RallyGully I Sector 10 Dwarka'!F11+'RallyGully I Sector 83 Gurgaon'!F11+'RallyGully I East of Kailash'!F11+'RallyGully I Sector 19 Dwarka'!F11+'RallyGully | LCR Pune'!F11+'RallyGully | DPSG'!F11+'RallyGully | Gandipath'!F11+'RallyGully | Panchsheel'!F11)</f>
        <v>1200</v>
      </c>
      <c r="G23" s="14">
        <f>SUM('RallyGully I Sector 10 Dwarka'!G11+'RallyGully I Sector 83 Gurgaon'!G11+'RallyGully I East of Kailash'!G11+'RallyGully I Sector 19 Dwarka'!G11+'RallyGully | LCR Pune'!G11+'RallyGully | DPSG'!G11+'RallyGully | Gandipath'!G11+'RallyGully | Panchsheel'!G11)</f>
        <v>3106</v>
      </c>
      <c r="H23" s="14">
        <f>SUM('RallyGully I Sector 10 Dwarka'!H11+'RallyGully I Sector 83 Gurgaon'!H11+'RallyGully I East of Kailash'!H11+'RallyGully I Sector 19 Dwarka'!H11+'RallyGully | LCR Pune'!H11+'RallyGully | DPSG'!H11+'RallyGully | Gandipath'!H11+'RallyGully | Panchsheel'!H11)</f>
        <v>18150</v>
      </c>
      <c r="I23" s="14">
        <f>SUM('RallyGully I Sector 10 Dwarka'!I11+'RallyGully I Sector 83 Gurgaon'!I11+'RallyGully I East of Kailash'!I11+'RallyGully I Sector 19 Dwarka'!I11+'RallyGully | LCR Pune'!I11+'RallyGully | DPSG'!I11+'RallyGully | Gandipath'!I11+'RallyGully | Panchsheel'!I11)</f>
        <v>101150</v>
      </c>
      <c r="J23" s="14">
        <f>SUM('RallyGully I Sector 10 Dwarka'!J11+'RallyGully I Sector 83 Gurgaon'!J11+'RallyGully I East of Kailash'!J11+'RallyGully I Sector 19 Dwarka'!J11+'RallyGully | LCR Pune'!J11+'RallyGully | DPSG'!J11+'RallyGully | Gandipath'!J11+'RallyGully | Panchsheel'!J11+'Powerplay Park, Pune'!J11+'Commons, Noida'!J11)</f>
        <v>163600</v>
      </c>
      <c r="K23" s="14">
        <f>SUM('RallyGully I Sector 10 Dwarka'!K11+'RallyGully I Sector 83 Gurgaon'!K11+'RallyGully I East of Kailash'!K11+'RallyGully I Sector 19 Dwarka'!K11+'RallyGully | LCR Pune'!K11+'RallyGully | DPSG'!K11+'RallyGully | Gandipath'!K11+'RallyGully | Panchsheel'!K11+'Powerplay Park, Pune'!K11+'Commons, Noida'!K11)</f>
        <v>209600</v>
      </c>
    </row>
    <row r="24" outlineLevel="1">
      <c r="A24" s="46">
        <v>2.4</v>
      </c>
      <c r="B24" s="22" t="s">
        <v>37</v>
      </c>
      <c r="C24" s="14">
        <f>SUM('RallyGully I Sector 10 Dwarka'!C12+'RallyGully I Sector 83 Gurgaon'!C12+'RallyGully I East of Kailash'!C12+'RallyGully I Sector 19 Dwarka'!C12+'RallyGully | LCR Pune'!C12+'RallyGully | DPSG'!C12+'RallyGully | Gandipath'!C12+'RallyGully | Panchsheel'!C12)</f>
        <v>0</v>
      </c>
      <c r="D24" s="14">
        <f>SUM('RallyGully I Sector 10 Dwarka'!D12+'RallyGully I Sector 83 Gurgaon'!D12+'RallyGully I East of Kailash'!D12+'RallyGully I Sector 19 Dwarka'!D12+'RallyGully | LCR Pune'!D12+'RallyGully | DPSG'!D12+'RallyGully | Gandipath'!D12+'RallyGully | Panchsheel'!D12)</f>
        <v>10682</v>
      </c>
      <c r="E24" s="14">
        <f>SUM('RallyGully I Sector 10 Dwarka'!E12+'RallyGully I Sector 83 Gurgaon'!E12+'RallyGully I East of Kailash'!E12+'RallyGully I Sector 19 Dwarka'!E12+'RallyGully | LCR Pune'!E12+'RallyGully | DPSG'!E12+'RallyGully | Gandipath'!E12+'RallyGully | Panchsheel'!E12)</f>
        <v>6154</v>
      </c>
      <c r="F24" s="14">
        <f>SUM('RallyGully I Sector 10 Dwarka'!F12+'RallyGully I Sector 83 Gurgaon'!F12+'RallyGully I East of Kailash'!F12+'RallyGully I Sector 19 Dwarka'!F12+'RallyGully | LCR Pune'!F12+'RallyGully | DPSG'!F12+'RallyGully | Gandipath'!F12+'RallyGully | Panchsheel'!F12)</f>
        <v>10500</v>
      </c>
      <c r="G24" s="14">
        <f>SUM('RallyGully I Sector 10 Dwarka'!G12+'RallyGully I Sector 83 Gurgaon'!G12+'RallyGully I East of Kailash'!G12+'RallyGully I Sector 19 Dwarka'!G12+'RallyGully | LCR Pune'!G12+'RallyGully | DPSG'!G12+'RallyGully | Gandipath'!G12+'RallyGully | Panchsheel'!G12)</f>
        <v>30333</v>
      </c>
      <c r="H24" s="14">
        <f>SUM('RallyGully I Sector 10 Dwarka'!H12+'RallyGully I Sector 83 Gurgaon'!H12+'RallyGully I East of Kailash'!H12+'RallyGully I Sector 19 Dwarka'!H12+'RallyGully | LCR Pune'!H12+'RallyGully | DPSG'!H12+'RallyGully | Gandipath'!H12+'RallyGully | Panchsheel'!H12)</f>
        <v>42525</v>
      </c>
      <c r="I24" s="14">
        <f>SUM('RallyGully I Sector 10 Dwarka'!I12+'RallyGully I Sector 83 Gurgaon'!I12+'RallyGully I East of Kailash'!I12+'RallyGully I Sector 19 Dwarka'!I12+'RallyGully | LCR Pune'!I12+'RallyGully | DPSG'!I12+'RallyGully | Gandipath'!I12+'RallyGully | Panchsheel'!I12)</f>
        <v>37394</v>
      </c>
      <c r="J24" s="14">
        <f>SUM('RallyGully I Sector 10 Dwarka'!J12+'RallyGully I Sector 83 Gurgaon'!J12+'RallyGully I East of Kailash'!J12+'RallyGully I Sector 19 Dwarka'!J12+'RallyGully | LCR Pune'!J12+'RallyGully | DPSG'!J12+'RallyGully | Gandipath'!J12+'RallyGully | Panchsheel'!J12+'Powerplay Park, Pune'!J12+'Commons, Noida'!J12)</f>
        <v>47546</v>
      </c>
      <c r="K24" s="14">
        <f>SUM('RallyGully I Sector 10 Dwarka'!K12+'RallyGully I Sector 83 Gurgaon'!K12+'RallyGully I East of Kailash'!K12+'RallyGully I Sector 19 Dwarka'!K12+'RallyGully | LCR Pune'!K12+'RallyGully | DPSG'!K12+'RallyGully | Gandipath'!K12+'RallyGully | Panchsheel'!K12+'Powerplay Park, Pune'!K12+'Commons, Noida'!K12)</f>
        <v>55690</v>
      </c>
    </row>
    <row r="25" outlineLevel="1">
      <c r="A25" s="46">
        <v>2.5</v>
      </c>
      <c r="B25" s="88" t="s">
        <v>38</v>
      </c>
      <c r="C25" s="14">
        <f>SUM('RallyGully I Sector 10 Dwarka'!C13+'RallyGully I Sector 83 Gurgaon'!C13+'RallyGully I East of Kailash'!C13+'RallyGully I Sector 19 Dwarka'!C13+'RallyGully | LCR Pune'!C13+'RallyGully | DPSG'!C13+'RallyGully | Gandipath'!C13+'RallyGully | Panchsheel'!C13)</f>
        <v>0</v>
      </c>
      <c r="D25" s="14">
        <f>SUM('RallyGully I Sector 10 Dwarka'!D13+'RallyGully I Sector 83 Gurgaon'!D13+'RallyGully I East of Kailash'!D13+'RallyGully I Sector 19 Dwarka'!D13+'RallyGully | LCR Pune'!D13+'RallyGully | DPSG'!D13+'RallyGully | Gandipath'!D13+'RallyGully | Panchsheel'!D13)</f>
        <v>0</v>
      </c>
      <c r="E25" s="14">
        <f>SUM('RallyGully I Sector 10 Dwarka'!E13+'RallyGully I Sector 83 Gurgaon'!E13+'RallyGully I East of Kailash'!E13+'RallyGully I Sector 19 Dwarka'!E13+'RallyGully | LCR Pune'!E13+'RallyGully | DPSG'!E13+'RallyGully | Gandipath'!E13+'RallyGully | Panchsheel'!E13)</f>
        <v>0</v>
      </c>
      <c r="F25" s="14">
        <f>SUM('RallyGully I Sector 10 Dwarka'!F13+'RallyGully I Sector 83 Gurgaon'!F13+'RallyGully I East of Kailash'!F13+'RallyGully I Sector 19 Dwarka'!F13+'RallyGully | LCR Pune'!F13+'RallyGully | DPSG'!F13+'RallyGully | Gandipath'!F13+'RallyGully | Panchsheel'!F13)</f>
        <v>0</v>
      </c>
      <c r="G25" s="14">
        <f>SUM('RallyGully I Sector 10 Dwarka'!G13+'RallyGully I Sector 83 Gurgaon'!G13+'RallyGully I East of Kailash'!G13+'RallyGully I Sector 19 Dwarka'!G13+'RallyGully | LCR Pune'!G13+'RallyGully | DPSG'!G13+'RallyGully | Gandipath'!G13+'RallyGully | Panchsheel'!G13)</f>
        <v>0</v>
      </c>
      <c r="H25" s="14">
        <f>SUM('RallyGully I Sector 10 Dwarka'!H13+'RallyGully I Sector 83 Gurgaon'!H13+'RallyGully I East of Kailash'!H13+'RallyGully I Sector 19 Dwarka'!H13+'RallyGully | LCR Pune'!H13+'RallyGully | DPSG'!H13+'RallyGully | Gandipath'!H13+'RallyGully | Panchsheel'!H13)</f>
        <v>1250</v>
      </c>
      <c r="I25" s="14">
        <f>SUM('RallyGully I Sector 10 Dwarka'!I13+'RallyGully I Sector 83 Gurgaon'!I13+'RallyGully I East of Kailash'!I13+'RallyGully I Sector 19 Dwarka'!I13+'RallyGully | LCR Pune'!I13+'RallyGully | DPSG'!I13+'RallyGully | Gandipath'!I13+'RallyGully | Panchsheel'!I13)</f>
        <v>25373</v>
      </c>
      <c r="J25" s="14">
        <f>SUM('RallyGully I Sector 10 Dwarka'!J13+'RallyGully I Sector 83 Gurgaon'!J13+'RallyGully I East of Kailash'!J13+'RallyGully I Sector 19 Dwarka'!J13+'RallyGully | LCR Pune'!J13+'RallyGully | DPSG'!J13+'RallyGully | Gandipath'!J13+'RallyGully | Panchsheel'!J13+'Powerplay Park, Pune'!J13+'Commons, Noida'!J13)</f>
        <v>40658</v>
      </c>
      <c r="K25" s="14">
        <f>SUM('RallyGully I Sector 10 Dwarka'!K13+'RallyGully I Sector 83 Gurgaon'!K13+'RallyGully I East of Kailash'!K13+'RallyGully I Sector 19 Dwarka'!K13+'RallyGully | LCR Pune'!K13+'RallyGully | DPSG'!K13+'RallyGully | Gandipath'!K13+'RallyGully | Panchsheel'!K13+'Powerplay Park, Pune'!K13+'Commons, Noida'!K13)</f>
        <v>95125</v>
      </c>
    </row>
    <row r="26" collapsed="1">
      <c r="A26" s="46">
        <v>3.0</v>
      </c>
      <c r="B26" s="68" t="s">
        <v>39</v>
      </c>
      <c r="C26" s="14">
        <f>SUM('RallyGully I Sector 10 Dwarka'!C14+'RallyGully I Sector 83 Gurgaon'!C14+'RallyGully I East of Kailash'!C14+'RallyGully I Sector 19 Dwarka'!C14+'RallyGully | LCR Pune'!C14+'RallyGully | DPSG'!C14+'RallyGully | Gandipath'!C14+'RallyGully | Panchsheel'!C14)</f>
        <v>10500</v>
      </c>
      <c r="D26" s="14">
        <f>SUM('RallyGully I Sector 10 Dwarka'!D14+'RallyGully I Sector 83 Gurgaon'!D14+'RallyGully I East of Kailash'!D14+'RallyGully I Sector 19 Dwarka'!D14+'RallyGully | LCR Pune'!D14+'RallyGully | DPSG'!D14+'RallyGully | Gandipath'!D14+'RallyGully | Panchsheel'!D14)</f>
        <v>15087</v>
      </c>
      <c r="E26" s="14">
        <f>SUM('RallyGully I Sector 10 Dwarka'!E14+'RallyGully I Sector 83 Gurgaon'!E14+'RallyGully I East of Kailash'!E14+'RallyGully I Sector 19 Dwarka'!E14+'RallyGully | LCR Pune'!E14+'RallyGully | DPSG'!E14+'RallyGully | Gandipath'!E14+'RallyGully | Panchsheel'!E14)</f>
        <v>29490</v>
      </c>
      <c r="F26" s="14">
        <f>SUM('RallyGully I Sector 10 Dwarka'!F14+'RallyGully I Sector 83 Gurgaon'!F14+'RallyGully I East of Kailash'!F14+'RallyGully I Sector 19 Dwarka'!F14+'RallyGully | LCR Pune'!F14+'RallyGully | DPSG'!F14+'RallyGully | Gandipath'!F14+'RallyGully | Panchsheel'!F14)</f>
        <v>40340</v>
      </c>
      <c r="G26" s="14">
        <f>SUM('RallyGully I Sector 10 Dwarka'!G14+'RallyGully I Sector 83 Gurgaon'!G14+'RallyGully I East of Kailash'!G14+'RallyGully I Sector 19 Dwarka'!G14+'RallyGully | LCR Pune'!G14+'RallyGully | DPSG'!G14+'RallyGully | Gandipath'!G14+'RallyGully | Panchsheel'!G14)</f>
        <v>40260</v>
      </c>
      <c r="H26" s="14">
        <f>SUM('RallyGully I Sector 10 Dwarka'!H14+'RallyGully I Sector 83 Gurgaon'!H14+'RallyGully I East of Kailash'!H14+'RallyGully I Sector 19 Dwarka'!H14+'RallyGully | LCR Pune'!H14+'RallyGully | DPSG'!H14+'RallyGully | Gandipath'!H14+'RallyGully | Panchsheel'!H14)</f>
        <v>31109</v>
      </c>
      <c r="I26" s="14">
        <f>SUM('RallyGully I Sector 10 Dwarka'!I14+'RallyGully I Sector 83 Gurgaon'!I14+'RallyGully I East of Kailash'!I14+'RallyGully I Sector 19 Dwarka'!I14+'RallyGully | LCR Pune'!I14+'RallyGully | DPSG'!I14+'RallyGully | Gandipath'!I14+'RallyGully | Panchsheel'!I14)</f>
        <v>131439</v>
      </c>
      <c r="J26" s="14">
        <f>SUM('RallyGully I Sector 10 Dwarka'!J14+'RallyGully I Sector 83 Gurgaon'!J14+'RallyGully I East of Kailash'!J14+'RallyGully I Sector 19 Dwarka'!J14+'RallyGully | LCR Pune'!J14+'RallyGully | DPSG'!J14+'RallyGully | Gandipath'!J14+'RallyGully | Panchsheel'!J14+'Powerplay Park, Pune'!J14+'Commons, Noida'!J14)</f>
        <v>176514</v>
      </c>
      <c r="K26" s="14">
        <f>SUM('RallyGully I Sector 10 Dwarka'!K14+'RallyGully I Sector 83 Gurgaon'!K14+'RallyGully I East of Kailash'!K14+'RallyGully I Sector 19 Dwarka'!K14+'RallyGully | LCR Pune'!K14+'RallyGully | DPSG'!K14+'RallyGully | Gandipath'!K14+'RallyGully | Panchsheel'!K14+'Powerplay Park, Pune'!K14+'Commons, Noida'!K14)</f>
        <v>256304</v>
      </c>
    </row>
    <row r="27" hidden="1" outlineLevel="1">
      <c r="A27" s="46">
        <v>3.1</v>
      </c>
      <c r="B27" s="22" t="s">
        <v>42</v>
      </c>
      <c r="C27" s="14">
        <f>SUM('RallyGully I Sector 10 Dwarka'!C15+'RallyGully I Sector 83 Gurgaon'!C15+'RallyGully I East of Kailash'!C15+'RallyGully I Sector 19 Dwarka'!C15+'RallyGully | LCR Pune'!C15+'RallyGully | DPSG'!C15+'RallyGully | Gandipath'!C15+'RallyGully | Panchsheel'!C15)</f>
        <v>0</v>
      </c>
      <c r="D27" s="14">
        <f>SUM('RallyGully I Sector 10 Dwarka'!D15+'RallyGully I Sector 83 Gurgaon'!D15+'RallyGully I East of Kailash'!D15+'RallyGully I Sector 19 Dwarka'!D15+'RallyGully | LCR Pune'!D15+'RallyGully | DPSG'!D15+'RallyGully | Gandipath'!D15+'RallyGully | Panchsheel'!D15)</f>
        <v>0</v>
      </c>
      <c r="E27" s="14">
        <f>SUM('RallyGully I Sector 10 Dwarka'!E15+'RallyGully I Sector 83 Gurgaon'!E15+'RallyGully I East of Kailash'!E15+'RallyGully I Sector 19 Dwarka'!E15+'RallyGully | LCR Pune'!E15+'RallyGully | DPSG'!E15+'RallyGully | Gandipath'!E15+'RallyGully | Panchsheel'!E15)</f>
        <v>0</v>
      </c>
      <c r="F27" s="14">
        <f>SUM('RallyGully I Sector 10 Dwarka'!F15+'RallyGully I Sector 83 Gurgaon'!F15+'RallyGully I East of Kailash'!F15+'RallyGully I Sector 19 Dwarka'!F15+'RallyGully | LCR Pune'!F15+'RallyGully | DPSG'!F15+'RallyGully | Gandipath'!F15+'RallyGully | Panchsheel'!F15)</f>
        <v>0</v>
      </c>
      <c r="G27" s="14">
        <f>SUM('RallyGully I Sector 10 Dwarka'!G15+'RallyGully I Sector 83 Gurgaon'!G15+'RallyGully I East of Kailash'!G15+'RallyGully I Sector 19 Dwarka'!G15+'RallyGully | LCR Pune'!G15+'RallyGully | DPSG'!G15+'RallyGully | Gandipath'!G15+'RallyGully | Panchsheel'!G15)</f>
        <v>8500</v>
      </c>
      <c r="H27" s="14">
        <f>SUM('RallyGully I Sector 10 Dwarka'!H15+'RallyGully I Sector 83 Gurgaon'!H15+'RallyGully I East of Kailash'!H15+'RallyGully I Sector 19 Dwarka'!H15+'RallyGully | LCR Pune'!H15+'RallyGully | DPSG'!H15+'RallyGully | Gandipath'!H15+'RallyGully | Panchsheel'!H15)</f>
        <v>0</v>
      </c>
      <c r="I27" s="14">
        <f>SUM('RallyGully I Sector 10 Dwarka'!I15+'RallyGully I Sector 83 Gurgaon'!I15+'RallyGully I East of Kailash'!I15+'RallyGully I Sector 19 Dwarka'!I15+'RallyGully | LCR Pune'!I15+'RallyGully | DPSG'!I15+'RallyGully | Gandipath'!I15+'RallyGully | Panchsheel'!I15)</f>
        <v>38300</v>
      </c>
      <c r="J27" s="14">
        <f>SUM('RallyGully I Sector 10 Dwarka'!J15+'RallyGully I Sector 83 Gurgaon'!J15+'RallyGully I East of Kailash'!J15+'RallyGully I Sector 19 Dwarka'!J15+'RallyGully | LCR Pune'!J15+'RallyGully | DPSG'!J15+'RallyGully | Gandipath'!J15+'RallyGully | Panchsheel'!J15)</f>
        <v>55200</v>
      </c>
      <c r="K27" s="67"/>
    </row>
    <row r="28" hidden="1" outlineLevel="1">
      <c r="A28" s="46">
        <v>3.2</v>
      </c>
      <c r="B28" s="22" t="s">
        <v>44</v>
      </c>
      <c r="C28" s="14">
        <f>SUM('RallyGully I Sector 10 Dwarka'!C16+'RallyGully I Sector 83 Gurgaon'!C16+'RallyGully I East of Kailash'!C16+'RallyGully I Sector 19 Dwarka'!C16+'RallyGully | LCR Pune'!C16+'RallyGully | DPSG'!C16+'RallyGully | Gandipath'!C16+'RallyGully | Panchsheel'!C16)</f>
        <v>0</v>
      </c>
      <c r="D28" s="14">
        <f>SUM('RallyGully I Sector 10 Dwarka'!D16+'RallyGully I Sector 83 Gurgaon'!D16+'RallyGully I East of Kailash'!D16+'RallyGully I Sector 19 Dwarka'!D16+'RallyGully | LCR Pune'!D16+'RallyGully | DPSG'!D16+'RallyGully | Gandipath'!D16+'RallyGully | Panchsheel'!D16)</f>
        <v>0</v>
      </c>
      <c r="E28" s="14">
        <f>SUM('RallyGully I Sector 10 Dwarka'!E16+'RallyGully I Sector 83 Gurgaon'!E16+'RallyGully I East of Kailash'!E16+'RallyGully I Sector 19 Dwarka'!E16+'RallyGully | LCR Pune'!E16+'RallyGully | DPSG'!E16+'RallyGully | Gandipath'!E16+'RallyGully | Panchsheel'!E16)</f>
        <v>0</v>
      </c>
      <c r="F28" s="14">
        <f>SUM('RallyGully I Sector 10 Dwarka'!F16+'RallyGully I Sector 83 Gurgaon'!F16+'RallyGully I East of Kailash'!F16+'RallyGully I Sector 19 Dwarka'!F16+'RallyGully | LCR Pune'!F16+'RallyGully | DPSG'!F16+'RallyGully | Gandipath'!F16+'RallyGully | Panchsheel'!F16)</f>
        <v>0</v>
      </c>
      <c r="G28" s="14">
        <f>SUM('RallyGully I Sector 10 Dwarka'!G16+'RallyGully I Sector 83 Gurgaon'!G16+'RallyGully I East of Kailash'!G16+'RallyGully I Sector 19 Dwarka'!G16+'RallyGully | LCR Pune'!G16+'RallyGully | DPSG'!G16+'RallyGully | Gandipath'!G16+'RallyGully | Panchsheel'!G16)</f>
        <v>0</v>
      </c>
      <c r="H28" s="14">
        <f>SUM('RallyGully I Sector 10 Dwarka'!H16+'RallyGully I Sector 83 Gurgaon'!H16+'RallyGully I East of Kailash'!H16+'RallyGully I Sector 19 Dwarka'!H16+'RallyGully | LCR Pune'!H16+'RallyGully | DPSG'!H16+'RallyGully | Gandipath'!H16+'RallyGully | Panchsheel'!H16)</f>
        <v>23290</v>
      </c>
      <c r="I28" s="14">
        <f>SUM('RallyGully I Sector 10 Dwarka'!I16+'RallyGully I Sector 83 Gurgaon'!I16+'RallyGully I East of Kailash'!I16+'RallyGully I Sector 19 Dwarka'!I16+'RallyGully | LCR Pune'!I16+'RallyGully | DPSG'!I16+'RallyGully | Gandipath'!I16+'RallyGully | Panchsheel'!I16)</f>
        <v>13650</v>
      </c>
      <c r="J28" s="14">
        <f>SUM('RallyGully I Sector 10 Dwarka'!J16+'RallyGully I Sector 83 Gurgaon'!J16+'RallyGully I East of Kailash'!J16+'RallyGully I Sector 19 Dwarka'!J16+'RallyGully | LCR Pune'!J16+'RallyGully | DPSG'!J16+'RallyGully | Gandipath'!J16+'RallyGully | Panchsheel'!J16)</f>
        <v>42360</v>
      </c>
      <c r="K28" s="67"/>
    </row>
    <row r="29" hidden="1" outlineLevel="1">
      <c r="A29" s="46">
        <v>3.3</v>
      </c>
      <c r="B29" s="22" t="s">
        <v>45</v>
      </c>
      <c r="C29" s="14">
        <f>SUM('RallyGully I Sector 10 Dwarka'!C17+'RallyGully I Sector 83 Gurgaon'!C17+'RallyGully I East of Kailash'!C17+'RallyGully I Sector 19 Dwarka'!C17+'RallyGully | LCR Pune'!C17+'RallyGully | DPSG'!C17+'RallyGully | Gandipath'!C17+'RallyGully | Panchsheel'!C17)</f>
        <v>10500</v>
      </c>
      <c r="D29" s="14">
        <f>SUM('RallyGully I Sector 10 Dwarka'!D17+'RallyGully I Sector 83 Gurgaon'!D17+'RallyGully I East of Kailash'!D17+'RallyGully I Sector 19 Dwarka'!D17+'RallyGully | LCR Pune'!D17+'RallyGully | DPSG'!D17+'RallyGully | Gandipath'!D17+'RallyGully | Panchsheel'!D17)</f>
        <v>15087</v>
      </c>
      <c r="E29" s="14">
        <f>SUM('RallyGully I Sector 10 Dwarka'!E17+'RallyGully I Sector 83 Gurgaon'!E17+'RallyGully I East of Kailash'!E17+'RallyGully I Sector 19 Dwarka'!E17+'RallyGully | LCR Pune'!E17+'RallyGully | DPSG'!E17+'RallyGully | Gandipath'!E17+'RallyGully | Panchsheel'!E17)</f>
        <v>19900</v>
      </c>
      <c r="F29" s="14">
        <f>SUM('RallyGully I Sector 10 Dwarka'!F17+'RallyGully I Sector 83 Gurgaon'!F17+'RallyGully I East of Kailash'!F17+'RallyGully I Sector 19 Dwarka'!F17+'RallyGully | LCR Pune'!F17+'RallyGully | DPSG'!F17+'RallyGully | Gandipath'!F17+'RallyGully | Panchsheel'!F17)</f>
        <v>28350</v>
      </c>
      <c r="G29" s="14">
        <f>SUM('RallyGully I Sector 10 Dwarka'!G17+'RallyGully I Sector 83 Gurgaon'!G17+'RallyGully I East of Kailash'!G17+'RallyGully I Sector 19 Dwarka'!G17+'RallyGully | LCR Pune'!G17+'RallyGully | DPSG'!G17+'RallyGully | Gandipath'!G17+'RallyGully | Panchsheel'!G17)</f>
        <v>20780</v>
      </c>
      <c r="H29" s="14">
        <f>SUM('RallyGully I Sector 10 Dwarka'!H17+'RallyGully I Sector 83 Gurgaon'!H17+'RallyGully I East of Kailash'!H17+'RallyGully I Sector 19 Dwarka'!H17+'RallyGully | LCR Pune'!H17+'RallyGully | DPSG'!H17+'RallyGully | Gandipath'!H17+'RallyGully | Panchsheel'!H17)</f>
        <v>2510</v>
      </c>
      <c r="I29" s="14">
        <f>SUM('RallyGully I Sector 10 Dwarka'!I17+'RallyGully I Sector 83 Gurgaon'!I17+'RallyGully I East of Kailash'!I17+'RallyGully I Sector 19 Dwarka'!I17+'RallyGully | LCR Pune'!I17+'RallyGully | DPSG'!I17+'RallyGully | Gandipath'!I17+'RallyGully | Panchsheel'!I17)</f>
        <v>79489</v>
      </c>
      <c r="J29" s="14">
        <f>SUM('RallyGully I Sector 10 Dwarka'!J17+'RallyGully I Sector 83 Gurgaon'!J17+'RallyGully I East of Kailash'!J17+'RallyGully I Sector 19 Dwarka'!J17+'RallyGully | LCR Pune'!J17+'RallyGully | DPSG'!J17+'RallyGully | Gandipath'!J17+'RallyGully | Panchsheel'!J17)</f>
        <v>63275</v>
      </c>
      <c r="K29" s="67"/>
    </row>
    <row r="30" hidden="1" outlineLevel="1">
      <c r="A30" s="46">
        <v>3.4</v>
      </c>
      <c r="B30" s="22" t="s">
        <v>46</v>
      </c>
      <c r="C30" s="14">
        <f>SUM('RallyGully I Sector 10 Dwarka'!C18+'RallyGully I Sector 83 Gurgaon'!C18+'RallyGully I East of Kailash'!C18+'RallyGully I Sector 19 Dwarka'!C18+'RallyGully | LCR Pune'!C18+'RallyGully | DPSG'!C18+'RallyGully | Gandipath'!C18+'RallyGully | Panchsheel'!C18)</f>
        <v>0</v>
      </c>
      <c r="D30" s="14">
        <f>SUM('RallyGully I Sector 10 Dwarka'!D18+'RallyGully I Sector 83 Gurgaon'!D18+'RallyGully I East of Kailash'!D18+'RallyGully I Sector 19 Dwarka'!D18+'RallyGully | LCR Pune'!D18+'RallyGully | DPSG'!D18+'RallyGully | Gandipath'!D18+'RallyGully | Panchsheel'!D18)</f>
        <v>0</v>
      </c>
      <c r="E30" s="14">
        <f>SUM('RallyGully I Sector 10 Dwarka'!E18+'RallyGully I Sector 83 Gurgaon'!E18+'RallyGully I East of Kailash'!E18+'RallyGully I Sector 19 Dwarka'!E18+'RallyGully | LCR Pune'!E18+'RallyGully | DPSG'!E18+'RallyGully | Gandipath'!E18+'RallyGully | Panchsheel'!E18)</f>
        <v>9590</v>
      </c>
      <c r="F30" s="14">
        <f>SUM('RallyGully I Sector 10 Dwarka'!F18+'RallyGully I Sector 83 Gurgaon'!F18+'RallyGully I East of Kailash'!F18+'RallyGully I Sector 19 Dwarka'!F18+'RallyGully | LCR Pune'!F18+'RallyGully | DPSG'!F18+'RallyGully | Gandipath'!F18+'RallyGully | Panchsheel'!F18)</f>
        <v>11990</v>
      </c>
      <c r="G30" s="14">
        <f>SUM('RallyGully I Sector 10 Dwarka'!G18+'RallyGully I Sector 83 Gurgaon'!G18+'RallyGully I East of Kailash'!G18+'RallyGully I Sector 19 Dwarka'!G18+'RallyGully | LCR Pune'!G18+'RallyGully | DPSG'!G18+'RallyGully | Gandipath'!G18+'RallyGully | Panchsheel'!G18)</f>
        <v>10980</v>
      </c>
      <c r="H30" s="14">
        <f>SUM('RallyGully I Sector 10 Dwarka'!H18+'RallyGully I Sector 83 Gurgaon'!H18+'RallyGully I East of Kailash'!H18+'RallyGully I Sector 19 Dwarka'!H18+'RallyGully | LCR Pune'!H18+'RallyGully | DPSG'!H18+'RallyGully | Gandipath'!H18+'RallyGully | Panchsheel'!H18)</f>
        <v>5309</v>
      </c>
      <c r="I30" s="14">
        <f>SUM('RallyGully I Sector 10 Dwarka'!I18+'RallyGully I Sector 83 Gurgaon'!I18+'RallyGully I East of Kailash'!I18+'RallyGully I Sector 19 Dwarka'!I18+'RallyGully | LCR Pune'!I18+'RallyGully | DPSG'!I18+'RallyGully | Gandipath'!I18+'RallyGully | Panchsheel'!I18)</f>
        <v>0</v>
      </c>
      <c r="J30" s="14">
        <f>SUM('RallyGully I Sector 10 Dwarka'!J18+'RallyGully I Sector 83 Gurgaon'!J18+'RallyGully I East of Kailash'!J18+'RallyGully I Sector 19 Dwarka'!J18+'RallyGully | LCR Pune'!J18+'RallyGully | DPSG'!J18+'RallyGully | Gandipath'!J18+'RallyGully | Panchsheel'!J18)</f>
        <v>15679</v>
      </c>
      <c r="K30" s="67"/>
    </row>
    <row r="31">
      <c r="A31" s="46">
        <v>4.0</v>
      </c>
      <c r="B31" s="84" t="s">
        <v>48</v>
      </c>
      <c r="C31" s="14">
        <f>SUM('RallyGully I Sector 10 Dwarka'!C19+'RallyGully I Sector 83 Gurgaon'!C19+'RallyGully I East of Kailash'!C19+'RallyGully I Sector 19 Dwarka'!C19+'RallyGully | LCR Pune'!C19+'RallyGully | DPSG'!C19+'RallyGully | Gandipath'!C19+'RallyGully | Panchsheel'!C19)</f>
        <v>0</v>
      </c>
      <c r="D31" s="14">
        <f>SUM('RallyGully I Sector 10 Dwarka'!D19+'RallyGully I Sector 83 Gurgaon'!D19+'RallyGully I East of Kailash'!D19+'RallyGully I Sector 19 Dwarka'!D19+'RallyGully | LCR Pune'!D19+'RallyGully | DPSG'!D19+'RallyGully | Gandipath'!D19+'RallyGully | Panchsheel'!D19)</f>
        <v>50000</v>
      </c>
      <c r="E31" s="14">
        <f>SUM('RallyGully I Sector 10 Dwarka'!E19+'RallyGully I Sector 83 Gurgaon'!E19+'RallyGully I East of Kailash'!E19+'RallyGully I Sector 19 Dwarka'!E19+'RallyGully | LCR Pune'!E19+'RallyGully | DPSG'!E19+'RallyGully | Gandipath'!E19+'RallyGully | Panchsheel'!E19)</f>
        <v>27000</v>
      </c>
      <c r="F31" s="14">
        <f>SUM('RallyGully I Sector 10 Dwarka'!F19+'RallyGully I Sector 83 Gurgaon'!F19+'RallyGully I East of Kailash'!F19+'RallyGully I Sector 19 Dwarka'!F19+'RallyGully | LCR Pune'!F19+'RallyGully | DPSG'!F19+'RallyGully | Gandipath'!F19+'RallyGully | Panchsheel'!F19)</f>
        <v>91300</v>
      </c>
      <c r="G31" s="14">
        <f>SUM('RallyGully I Sector 10 Dwarka'!G19+'RallyGully I Sector 83 Gurgaon'!G19+'RallyGully I East of Kailash'!G19+'RallyGully I Sector 19 Dwarka'!G19+'RallyGully | LCR Pune'!G19+'RallyGully | DPSG'!G19+'RallyGully | Gandipath'!G19+'RallyGully | Panchsheel'!G19)</f>
        <v>74380</v>
      </c>
      <c r="H31" s="14">
        <f>SUM('RallyGully I Sector 10 Dwarka'!H19+'RallyGully I Sector 83 Gurgaon'!H19+'RallyGully I East of Kailash'!H19+'RallyGully I Sector 19 Dwarka'!H19+'RallyGully | LCR Pune'!H19+'RallyGully | DPSG'!H19+'RallyGully | Gandipath'!H19+'RallyGully | Panchsheel'!H19)</f>
        <v>99380</v>
      </c>
      <c r="I31" s="14">
        <f>SUM('RallyGully I Sector 10 Dwarka'!I19+'RallyGully I Sector 83 Gurgaon'!I19+'RallyGully I East of Kailash'!I19+'RallyGully I Sector 19 Dwarka'!I19+'RallyGully | LCR Pune'!I19+'RallyGully | DPSG'!I19+'RallyGully | Gandipath'!I19+'RallyGully | Panchsheel'!I19)</f>
        <v>79480</v>
      </c>
      <c r="J31" s="14">
        <f>SUM('RallyGully I Sector 10 Dwarka'!J19+'RallyGully I Sector 83 Gurgaon'!J19+'RallyGully I East of Kailash'!J19+'RallyGully I Sector 19 Dwarka'!J19+'RallyGully | LCR Pune'!J19+'RallyGully | DPSG'!J19+'RallyGully | Gandipath'!J19+'RallyGully | Panchsheel'!J19+'Powerplay Park, Pune'!J19+'Commons, Noida'!J19)</f>
        <v>141880</v>
      </c>
      <c r="K31" s="14">
        <f>SUM('RallyGully I Sector 10 Dwarka'!K19+'RallyGully I Sector 83 Gurgaon'!K19+'RallyGully I East of Kailash'!K19+'RallyGully I Sector 19 Dwarka'!K19+'RallyGully | LCR Pune'!K19+'RallyGully | DPSG'!K19+'RallyGully | Gandipath'!K19+'RallyGully | Panchsheel'!K19+'Powerplay Park, Pune'!K19+'Commons, Noida'!K19)</f>
        <v>109180</v>
      </c>
    </row>
    <row r="32">
      <c r="A32" s="46">
        <v>5.0</v>
      </c>
      <c r="B32" s="72" t="s">
        <v>49</v>
      </c>
      <c r="C32" s="14">
        <f>SUM('RallyGully I Sector 10 Dwarka'!C20+'RallyGully I Sector 83 Gurgaon'!C20+'RallyGully I East of Kailash'!C20+'RallyGully I Sector 19 Dwarka'!C20+'RallyGully | LCR Pune'!C20+'RallyGully | DPSG'!C20+'RallyGully | Gandipath'!C20+'RallyGully | Panchsheel'!C20)</f>
        <v>0</v>
      </c>
      <c r="D32" s="14">
        <f>SUM('RallyGully I Sector 10 Dwarka'!D20+'RallyGully I Sector 83 Gurgaon'!D20+'RallyGully I East of Kailash'!D20+'RallyGully I Sector 19 Dwarka'!D20+'RallyGully | LCR Pune'!D20+'RallyGully | DPSG'!D20+'RallyGully | Gandipath'!D20+'RallyGully | Panchsheel'!D20)</f>
        <v>0</v>
      </c>
      <c r="E32" s="14">
        <f>SUM('RallyGully I Sector 10 Dwarka'!E20+'RallyGully I Sector 83 Gurgaon'!E20+'RallyGully I East of Kailash'!E20+'RallyGully I Sector 19 Dwarka'!E20+'RallyGully | LCR Pune'!E20+'RallyGully | DPSG'!E20+'RallyGully | Gandipath'!E20+'RallyGully | Panchsheel'!E20)</f>
        <v>0</v>
      </c>
      <c r="F32" s="14">
        <f>SUM('RallyGully I Sector 10 Dwarka'!F20+'RallyGully I Sector 83 Gurgaon'!F20+'RallyGully I East of Kailash'!F20+'RallyGully I Sector 19 Dwarka'!F20+'RallyGully | LCR Pune'!F20+'RallyGully | DPSG'!F20+'RallyGully | Gandipath'!F20+'RallyGully | Panchsheel'!F20)</f>
        <v>0</v>
      </c>
      <c r="G32" s="14">
        <f>SUM('RallyGully I Sector 10 Dwarka'!G20+'RallyGully I Sector 83 Gurgaon'!G20+'RallyGully I East of Kailash'!G20+'RallyGully I Sector 19 Dwarka'!G20+'RallyGully | LCR Pune'!G20+'RallyGully | DPSG'!G20+'RallyGully | Gandipath'!G20+'RallyGully | Panchsheel'!G20)</f>
        <v>0</v>
      </c>
      <c r="H32" s="14">
        <f>SUM('RallyGully I Sector 10 Dwarka'!H20+'RallyGully I Sector 83 Gurgaon'!H20+'RallyGully I East of Kailash'!H20+'RallyGully I Sector 19 Dwarka'!H20+'RallyGully | LCR Pune'!H20+'RallyGully | DPSG'!H20+'RallyGully | Gandipath'!H20+'RallyGully | Panchsheel'!H20)</f>
        <v>0</v>
      </c>
      <c r="I32" s="14">
        <f>SUM('RallyGully I Sector 10 Dwarka'!I20+'RallyGully I Sector 83 Gurgaon'!I20+'RallyGully I East of Kailash'!I20+'RallyGully I Sector 19 Dwarka'!I20+'RallyGully | LCR Pune'!I20+'RallyGully | DPSG'!I20+'RallyGully | Gandipath'!I20+'RallyGully | Panchsheel'!I20)</f>
        <v>98000</v>
      </c>
      <c r="J32" s="14">
        <f>SUM('RallyGully I Sector 10 Dwarka'!J20+'RallyGully I Sector 83 Gurgaon'!J20+'RallyGully I East of Kailash'!J20+'RallyGully I Sector 19 Dwarka'!J20+'RallyGully | LCR Pune'!J20+'RallyGully | DPSG'!J20+'RallyGully | Gandipath'!J20+'RallyGully | Panchsheel'!J20+'Powerplay Park, Pune'!J20+'Commons, Noida'!J20)</f>
        <v>37500</v>
      </c>
      <c r="K32" s="14">
        <f>SUM('RallyGully I Sector 10 Dwarka'!K20+'RallyGully I Sector 83 Gurgaon'!K20+'RallyGully I East of Kailash'!K20+'RallyGully I Sector 19 Dwarka'!K20+'RallyGully | LCR Pune'!K20+'RallyGully | DPSG'!K20+'RallyGully | Gandipath'!K20+'RallyGully | Panchsheel'!K20+'Powerplay Park, Pune'!K20+'Commons, Noida'!K20)</f>
        <v>11500</v>
      </c>
    </row>
    <row r="33">
      <c r="A33" s="46">
        <v>6.0</v>
      </c>
      <c r="B33" s="84" t="s">
        <v>50</v>
      </c>
      <c r="C33" s="14">
        <f>SUM('RallyGully I Sector 10 Dwarka'!C21+'RallyGully I Sector 83 Gurgaon'!C21+'RallyGully I East of Kailash'!C21+'RallyGully I Sector 19 Dwarka'!C21+'RallyGully | LCR Pune'!C21+'RallyGully | DPSG'!C21+'RallyGully | Gandipath'!C21+'RallyGully | Panchsheel'!C21)</f>
        <v>0</v>
      </c>
      <c r="D33" s="14">
        <f>SUM('RallyGully I Sector 10 Dwarka'!D21+'RallyGully I Sector 83 Gurgaon'!D21+'RallyGully I East of Kailash'!D21+'RallyGully I Sector 19 Dwarka'!D21+'RallyGully | LCR Pune'!D21+'RallyGully | DPSG'!D21+'RallyGully | Gandipath'!D21+'RallyGully | Panchsheel'!D21)</f>
        <v>0</v>
      </c>
      <c r="E33" s="14">
        <f>SUM('RallyGully I Sector 10 Dwarka'!E21+'RallyGully I Sector 83 Gurgaon'!E21+'RallyGully I East of Kailash'!E21+'RallyGully I Sector 19 Dwarka'!E21+'RallyGully | LCR Pune'!E21+'RallyGully | DPSG'!E21+'RallyGully | Gandipath'!E21+'RallyGully | Panchsheel'!E21)</f>
        <v>0</v>
      </c>
      <c r="F33" s="14">
        <f>SUM('RallyGully I Sector 10 Dwarka'!F21+'RallyGully I Sector 83 Gurgaon'!F21+'RallyGully I East of Kailash'!F21+'RallyGully I Sector 19 Dwarka'!F21+'RallyGully | LCR Pune'!F21+'RallyGully | DPSG'!F21+'RallyGully | Gandipath'!F21+'RallyGully | Panchsheel'!F21)</f>
        <v>5400</v>
      </c>
      <c r="G33" s="14">
        <f>SUM('RallyGully I Sector 10 Dwarka'!G21+'RallyGully I Sector 83 Gurgaon'!G21+'RallyGully I East of Kailash'!G21+'RallyGully I Sector 19 Dwarka'!G21+'RallyGully | LCR Pune'!G21+'RallyGully | DPSG'!G21+'RallyGully | Gandipath'!G21+'RallyGully | Panchsheel'!G21)</f>
        <v>0</v>
      </c>
      <c r="H33" s="14">
        <f>SUM('RallyGully I Sector 10 Dwarka'!H21+'RallyGully I Sector 83 Gurgaon'!H21+'RallyGully I East of Kailash'!H21+'RallyGully I Sector 19 Dwarka'!H21+'RallyGully | LCR Pune'!H21+'RallyGully | DPSG'!H21+'RallyGully | Gandipath'!H21+'RallyGully | Panchsheel'!H21)</f>
        <v>20680</v>
      </c>
      <c r="I33" s="14">
        <f>SUM('RallyGully I Sector 10 Dwarka'!I21+'RallyGully I Sector 83 Gurgaon'!I21+'RallyGully I East of Kailash'!I21+'RallyGully I Sector 19 Dwarka'!I21+'RallyGully | LCR Pune'!I21+'RallyGully | DPSG'!I21+'RallyGully | Gandipath'!I21+'RallyGully | Panchsheel'!I21)</f>
        <v>28730</v>
      </c>
      <c r="J33" s="14">
        <f>SUM('RallyGully I Sector 10 Dwarka'!J21+'RallyGully I Sector 83 Gurgaon'!J21+'RallyGully I East of Kailash'!J21+'RallyGully I Sector 19 Dwarka'!J21+'RallyGully | LCR Pune'!J21+'RallyGully | DPSG'!J21+'RallyGully | Gandipath'!J21+'RallyGully | Panchsheel'!J21+'Powerplay Park, Pune'!J21+'Commons, Noida'!J21)</f>
        <v>11880</v>
      </c>
      <c r="K33" s="14">
        <f>SUM('RallyGully I Sector 10 Dwarka'!K21+'RallyGully I Sector 83 Gurgaon'!K21+'RallyGully I East of Kailash'!K21+'RallyGully I Sector 19 Dwarka'!K21+'RallyGully | LCR Pune'!K21+'RallyGully | DPSG'!K21+'RallyGully | Gandipath'!K21+'RallyGully | Panchsheel'!K21+'Powerplay Park, Pune'!K21+'Commons, Noida'!K21)</f>
        <v>10520</v>
      </c>
    </row>
    <row r="34">
      <c r="A34" s="46">
        <v>7.0</v>
      </c>
      <c r="B34" s="84" t="s">
        <v>51</v>
      </c>
      <c r="C34" s="14">
        <f>SUM('RallyGully I Sector 10 Dwarka'!C22+'RallyGully I Sector 83 Gurgaon'!C22+'RallyGully I East of Kailash'!C22+'RallyGully I Sector 19 Dwarka'!C22+'RallyGully | LCR Pune'!C22+'RallyGully | DPSG'!C22+'RallyGully | Gandipath'!C22+'RallyGully | Panchsheel'!C22)</f>
        <v>0</v>
      </c>
      <c r="D34" s="14">
        <f>SUM('RallyGully I Sector 10 Dwarka'!D22+'RallyGully I Sector 83 Gurgaon'!D22+'RallyGully I East of Kailash'!D22+'RallyGully I Sector 19 Dwarka'!D22+'RallyGully | LCR Pune'!D22+'RallyGully | DPSG'!D22+'RallyGully | Gandipath'!D22+'RallyGully | Panchsheel'!D22)</f>
        <v>0</v>
      </c>
      <c r="E34" s="14">
        <f>SUM('RallyGully I Sector 10 Dwarka'!E22+'RallyGully I Sector 83 Gurgaon'!E22+'RallyGully I East of Kailash'!E22+'RallyGully I Sector 19 Dwarka'!E22+'RallyGully | LCR Pune'!E22+'RallyGully | DPSG'!E22+'RallyGully | Gandipath'!E22+'RallyGully | Panchsheel'!E22)</f>
        <v>0</v>
      </c>
      <c r="F34" s="14">
        <f>SUM('RallyGully I Sector 10 Dwarka'!F22+'RallyGully I Sector 83 Gurgaon'!F22+'RallyGully I East of Kailash'!F22+'RallyGully I Sector 19 Dwarka'!F22+'RallyGully | LCR Pune'!F22+'RallyGully | DPSG'!F22+'RallyGully | Gandipath'!F22+'RallyGully | Panchsheel'!F22)</f>
        <v>15000</v>
      </c>
      <c r="G34" s="14">
        <f>SUM('RallyGully I Sector 10 Dwarka'!G22+'RallyGully I Sector 83 Gurgaon'!G22+'RallyGully I East of Kailash'!G22+'RallyGully I Sector 19 Dwarka'!G22+'RallyGully | LCR Pune'!G22+'RallyGully | DPSG'!G22+'RallyGully | Gandipath'!G22+'RallyGully | Panchsheel'!G22)</f>
        <v>4480</v>
      </c>
      <c r="H34" s="14">
        <f>SUM('RallyGully I Sector 10 Dwarka'!H22+'RallyGully I Sector 83 Gurgaon'!H22+'RallyGully I East of Kailash'!H22+'RallyGully I Sector 19 Dwarka'!H22+'RallyGully | LCR Pune'!H22+'RallyGully | DPSG'!H22+'RallyGully | Gandipath'!H22+'RallyGully | Panchsheel'!H22)</f>
        <v>23313</v>
      </c>
      <c r="I34" s="14">
        <f>SUM('RallyGully I Sector 10 Dwarka'!I22+'RallyGully I Sector 83 Gurgaon'!I22+'RallyGully I East of Kailash'!I22+'RallyGully I Sector 19 Dwarka'!I22+'RallyGully | LCR Pune'!I22+'RallyGully | DPSG'!I22+'RallyGully | Gandipath'!I22+'RallyGully | Panchsheel'!I22)</f>
        <v>24100</v>
      </c>
      <c r="J34" s="14">
        <f>SUM('RallyGully I Sector 10 Dwarka'!J22+'RallyGully I Sector 83 Gurgaon'!J22+'RallyGully I East of Kailash'!J22+'RallyGully I Sector 19 Dwarka'!J22+'RallyGully | LCR Pune'!J22+'RallyGully | DPSG'!J22+'RallyGully | Gandipath'!J22+'RallyGully | Panchsheel'!J22+'Powerplay Park, Pune'!J22+'Commons, Noida'!J22)</f>
        <v>30000</v>
      </c>
      <c r="K34" s="14">
        <f>SUM('RallyGully I Sector 10 Dwarka'!K22+'RallyGully I Sector 83 Gurgaon'!K22+'RallyGully I East of Kailash'!K22+'RallyGully I Sector 19 Dwarka'!K22+'RallyGully | LCR Pune'!K22+'RallyGully | DPSG'!K22+'RallyGully | Gandipath'!K22+'RallyGully | Panchsheel'!K22+'Powerplay Park, Pune'!K22+'Commons, Noida'!K22)</f>
        <v>28000</v>
      </c>
    </row>
    <row r="35">
      <c r="A35" s="46">
        <v>8.0</v>
      </c>
      <c r="B35" s="84" t="s">
        <v>52</v>
      </c>
      <c r="C35" s="14">
        <f>SUM('RallyGully I Sector 10 Dwarka'!C23+'RallyGully I Sector 83 Gurgaon'!C23+'RallyGully I East of Kailash'!C23+'RallyGully I Sector 19 Dwarka'!C23+'RallyGully | LCR Pune'!C23+'RallyGully | DPSG'!C23+'RallyGully | Gandipath'!C23+'RallyGully | Panchsheel'!C23)</f>
        <v>0</v>
      </c>
      <c r="D35" s="14">
        <f>SUM('RallyGully I Sector 10 Dwarka'!D23+'RallyGully I Sector 83 Gurgaon'!D23+'RallyGully I East of Kailash'!D23+'RallyGully I Sector 19 Dwarka'!D23+'RallyGully | LCR Pune'!D23+'RallyGully | DPSG'!D23+'RallyGully | Gandipath'!D23+'RallyGully | Panchsheel'!D23)</f>
        <v>0</v>
      </c>
      <c r="E35" s="14">
        <f>SUM('RallyGully I Sector 10 Dwarka'!E23+'RallyGully I Sector 83 Gurgaon'!E23+'RallyGully I East of Kailash'!E23+'RallyGully I Sector 19 Dwarka'!E23+'RallyGully | LCR Pune'!E23+'RallyGully | DPSG'!E23+'RallyGully | Gandipath'!E23+'RallyGully | Panchsheel'!E23)</f>
        <v>0</v>
      </c>
      <c r="F35" s="14">
        <f>SUM('RallyGully I Sector 10 Dwarka'!F23+'RallyGully I Sector 83 Gurgaon'!F23+'RallyGully I East of Kailash'!F23+'RallyGully I Sector 19 Dwarka'!F23+'RallyGully | LCR Pune'!F23+'RallyGully | DPSG'!F23+'RallyGully | Gandipath'!F23+'RallyGully | Panchsheel'!F23)</f>
        <v>18000</v>
      </c>
      <c r="G35" s="14">
        <f>SUM('RallyGully I Sector 10 Dwarka'!G23+'RallyGully I Sector 83 Gurgaon'!G23+'RallyGully I East of Kailash'!G23+'RallyGully I Sector 19 Dwarka'!G23+'RallyGully | LCR Pune'!G23+'RallyGully | DPSG'!G23+'RallyGully | Gandipath'!G23+'RallyGully | Panchsheel'!G23)</f>
        <v>25000</v>
      </c>
      <c r="H35" s="14">
        <f>SUM('RallyGully I Sector 10 Dwarka'!H23+'RallyGully I Sector 83 Gurgaon'!H23+'RallyGully I East of Kailash'!H23+'RallyGully I Sector 19 Dwarka'!H23+'RallyGully | LCR Pune'!H23+'RallyGully | DPSG'!H23+'RallyGully | Gandipath'!H23+'RallyGully | Panchsheel'!H23)</f>
        <v>29300</v>
      </c>
      <c r="I35" s="14">
        <f>SUM('RallyGully I Sector 10 Dwarka'!I23+'RallyGully I Sector 83 Gurgaon'!I23+'RallyGully I East of Kailash'!I23+'RallyGully I Sector 19 Dwarka'!I23+'RallyGully | LCR Pune'!I23+'RallyGully | DPSG'!I23+'RallyGully | Gandipath'!I23+'RallyGully | Panchsheel'!I23)</f>
        <v>138000</v>
      </c>
      <c r="J35" s="14">
        <f>SUM('RallyGully I Sector 10 Dwarka'!J23+'RallyGully I Sector 83 Gurgaon'!J23+'RallyGully I East of Kailash'!J23+'RallyGully I Sector 19 Dwarka'!J23+'RallyGully | LCR Pune'!J23+'RallyGully | DPSG'!J23+'RallyGully | Gandipath'!J23+'RallyGully | Panchsheel'!J23+'Powerplay Park, Pune'!J23+'Commons, Noida'!J23)</f>
        <v>197000</v>
      </c>
      <c r="K35" s="14">
        <f>SUM('RallyGully I Sector 10 Dwarka'!K23+'RallyGully I Sector 83 Gurgaon'!K23+'RallyGully I East of Kailash'!K23+'RallyGully I Sector 19 Dwarka'!K23+'RallyGully | LCR Pune'!K23+'RallyGully | DPSG'!K23+'RallyGully | Gandipath'!K23+'RallyGully | Panchsheel'!K23+'Powerplay Park, Pune'!K23+'Commons, Noida'!K23)</f>
        <v>256000</v>
      </c>
    </row>
    <row r="36">
      <c r="A36" s="121"/>
      <c r="B36" s="122" t="s">
        <v>47</v>
      </c>
      <c r="C36" s="57">
        <f t="shared" ref="C36:K36" si="3">sum(C15+C20+C26+C31+C32+C33+C34+C35)</f>
        <v>103615</v>
      </c>
      <c r="D36" s="57">
        <f t="shared" si="3"/>
        <v>336259</v>
      </c>
      <c r="E36" s="57">
        <f t="shared" si="3"/>
        <v>478873.8</v>
      </c>
      <c r="F36" s="57">
        <f t="shared" si="3"/>
        <v>542592.6</v>
      </c>
      <c r="G36" s="57">
        <f t="shared" si="3"/>
        <v>581843</v>
      </c>
      <c r="H36" s="57">
        <f t="shared" si="3"/>
        <v>754429</v>
      </c>
      <c r="I36" s="57">
        <f t="shared" si="3"/>
        <v>1501552</v>
      </c>
      <c r="J36" s="57">
        <f t="shared" si="3"/>
        <v>1713558</v>
      </c>
      <c r="K36" s="57">
        <f t="shared" si="3"/>
        <v>2062032</v>
      </c>
    </row>
    <row r="38">
      <c r="A38" s="81"/>
      <c r="B38" s="82" t="s">
        <v>58</v>
      </c>
      <c r="C38" s="9" t="s">
        <v>4</v>
      </c>
      <c r="D38" s="9" t="s">
        <v>5</v>
      </c>
      <c r="E38" s="9" t="s">
        <v>6</v>
      </c>
      <c r="F38" s="9" t="s">
        <v>7</v>
      </c>
      <c r="G38" s="9" t="s">
        <v>8</v>
      </c>
      <c r="H38" s="9" t="s">
        <v>9</v>
      </c>
      <c r="I38" s="9" t="s">
        <v>10</v>
      </c>
      <c r="J38" s="83" t="s">
        <v>11</v>
      </c>
      <c r="K38" s="9" t="s">
        <v>12</v>
      </c>
    </row>
    <row r="39">
      <c r="A39" s="46">
        <v>1.0</v>
      </c>
      <c r="B39" s="84" t="s">
        <v>18</v>
      </c>
      <c r="C39" s="123">
        <f t="shared" ref="C39:C59" si="4">C15/$C$36</f>
        <v>0.04666312793</v>
      </c>
      <c r="D39" s="123">
        <f t="shared" ref="D39:D59" si="5">D15/$D$36</f>
        <v>0.1517877588</v>
      </c>
      <c r="E39" s="123">
        <f t="shared" ref="E39:E59" si="6">E15/$E$36</f>
        <v>0.2913502472</v>
      </c>
      <c r="F39" s="123">
        <f t="shared" ref="F39:F59" si="7">F15/$F$36</f>
        <v>0.1349815681</v>
      </c>
      <c r="G39" s="123">
        <f t="shared" ref="G39:G59" si="8">G15/$G$36</f>
        <v>0.3016174466</v>
      </c>
      <c r="H39" s="123">
        <f t="shared" ref="H39:H59" si="9">H15/$H$36</f>
        <v>0.3572397137</v>
      </c>
      <c r="I39" s="123">
        <f t="shared" ref="I39:I59" si="10">I15/$I$36</f>
        <v>0.3205809722</v>
      </c>
      <c r="J39" s="123">
        <f t="shared" ref="J39:J59" si="11">J15/$J$36</f>
        <v>0.3009381649</v>
      </c>
      <c r="K39" s="123">
        <f t="shared" ref="K39:K43" si="12">K15/$K$36</f>
        <v>0.2564533431</v>
      </c>
    </row>
    <row r="40" outlineLevel="1">
      <c r="A40" s="46">
        <v>1.1</v>
      </c>
      <c r="B40" s="88" t="s">
        <v>21</v>
      </c>
      <c r="C40" s="123">
        <f t="shared" si="4"/>
        <v>0.0431887275</v>
      </c>
      <c r="D40" s="123">
        <f t="shared" si="5"/>
        <v>0.04633333234</v>
      </c>
      <c r="E40" s="123">
        <f t="shared" si="6"/>
        <v>0.04652582789</v>
      </c>
      <c r="F40" s="123">
        <f t="shared" si="7"/>
        <v>0.04578020415</v>
      </c>
      <c r="G40" s="123">
        <f t="shared" si="8"/>
        <v>0.04781358545</v>
      </c>
      <c r="H40" s="123">
        <f t="shared" si="9"/>
        <v>0.08055761377</v>
      </c>
      <c r="I40" s="123">
        <f t="shared" si="10"/>
        <v>0.06082972817</v>
      </c>
      <c r="J40" s="123">
        <f t="shared" si="11"/>
        <v>0.05504628381</v>
      </c>
      <c r="K40" s="123">
        <f t="shared" si="12"/>
        <v>0.03987813962</v>
      </c>
    </row>
    <row r="41" outlineLevel="1">
      <c r="A41" s="46">
        <v>1.2</v>
      </c>
      <c r="B41" s="88" t="s">
        <v>23</v>
      </c>
      <c r="C41" s="123">
        <f t="shared" si="4"/>
        <v>0.003474400425</v>
      </c>
      <c r="D41" s="123">
        <f t="shared" si="5"/>
        <v>0.005709884345</v>
      </c>
      <c r="E41" s="123">
        <f t="shared" si="6"/>
        <v>0.009188224538</v>
      </c>
      <c r="F41" s="123">
        <f t="shared" si="7"/>
        <v>0.004589078436</v>
      </c>
      <c r="G41" s="123">
        <f t="shared" si="8"/>
        <v>0.00324829894</v>
      </c>
      <c r="H41" s="123">
        <f t="shared" si="9"/>
        <v>0.006972160402</v>
      </c>
      <c r="I41" s="123">
        <f t="shared" si="10"/>
        <v>0.002700539175</v>
      </c>
      <c r="J41" s="123">
        <f t="shared" si="11"/>
        <v>0.003177598891</v>
      </c>
      <c r="K41" s="123">
        <f t="shared" si="12"/>
        <v>0.001854966363</v>
      </c>
    </row>
    <row r="42" outlineLevel="1">
      <c r="A42" s="46">
        <v>1.3</v>
      </c>
      <c r="B42" s="88" t="s">
        <v>25</v>
      </c>
      <c r="C42" s="123">
        <f t="shared" si="4"/>
        <v>0</v>
      </c>
      <c r="D42" s="123">
        <f t="shared" si="5"/>
        <v>0</v>
      </c>
      <c r="E42" s="123">
        <f t="shared" si="6"/>
        <v>0.02516320584</v>
      </c>
      <c r="F42" s="123">
        <f t="shared" si="7"/>
        <v>0</v>
      </c>
      <c r="G42" s="123">
        <f t="shared" si="8"/>
        <v>0</v>
      </c>
      <c r="H42" s="123">
        <f t="shared" si="9"/>
        <v>0</v>
      </c>
      <c r="I42" s="123">
        <f t="shared" si="10"/>
        <v>0.01198759683</v>
      </c>
      <c r="J42" s="123">
        <f t="shared" si="11"/>
        <v>0</v>
      </c>
      <c r="K42" s="123">
        <f t="shared" si="12"/>
        <v>0</v>
      </c>
    </row>
    <row r="43" outlineLevel="1">
      <c r="A43" s="46">
        <v>1.4</v>
      </c>
      <c r="B43" s="88" t="s">
        <v>26</v>
      </c>
      <c r="C43" s="123">
        <f t="shared" si="4"/>
        <v>0</v>
      </c>
      <c r="D43" s="123">
        <f t="shared" si="5"/>
        <v>0.09974454215</v>
      </c>
      <c r="E43" s="123">
        <f t="shared" si="6"/>
        <v>0.2104729889</v>
      </c>
      <c r="F43" s="123">
        <f t="shared" si="7"/>
        <v>0.07502866792</v>
      </c>
      <c r="G43" s="123">
        <f t="shared" si="8"/>
        <v>0.2505555622</v>
      </c>
      <c r="H43" s="123">
        <f t="shared" si="9"/>
        <v>0.2697099396</v>
      </c>
      <c r="I43" s="123">
        <f t="shared" si="10"/>
        <v>0.245063108</v>
      </c>
      <c r="J43" s="123">
        <f t="shared" si="11"/>
        <v>0.2427142822</v>
      </c>
      <c r="K43" s="123">
        <f t="shared" si="12"/>
        <v>0.1990633511</v>
      </c>
    </row>
    <row r="44">
      <c r="A44" s="46">
        <v>2.0</v>
      </c>
      <c r="B44" s="68" t="s">
        <v>28</v>
      </c>
      <c r="C44" s="123">
        <f t="shared" si="4"/>
        <v>0.852000193</v>
      </c>
      <c r="D44" s="123">
        <f t="shared" si="5"/>
        <v>0.6546501358</v>
      </c>
      <c r="E44" s="123">
        <f t="shared" si="6"/>
        <v>0.5906854791</v>
      </c>
      <c r="F44" s="123">
        <f t="shared" si="7"/>
        <v>0.5516341358</v>
      </c>
      <c r="G44" s="123">
        <f t="shared" si="8"/>
        <v>0.4506868691</v>
      </c>
      <c r="H44" s="123">
        <f t="shared" si="9"/>
        <v>0.3726460674</v>
      </c>
      <c r="I44" s="123">
        <f t="shared" si="10"/>
        <v>0.3465973872</v>
      </c>
      <c r="J44" s="123">
        <f t="shared" si="11"/>
        <v>0.3519629916</v>
      </c>
      <c r="K44" s="123">
        <f t="shared" ref="K44:K59" si="13">K20/$J$36</f>
        <v>0.502879389</v>
      </c>
    </row>
    <row r="45" outlineLevel="1">
      <c r="A45" s="46">
        <v>2.1</v>
      </c>
      <c r="B45" s="22" t="s">
        <v>33</v>
      </c>
      <c r="C45" s="123">
        <f t="shared" si="4"/>
        <v>0.7087776866</v>
      </c>
      <c r="D45" s="123">
        <f t="shared" si="5"/>
        <v>0.4837342644</v>
      </c>
      <c r="E45" s="123">
        <f t="shared" si="6"/>
        <v>0.5096353152</v>
      </c>
      <c r="F45" s="123">
        <f t="shared" si="7"/>
        <v>0.4746563075</v>
      </c>
      <c r="G45" s="123">
        <f t="shared" si="8"/>
        <v>0.3462875724</v>
      </c>
      <c r="H45" s="123">
        <f t="shared" si="9"/>
        <v>0.2301515451</v>
      </c>
      <c r="I45" s="123">
        <f t="shared" si="10"/>
        <v>0.1754850981</v>
      </c>
      <c r="J45" s="123">
        <f t="shared" si="11"/>
        <v>0.1539498517</v>
      </c>
      <c r="K45" s="123">
        <f t="shared" si="13"/>
        <v>0.2205603779</v>
      </c>
    </row>
    <row r="46" outlineLevel="1">
      <c r="A46" s="46">
        <v>2.2</v>
      </c>
      <c r="B46" s="22" t="s">
        <v>34</v>
      </c>
      <c r="C46" s="123">
        <f t="shared" si="4"/>
        <v>0.1432225064</v>
      </c>
      <c r="D46" s="123">
        <f t="shared" si="5"/>
        <v>0.1391486919</v>
      </c>
      <c r="E46" s="123">
        <f t="shared" si="6"/>
        <v>0.06819917899</v>
      </c>
      <c r="F46" s="123">
        <f t="shared" si="7"/>
        <v>0.05541468866</v>
      </c>
      <c r="G46" s="123">
        <f t="shared" si="8"/>
        <v>0.04692846696</v>
      </c>
      <c r="H46" s="123">
        <f t="shared" si="9"/>
        <v>0.06041257693</v>
      </c>
      <c r="I46" s="123">
        <f t="shared" si="10"/>
        <v>0.06194723859</v>
      </c>
      <c r="J46" s="123">
        <f t="shared" si="11"/>
        <v>0.0510650938</v>
      </c>
      <c r="K46" s="123">
        <f t="shared" si="13"/>
        <v>0.07198764209</v>
      </c>
    </row>
    <row r="47" outlineLevel="1">
      <c r="A47" s="46">
        <v>2.3</v>
      </c>
      <c r="B47" s="88" t="s">
        <v>36</v>
      </c>
      <c r="C47" s="123">
        <f t="shared" si="4"/>
        <v>0</v>
      </c>
      <c r="D47" s="123">
        <f t="shared" si="5"/>
        <v>0</v>
      </c>
      <c r="E47" s="123">
        <f t="shared" si="6"/>
        <v>0</v>
      </c>
      <c r="F47" s="123">
        <f t="shared" si="7"/>
        <v>0.002211604065</v>
      </c>
      <c r="G47" s="123">
        <f t="shared" si="8"/>
        <v>0.005338209792</v>
      </c>
      <c r="H47" s="123">
        <f t="shared" si="9"/>
        <v>0.0240579299</v>
      </c>
      <c r="I47" s="123">
        <f t="shared" si="10"/>
        <v>0.06736363443</v>
      </c>
      <c r="J47" s="123">
        <f t="shared" si="11"/>
        <v>0.09547386199</v>
      </c>
      <c r="K47" s="123">
        <f t="shared" si="13"/>
        <v>0.1223185909</v>
      </c>
    </row>
    <row r="48" outlineLevel="1">
      <c r="A48" s="46">
        <v>2.4</v>
      </c>
      <c r="B48" s="22" t="s">
        <v>37</v>
      </c>
      <c r="C48" s="123">
        <f t="shared" si="4"/>
        <v>0</v>
      </c>
      <c r="D48" s="123">
        <f t="shared" si="5"/>
        <v>0.03176717947</v>
      </c>
      <c r="E48" s="123">
        <f t="shared" si="6"/>
        <v>0.01285098496</v>
      </c>
      <c r="F48" s="123">
        <f t="shared" si="7"/>
        <v>0.01935153557</v>
      </c>
      <c r="G48" s="123">
        <f t="shared" si="8"/>
        <v>0.05213261997</v>
      </c>
      <c r="H48" s="123">
        <f t="shared" si="9"/>
        <v>0.05636713329</v>
      </c>
      <c r="I48" s="123">
        <f t="shared" si="10"/>
        <v>0.02490356644</v>
      </c>
      <c r="J48" s="123">
        <f t="shared" si="11"/>
        <v>0.02774694524</v>
      </c>
      <c r="K48" s="123">
        <f t="shared" si="13"/>
        <v>0.03249962943</v>
      </c>
    </row>
    <row r="49" outlineLevel="1">
      <c r="A49" s="46">
        <v>2.5</v>
      </c>
      <c r="B49" s="88" t="s">
        <v>38</v>
      </c>
      <c r="C49" s="123">
        <f t="shared" si="4"/>
        <v>0</v>
      </c>
      <c r="D49" s="123">
        <f t="shared" si="5"/>
        <v>0</v>
      </c>
      <c r="E49" s="123">
        <f t="shared" si="6"/>
        <v>0</v>
      </c>
      <c r="F49" s="123">
        <f t="shared" si="7"/>
        <v>0</v>
      </c>
      <c r="G49" s="123">
        <f t="shared" si="8"/>
        <v>0</v>
      </c>
      <c r="H49" s="123">
        <f t="shared" si="9"/>
        <v>0.001656882225</v>
      </c>
      <c r="I49" s="123">
        <f t="shared" si="10"/>
        <v>0.01689784969</v>
      </c>
      <c r="J49" s="123">
        <f t="shared" si="11"/>
        <v>0.02372723888</v>
      </c>
      <c r="K49" s="123">
        <f t="shared" si="13"/>
        <v>0.05551314866</v>
      </c>
    </row>
    <row r="50" collapsed="1">
      <c r="A50" s="46">
        <v>3.0</v>
      </c>
      <c r="B50" s="68" t="s">
        <v>39</v>
      </c>
      <c r="C50" s="123">
        <f t="shared" si="4"/>
        <v>0.1013366791</v>
      </c>
      <c r="D50" s="123">
        <f t="shared" si="5"/>
        <v>0.04486720058</v>
      </c>
      <c r="E50" s="123">
        <f t="shared" si="6"/>
        <v>0.06158198674</v>
      </c>
      <c r="F50" s="123">
        <f t="shared" si="7"/>
        <v>0.07434675666</v>
      </c>
      <c r="G50" s="123">
        <f t="shared" si="8"/>
        <v>0.06919392345</v>
      </c>
      <c r="H50" s="123">
        <f t="shared" si="9"/>
        <v>0.04123515931</v>
      </c>
      <c r="I50" s="123">
        <f t="shared" si="10"/>
        <v>0.08753543001</v>
      </c>
      <c r="J50" s="123">
        <f t="shared" si="11"/>
        <v>0.1030102278</v>
      </c>
      <c r="K50" s="123">
        <f t="shared" si="13"/>
        <v>0.1495741609</v>
      </c>
    </row>
    <row r="51" hidden="1" outlineLevel="1">
      <c r="A51" s="46">
        <v>3.1</v>
      </c>
      <c r="B51" s="22" t="s">
        <v>42</v>
      </c>
      <c r="C51" s="123">
        <f t="shared" si="4"/>
        <v>0</v>
      </c>
      <c r="D51" s="123">
        <f t="shared" si="5"/>
        <v>0</v>
      </c>
      <c r="E51" s="123">
        <f t="shared" si="6"/>
        <v>0</v>
      </c>
      <c r="F51" s="123">
        <f t="shared" si="7"/>
        <v>0</v>
      </c>
      <c r="G51" s="123">
        <f t="shared" si="8"/>
        <v>0.01460875185</v>
      </c>
      <c r="H51" s="123">
        <f t="shared" si="9"/>
        <v>0</v>
      </c>
      <c r="I51" s="123">
        <f t="shared" si="10"/>
        <v>0.02550694215</v>
      </c>
      <c r="J51" s="123">
        <f t="shared" si="11"/>
        <v>0.0322136747</v>
      </c>
      <c r="K51" s="123">
        <f t="shared" si="13"/>
        <v>0</v>
      </c>
    </row>
    <row r="52" hidden="1" outlineLevel="1">
      <c r="A52" s="46">
        <v>3.2</v>
      </c>
      <c r="B52" s="22" t="s">
        <v>44</v>
      </c>
      <c r="C52" s="123">
        <f t="shared" si="4"/>
        <v>0</v>
      </c>
      <c r="D52" s="123">
        <f t="shared" si="5"/>
        <v>0</v>
      </c>
      <c r="E52" s="123">
        <f t="shared" si="6"/>
        <v>0</v>
      </c>
      <c r="F52" s="123">
        <f t="shared" si="7"/>
        <v>0</v>
      </c>
      <c r="G52" s="123">
        <f t="shared" si="8"/>
        <v>0</v>
      </c>
      <c r="H52" s="123">
        <f t="shared" si="9"/>
        <v>0.03087102961</v>
      </c>
      <c r="I52" s="123">
        <f t="shared" si="10"/>
        <v>0.009090594265</v>
      </c>
      <c r="J52" s="123">
        <f t="shared" si="11"/>
        <v>0.02472049385</v>
      </c>
      <c r="K52" s="123">
        <f t="shared" si="13"/>
        <v>0</v>
      </c>
    </row>
    <row r="53" hidden="1" outlineLevel="1">
      <c r="A53" s="46">
        <v>3.3</v>
      </c>
      <c r="B53" s="22" t="s">
        <v>45</v>
      </c>
      <c r="C53" s="123">
        <f t="shared" si="4"/>
        <v>0.1013366791</v>
      </c>
      <c r="D53" s="123">
        <f t="shared" si="5"/>
        <v>0.04486720058</v>
      </c>
      <c r="E53" s="123">
        <f t="shared" si="6"/>
        <v>0.04155583371</v>
      </c>
      <c r="F53" s="123">
        <f t="shared" si="7"/>
        <v>0.05224914604</v>
      </c>
      <c r="G53" s="123">
        <f t="shared" si="8"/>
        <v>0.03571410157</v>
      </c>
      <c r="H53" s="123">
        <f t="shared" si="9"/>
        <v>0.003327019507</v>
      </c>
      <c r="I53" s="123">
        <f t="shared" si="10"/>
        <v>0.05293789359</v>
      </c>
      <c r="J53" s="123">
        <f t="shared" si="11"/>
        <v>0.03692609179</v>
      </c>
      <c r="K53" s="123">
        <f t="shared" si="13"/>
        <v>0</v>
      </c>
    </row>
    <row r="54" hidden="1" outlineLevel="1">
      <c r="A54" s="46">
        <v>3.4</v>
      </c>
      <c r="B54" s="22" t="s">
        <v>46</v>
      </c>
      <c r="C54" s="123">
        <f t="shared" si="4"/>
        <v>0</v>
      </c>
      <c r="D54" s="123">
        <f t="shared" si="5"/>
        <v>0</v>
      </c>
      <c r="E54" s="123">
        <f t="shared" si="6"/>
        <v>0.02002615303</v>
      </c>
      <c r="F54" s="123">
        <f t="shared" si="7"/>
        <v>0.02209761062</v>
      </c>
      <c r="G54" s="123">
        <f t="shared" si="8"/>
        <v>0.01887107003</v>
      </c>
      <c r="H54" s="123">
        <f t="shared" si="9"/>
        <v>0.007037110185</v>
      </c>
      <c r="I54" s="123">
        <f t="shared" si="10"/>
        <v>0</v>
      </c>
      <c r="J54" s="123">
        <f t="shared" si="11"/>
        <v>0.009149967495</v>
      </c>
      <c r="K54" s="123">
        <f t="shared" si="13"/>
        <v>0</v>
      </c>
    </row>
    <row r="55">
      <c r="A55" s="46">
        <v>4.0</v>
      </c>
      <c r="B55" s="84" t="s">
        <v>48</v>
      </c>
      <c r="C55" s="123">
        <f t="shared" si="4"/>
        <v>0</v>
      </c>
      <c r="D55" s="123">
        <f t="shared" si="5"/>
        <v>0.1486949048</v>
      </c>
      <c r="E55" s="123">
        <f t="shared" si="6"/>
        <v>0.05638228694</v>
      </c>
      <c r="F55" s="123">
        <f t="shared" si="7"/>
        <v>0.1682662093</v>
      </c>
      <c r="G55" s="123">
        <f t="shared" si="8"/>
        <v>0.127835172</v>
      </c>
      <c r="H55" s="123">
        <f t="shared" si="9"/>
        <v>0.1317287644</v>
      </c>
      <c r="I55" s="123">
        <f t="shared" si="10"/>
        <v>0.05293189979</v>
      </c>
      <c r="J55" s="123">
        <f t="shared" si="11"/>
        <v>0.08279848129</v>
      </c>
      <c r="K55" s="123">
        <f t="shared" si="13"/>
        <v>0.06371538051</v>
      </c>
    </row>
    <row r="56">
      <c r="A56" s="46">
        <v>5.0</v>
      </c>
      <c r="B56" s="72" t="s">
        <v>49</v>
      </c>
      <c r="C56" s="123">
        <f t="shared" si="4"/>
        <v>0</v>
      </c>
      <c r="D56" s="123">
        <f t="shared" si="5"/>
        <v>0</v>
      </c>
      <c r="E56" s="123">
        <f t="shared" si="6"/>
        <v>0</v>
      </c>
      <c r="F56" s="123">
        <f t="shared" si="7"/>
        <v>0</v>
      </c>
      <c r="G56" s="123">
        <f t="shared" si="8"/>
        <v>0</v>
      </c>
      <c r="H56" s="123">
        <f t="shared" si="9"/>
        <v>0</v>
      </c>
      <c r="I56" s="123">
        <f t="shared" si="10"/>
        <v>0.06526580498</v>
      </c>
      <c r="J56" s="123">
        <f t="shared" si="11"/>
        <v>0.02188428988</v>
      </c>
      <c r="K56" s="123">
        <f t="shared" si="13"/>
        <v>0.00671118223</v>
      </c>
    </row>
    <row r="57">
      <c r="A57" s="46">
        <v>6.0</v>
      </c>
      <c r="B57" s="84" t="s">
        <v>50</v>
      </c>
      <c r="C57" s="123">
        <f t="shared" si="4"/>
        <v>0</v>
      </c>
      <c r="D57" s="123">
        <f t="shared" si="5"/>
        <v>0</v>
      </c>
      <c r="E57" s="123">
        <f t="shared" si="6"/>
        <v>0</v>
      </c>
      <c r="F57" s="123">
        <f t="shared" si="7"/>
        <v>0.009952218294</v>
      </c>
      <c r="G57" s="123">
        <f t="shared" si="8"/>
        <v>0</v>
      </c>
      <c r="H57" s="123">
        <f t="shared" si="9"/>
        <v>0.02741145953</v>
      </c>
      <c r="I57" s="123">
        <f t="shared" si="10"/>
        <v>0.0191335365</v>
      </c>
      <c r="J57" s="123">
        <f t="shared" si="11"/>
        <v>0.006932943034</v>
      </c>
      <c r="K57" s="123">
        <f t="shared" si="13"/>
        <v>0.006139272788</v>
      </c>
    </row>
    <row r="58">
      <c r="A58" s="46">
        <v>7.0</v>
      </c>
      <c r="B58" s="84" t="s">
        <v>51</v>
      </c>
      <c r="C58" s="123">
        <f t="shared" si="4"/>
        <v>0</v>
      </c>
      <c r="D58" s="123">
        <f t="shared" si="5"/>
        <v>0</v>
      </c>
      <c r="E58" s="123">
        <f t="shared" si="6"/>
        <v>0</v>
      </c>
      <c r="F58" s="123">
        <f t="shared" si="7"/>
        <v>0.02764505082</v>
      </c>
      <c r="G58" s="123">
        <f t="shared" si="8"/>
        <v>0.007699671561</v>
      </c>
      <c r="H58" s="123">
        <f t="shared" si="9"/>
        <v>0.03090151625</v>
      </c>
      <c r="I58" s="123">
        <f t="shared" si="10"/>
        <v>0.0160500602</v>
      </c>
      <c r="J58" s="123">
        <f t="shared" si="11"/>
        <v>0.0175074319</v>
      </c>
      <c r="K58" s="123">
        <f t="shared" si="13"/>
        <v>0.01634026978</v>
      </c>
    </row>
    <row r="59">
      <c r="A59" s="46">
        <v>8.0</v>
      </c>
      <c r="B59" s="84" t="s">
        <v>52</v>
      </c>
      <c r="C59" s="123">
        <f t="shared" si="4"/>
        <v>0</v>
      </c>
      <c r="D59" s="123">
        <f t="shared" si="5"/>
        <v>0</v>
      </c>
      <c r="E59" s="123">
        <f t="shared" si="6"/>
        <v>0</v>
      </c>
      <c r="F59" s="123">
        <f t="shared" si="7"/>
        <v>0.03317406098</v>
      </c>
      <c r="G59" s="123">
        <f t="shared" si="8"/>
        <v>0.04296691719</v>
      </c>
      <c r="H59" s="123">
        <f t="shared" si="9"/>
        <v>0.03883731935</v>
      </c>
      <c r="I59" s="123">
        <f t="shared" si="10"/>
        <v>0.09190490905</v>
      </c>
      <c r="J59" s="123">
        <f t="shared" si="11"/>
        <v>0.1149654695</v>
      </c>
      <c r="K59" s="123">
        <f t="shared" si="13"/>
        <v>0.1493967523</v>
      </c>
    </row>
    <row r="60">
      <c r="A60" s="124"/>
      <c r="B60" s="122" t="s">
        <v>47</v>
      </c>
      <c r="C60" s="125">
        <f t="shared" ref="C60:J60" si="14">C39+C44+C50+C55+C56+C57+C58+C59</f>
        <v>1</v>
      </c>
      <c r="D60" s="125">
        <f t="shared" si="14"/>
        <v>1</v>
      </c>
      <c r="E60" s="125">
        <f t="shared" si="14"/>
        <v>1</v>
      </c>
      <c r="F60" s="125">
        <f t="shared" si="14"/>
        <v>1</v>
      </c>
      <c r="G60" s="125">
        <f t="shared" si="14"/>
        <v>1</v>
      </c>
      <c r="H60" s="125">
        <f t="shared" si="14"/>
        <v>1</v>
      </c>
      <c r="I60" s="125">
        <f t="shared" si="14"/>
        <v>1</v>
      </c>
      <c r="J60" s="125">
        <f t="shared" si="14"/>
        <v>1</v>
      </c>
      <c r="K60" s="125"/>
    </row>
  </sheetData>
  <drawing r:id="rId1"/>
</worksheet>
</file>