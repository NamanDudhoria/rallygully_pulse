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" sheetId="9" r:id="rId13"/>
    <sheet state="visible" name="Corporate Events" sheetId="10" r:id="rId14"/>
  </sheets>
  <definedNames/>
  <calcPr/>
</workbook>
</file>

<file path=xl/sharedStrings.xml><?xml version="1.0" encoding="utf-8"?>
<sst xmlns="http://schemas.openxmlformats.org/spreadsheetml/2006/main" count="171" uniqueCount="88">
  <si>
    <t>Date: 1 - 31 Jan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</si>
  <si>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</si>
  <si>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</si>
  <si>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</si>
  <si>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</si>
  <si>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</si>
  <si>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</si>
  <si>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</si>
  <si>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</si>
  <si>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</si>
  <si>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</si>
  <si>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</si>
  <si>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</si>
  <si>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</si>
  <si>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</si>
  <si>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</si>
  <si>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</si>
  <si>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</si>
  <si>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</si>
  <si>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</si>
  <si>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</si>
  <si>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</si>
  <si>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</si>
  <si>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</si>
  <si>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</si>
  <si>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</si>
  <si>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</si>
  <si>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</si>
  <si>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</si>
  <si>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</si>
  <si>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</si>
  <si>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</si>
  <si>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</si>
  <si>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</si>
  <si>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</si>
  <si>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Thursday</t>
  </si>
  <si>
    <t>30% and 20%</t>
  </si>
  <si>
    <t>Friday</t>
  </si>
  <si>
    <t>Saturday</t>
  </si>
  <si>
    <t>Sunday</t>
  </si>
  <si>
    <t>Monday</t>
  </si>
  <si>
    <t>Tuesday</t>
  </si>
  <si>
    <t>Wednesday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</si>
  <si>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</si>
  <si>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</si>
  <si>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</si>
  <si>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</si>
  <si>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</si>
  <si>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</si>
  <si>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</si>
  <si>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1 - 5 Jan</t>
  </si>
  <si>
    <t>6 - 12 Jan</t>
  </si>
  <si>
    <t>13 - 19 Jan</t>
  </si>
  <si>
    <t>20 - 26 Jan</t>
  </si>
  <si>
    <t>27 - 31 Jan</t>
  </si>
  <si>
    <t>Paid to Playo (₹)</t>
  </si>
  <si>
    <t>Commissions (₹)</t>
  </si>
  <si>
    <t>GST (₹)</t>
  </si>
  <si>
    <t>TDS (₹)</t>
  </si>
  <si>
    <t>TCS (₹)</t>
  </si>
  <si>
    <t>Final Amount (₹)</t>
  </si>
  <si>
    <t>1 - 13 Jan</t>
  </si>
  <si>
    <t>20 - 25 Jan</t>
  </si>
  <si>
    <t>26 - 31 Jan</t>
  </si>
  <si>
    <t>Paid to District</t>
  </si>
  <si>
    <t>GST on Commission</t>
  </si>
  <si>
    <t>1 - 12 Jan</t>
  </si>
  <si>
    <t>20 - 31 Jan</t>
  </si>
  <si>
    <t>Paid to Khelomore (₹)</t>
  </si>
  <si>
    <t>1 - 25 Jan</t>
  </si>
  <si>
    <t>Paid to Misfits (₹)</t>
  </si>
  <si>
    <t>Post Comission (20%)</t>
  </si>
  <si>
    <t xml:space="preserve">TDS </t>
  </si>
  <si>
    <t>1 - 31 Jan</t>
  </si>
  <si>
    <t>Paid to Sportomic (₹)</t>
  </si>
  <si>
    <t>Member Name</t>
  </si>
  <si>
    <t>Sports Type</t>
  </si>
  <si>
    <t>Membership Type</t>
  </si>
  <si>
    <t>Start Date</t>
  </si>
  <si>
    <t>Amount Collected</t>
  </si>
  <si>
    <t>Indian School of hospitality</t>
  </si>
  <si>
    <t>Pickle &amp; Box</t>
  </si>
  <si>
    <t>Collab</t>
  </si>
  <si>
    <t>Type</t>
  </si>
  <si>
    <t>Deliverables</t>
  </si>
  <si>
    <t>Bday Event</t>
  </si>
  <si>
    <t>Pickeball and Box</t>
  </si>
  <si>
    <t>3 Hours of courts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</si>
</sst>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[$₹]#,##0.00"/>
    <numFmt numFmtId="166" formatCode="d mmm"/>
    <numFmt numFmtId="167" formatCode="[&gt;9999999][$₹]##\,##\,##\,##0.00;[&gt;99999][$₹]##\,##\,##0.00;[$₹]##,##0.0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/>
    <font>
      <sz val="10.0"/>
      <color rgb="FF000000"/>
      <name val="Arial"/>
    </font>
    <font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sz val="10.0"/>
      <color theme="1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0" fillId="0" fontId="4" numFmtId="0" xfId="0" applyFont="1"/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164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horizontal="right" readingOrder="0" vertical="bottom"/>
    </xf>
    <xf borderId="3" fillId="0" fontId="5" numFmtId="165" xfId="0" applyAlignment="1" applyBorder="1" applyFont="1" applyNumberForma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5" numFmtId="164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0" xfId="0" applyAlignment="1" applyBorder="1" applyFill="1" applyFont="1">
      <alignment horizontal="center" vertical="bottom"/>
    </xf>
    <xf borderId="3" fillId="0" fontId="5" numFmtId="166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9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vertical="bottom"/>
    </xf>
    <xf borderId="3" fillId="0" fontId="5" numFmtId="3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vertical="bottom"/>
    </xf>
    <xf borderId="3" fillId="2" fontId="5" numFmtId="0" xfId="0" applyAlignment="1" applyBorder="1" applyFill="1" applyFont="1">
      <alignment vertical="bottom"/>
    </xf>
    <xf borderId="3" fillId="2" fontId="6" numFmtId="0" xfId="0" applyAlignment="1" applyBorder="1" applyFill="1" applyFon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0" fontId="5" numFmtId="167" xfId="0" applyAlignment="1" applyBorder="1" applyFont="1" applyNumberFormat="1">
      <alignment horizontal="right" vertical="bottom"/>
    </xf>
    <xf borderId="3" fillId="0" fontId="5" numFmtId="165" xfId="0" applyAlignment="1" applyBorder="1" applyFont="1" applyNumberFormat="1">
      <alignment horizontal="right" readingOrder="0" vertical="bottom"/>
    </xf>
    <xf borderId="3" fillId="0" fontId="5" numFmtId="165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3" fillId="0" fontId="5" numFmtId="0" xfId="0" applyAlignment="1" applyBorder="1" applyFont="1">
      <alignment readingOrder="0" vertical="bottom"/>
    </xf>
    <xf borderId="3" fillId="0" fontId="5" numFmtId="167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3" fillId="0" fontId="2" numFmtId="167" xfId="0" applyAlignment="1" applyBorder="1" applyFont="1" applyNumberFormat="1">
      <alignment horizontal="right" vertical="bottom"/>
    </xf>
    <xf borderId="0" fillId="2" fontId="7" numFmtId="165" xfId="0" applyAlignment="1" applyFill="1" applyFont="1" applyNumberFormat="1">
      <alignment horizontal="center" vertical="bottom"/>
    </xf>
    <xf borderId="3" fillId="3" fontId="5" numFmtId="165" xfId="0" applyAlignment="1" applyBorder="1" applyFill="1" applyFont="1" applyNumberFormat="1">
      <alignment vertical="bottom"/>
    </xf>
    <xf borderId="3" fillId="3" fontId="5" numFmtId="165" xfId="0" applyAlignment="1" applyBorder="1" applyFill="1" applyFont="1" applyNumberFormat="1">
      <alignment horizontal="right" readingOrder="0" vertical="bottom"/>
    </xf>
    <xf borderId="3" fillId="3" fontId="5" numFmtId="165" xfId="0" applyAlignment="1" applyBorder="1" applyFill="1" applyFont="1" applyNumberFormat="1">
      <alignment horizontal="right" vertical="bottom"/>
    </xf>
    <xf borderId="0" fillId="3" fontId="5" numFmtId="165" xfId="0" applyAlignment="1" applyFill="1" applyFont="1" applyNumberFormat="1">
      <alignment vertical="bottom"/>
    </xf>
    <xf borderId="3" fillId="3" fontId="5" numFmtId="165" xfId="0" applyAlignment="1" applyBorder="1" applyFill="1" applyFont="1" applyNumberFormat="1">
      <alignment readingOrder="0" vertical="bottom"/>
    </xf>
    <xf borderId="0" fillId="3" fontId="5" numFmtId="165" xfId="0" applyAlignment="1" applyFill="1" applyFont="1" applyNumberFormat="1">
      <alignment horizontal="right" vertical="bottom"/>
    </xf>
    <xf borderId="0" fillId="0" fontId="5" numFmtId="165" xfId="0" applyAlignment="1" applyFont="1" applyNumberFormat="1">
      <alignment readingOrder="0" vertical="bottom"/>
    </xf>
    <xf borderId="3" fillId="0" fontId="8" numFmtId="165" xfId="0" applyAlignment="1" applyBorder="1" applyFont="1" applyNumberFormat="1">
      <alignment readingOrder="0" shrinkToFit="0" vertical="bottom" wrapText="0"/>
    </xf>
    <xf borderId="3" fillId="0" fontId="5" numFmtId="4" xfId="0" applyAlignment="1" applyBorder="1" applyFont="1" applyNumberFormat="1">
      <alignment horizontal="right" readingOrder="0" vertical="bottom"/>
    </xf>
    <xf borderId="3" fillId="0" fontId="5" numFmtId="4" xfId="0" applyAlignment="1" applyBorder="1" applyFont="1" applyNumberFormat="1">
      <alignment readingOrder="0" vertical="bottom"/>
    </xf>
    <xf borderId="3" fillId="0" fontId="2" numFmtId="4" xfId="0" applyAlignment="1" applyBorder="1" applyFont="1" applyNumberFormat="1">
      <alignment horizontal="right" vertical="bottom"/>
    </xf>
    <xf borderId="3" fillId="0" fontId="5" numFmtId="4" xfId="0" applyAlignment="1" applyBorder="1" applyFont="1" applyNumberFormat="1">
      <alignment vertical="bottom"/>
    </xf>
    <xf borderId="0" fillId="2" fontId="9" numFmtId="165" xfId="0" applyAlignment="1" applyFill="1" applyFont="1" applyNumberFormat="1">
      <alignment vertical="bottom"/>
    </xf>
    <xf borderId="0" fillId="2" fontId="2" numFmtId="165" xfId="0" applyAlignment="1" applyFill="1" applyFont="1" applyNumberFormat="1">
      <alignment horizontal="center" vertical="bottom"/>
    </xf>
    <xf borderId="0" fillId="0" fontId="5" numFmtId="165" xfId="0" applyAlignment="1" applyFont="1" applyNumberFormat="1">
      <alignment vertical="bottom"/>
    </xf>
    <xf borderId="3" fillId="0" fontId="5" numFmtId="167" xfId="0" applyAlignment="1" applyBorder="1" applyFont="1" applyNumberFormat="1">
      <alignment vertical="bottom"/>
    </xf>
    <xf borderId="3" fillId="0" fontId="2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3" fillId="0" fontId="9" numFmtId="165" xfId="0" applyAlignment="1" applyBorder="1" applyFont="1" applyNumberForma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0" fontId="5" numFmtId="164" xfId="0" applyAlignment="1" applyBorder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3" fillId="2" fontId="10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vertical="bottom"/>
    </xf>
    <xf borderId="3" fillId="0" fontId="5" numFmtId="166" xfId="0" applyAlignment="1" applyBorder="1" applyFont="1" applyNumberFormat="1">
      <alignment vertical="bottom"/>
    </xf>
    <xf borderId="3" fillId="2" fontId="2" numFmtId="0" xfId="0" applyAlignment="1" applyBorder="1" applyFill="1" applyFont="1">
      <alignment horizontal="right" vertical="bottom"/>
    </xf>
    <xf borderId="3" fillId="0" fontId="11" numFmtId="0" xfId="0" applyAlignment="1" applyBorder="1" applyFont="1">
      <alignment readingOrder="0"/>
    </xf>
    <xf borderId="3" fillId="0" fontId="11" numFmtId="166" xfId="0" applyAlignment="1" applyBorder="1" applyFont="1" applyNumberFormat="1">
      <alignment readingOrder="0"/>
    </xf>
    <xf borderId="3" fillId="0" fontId="11" numFmtId="165" xfId="0" applyAlignment="1" applyBorder="1" applyFont="1" applyNumberFormat="1">
      <alignment readingOrder="0"/>
    </xf>
    <xf borderId="0" fillId="0" fontId="5" numFmtId="3" xfId="0" applyAlignment="1" applyFont="1" applyNumberFormat="1">
      <alignment vertical="bottom"/>
    </xf>
    <xf borderId="0" fillId="0" fontId="5" numFmtId="166" xfId="0" applyAlignment="1" applyFont="1" applyNumberFormat="1">
      <alignment horizontal="right" vertical="bottom"/>
    </xf>
    <xf borderId="3" fillId="2" fontId="2" numFmtId="0" xfId="0" applyAlignment="1" applyBorder="1" applyFill="1" applyFont="1">
      <alignment horizontal="center" readingOrder="0" vertical="bottom"/>
    </xf>
    <xf borderId="0" fillId="0" fontId="11" numFmtId="166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12.63"/>
    <col customWidth="1" min="2" max="2" width="32.0"/>
    <col customWidth="1" min="3" max="4" width="12.63"/>
  </cols>
  <sheetData>
    <row r="1" ht="15.75" customHeight="1">
      <c r="A1" s="1"/>
    </row>
    <row r="2" ht="15.75" customHeight="1">
      <c r="B2" s="2" t="s">
        <v>0</v>
      </c>
      <c r="C2" s="3"/>
    </row>
    <row r="3" ht="15.75" customHeight="1">
      <c r="A3" s="4"/>
      <c r="B3" s="5" t="s">
        <v>1</v>
      </c>
      <c r="C3" s="5" t="s">
        <v>2</v>
      </c>
    </row>
    <row r="4" ht="15.75" customHeight="1">
      <c r="A4" s="4"/>
      <c r="B4" s="6" t="s">
        <v>3</v>
      </c>
      <c r="C4" s="7">
        <f>SUM(C5,C6,C7,C8)</f>
        <v>97445</v>
      </c>
    </row>
    <row r="5" ht="15.75" customHeight="1" outlineLevel="1">
      <c r="A5" s="4"/>
      <c r="B5" s="8" t="s">
        <v>4</v>
      </c>
      <c r="C5" s="9">
        <f>'Offline &amp; RG Community'!G33</f>
        <v>8155</v>
      </c>
    </row>
    <row r="6" ht="15.75" customHeight="1" outlineLevel="1">
      <c r="A6" s="4"/>
      <c r="B6" s="8" t="s">
        <v>5</v>
      </c>
      <c r="C6" s="10">
        <v>0.0</v>
      </c>
    </row>
    <row r="7" ht="15.75" customHeight="1" outlineLevel="1">
      <c r="A7" s="4"/>
      <c r="B7" s="8" t="s">
        <v>6</v>
      </c>
      <c r="C7" s="10">
        <f>0</f>
        <v>0</v>
      </c>
    </row>
    <row r="8" ht="15.75" customHeight="1" outlineLevel="1">
      <c r="A8" s="4"/>
      <c r="B8" s="8" t="s">
        <v>7</v>
      </c>
      <c r="C8" s="9">
        <f>'Offline &amp; RG Community'!E33</f>
        <v>89290</v>
      </c>
    </row>
    <row r="9" ht="15.75" customHeight="1">
      <c r="A9" s="4"/>
      <c r="B9" s="6" t="s">
        <v>8</v>
      </c>
      <c r="C9" s="7">
        <f>SUM(C10:C13)</f>
        <v>47466</v>
      </c>
    </row>
    <row r="10" ht="15.75" customHeight="1" outlineLevel="1">
      <c r="B10" s="8" t="s">
        <v>9</v>
      </c>
      <c r="C10" s="9">
        <f>Hudle!C7</f>
        <v>25407</v>
      </c>
    </row>
    <row r="11" ht="15.75" customHeight="1" outlineLevel="1">
      <c r="B11" s="8" t="s">
        <v>10</v>
      </c>
      <c r="C11" s="9">
        <f>Playo!C7</f>
        <v>4460</v>
      </c>
    </row>
    <row r="12" ht="15.75" customHeight="1" outlineLevel="1">
      <c r="B12" s="8" t="s">
        <v>11</v>
      </c>
      <c r="C12" s="10">
        <f>District!C5</f>
        <v>17200</v>
      </c>
    </row>
    <row r="13" ht="15.75" customHeight="1" outlineLevel="1">
      <c r="B13" s="8" t="s">
        <v>12</v>
      </c>
      <c r="C13" s="10">
        <f>Khelomore!C4</f>
        <v>399</v>
      </c>
    </row>
    <row r="14" ht="15.75" customHeight="1">
      <c r="B14" s="11" t="s">
        <v>13</v>
      </c>
      <c r="C14" s="10">
        <v>0.0</v>
      </c>
    </row>
    <row r="15" ht="15.75" customHeight="1">
      <c r="B15" s="12" t="s">
        <v>14</v>
      </c>
      <c r="C15" s="13">
        <f>sum(C17:C19)</f>
        <v>3000</v>
      </c>
    </row>
    <row r="16" ht="15.75" customHeight="1" outlineLevel="1">
      <c r="B16" s="14" t="s">
        <v>15</v>
      </c>
      <c r="C16" s="10">
        <v>0.0</v>
      </c>
    </row>
    <row r="17" ht="15.75" customHeight="1" outlineLevel="1">
      <c r="B17" s="14" t="s">
        <v>16</v>
      </c>
      <c r="C17" s="10">
        <f>Sportomic!C2</f>
        <v>0</v>
      </c>
    </row>
    <row r="18" ht="15.75" customHeight="1" outlineLevel="1">
      <c r="A18" s="4"/>
      <c r="B18" s="8" t="s">
        <v>17</v>
      </c>
      <c r="C18" s="10">
        <f>'Offline &amp; RG Community'!F33</f>
        <v>3000</v>
      </c>
    </row>
    <row r="19" ht="15.75" customHeight="1" outlineLevel="1">
      <c r="B19" s="8" t="s">
        <v>18</v>
      </c>
      <c r="C19" s="10">
        <f>Misfits!C2</f>
        <v>0</v>
      </c>
    </row>
    <row r="20" ht="15.75" customHeight="1">
      <c r="B20" s="6" t="s">
        <v>19</v>
      </c>
      <c r="C20" s="7">
        <f>Membership!E2</f>
        <v>18880</v>
      </c>
    </row>
    <row r="21" ht="15.75" customHeight="1">
      <c r="B21" s="12" t="s">
        <v>20</v>
      </c>
      <c r="C21" s="10">
        <v>0.0</v>
      </c>
    </row>
    <row r="22" ht="15.75" customHeight="1">
      <c r="B22" s="6" t="s">
        <v>21</v>
      </c>
      <c r="C22" s="10">
        <f>'Corporate Events'!E2</f>
        <v>2730</v>
      </c>
    </row>
    <row r="23" ht="15.75" customHeight="1">
      <c r="B23" s="6" t="s">
        <v>22</v>
      </c>
      <c r="C23" s="10">
        <v>0.0</v>
      </c>
    </row>
    <row r="24" ht="15.75" customHeight="1">
      <c r="B24" s="15" t="s">
        <v>23</v>
      </c>
      <c r="C24" s="16">
        <v>0.0</v>
      </c>
    </row>
    <row r="25" ht="15.75" customHeight="1">
      <c r="B25" s="6" t="s">
        <v>24</v>
      </c>
      <c r="C25" s="7">
        <f>sum(C23,C24,C22, C20,C15,C9,C4)</f>
        <v>169521</v>
      </c>
    </row>
    <row r="26" ht="15.75" customHeight="1">
      <c r="B26" s="17" t="s">
        <v>25</v>
      </c>
      <c r="C26" s="18">
        <f>'Offline &amp; RG Community'!H33 + Hudle!E7 +Playo!F7 +District!F5 + Misfits!F3 +Membership!E2+'Corporate Events'!E2+ Khelomore!E4</f>
        <v>165384.08</v>
      </c>
    </row>
    <row r="27" ht="15.75" customHeight="1">
      <c r="B27" s="6" t="s">
        <v>26</v>
      </c>
      <c r="C27" s="7">
        <f>C26/1.18</f>
        <v>140156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9.75"/>
    <col customWidth="1" min="3" max="3" width="18.25"/>
    <col customWidth="1" min="4" max="4" width="13.25"/>
    <col customWidth="1" min="5" max="5" width="15.13"/>
    <col customWidth="1" min="6" max="6" width="17.63"/>
    <col customWidth="1" min="8" max="8" width="12.25"/>
  </cols>
  <sheetData>
    <row r="1" ht="15.75" customHeight="1">
      <c r="A1" s="19" t="s">
        <v>27</v>
      </c>
      <c r="B1" s="19" t="s">
        <v>28</v>
      </c>
      <c r="C1" s="19" t="s">
        <v>29</v>
      </c>
      <c r="D1" s="19" t="s">
        <v>30</v>
      </c>
      <c r="E1" s="19" t="s">
        <v>31</v>
      </c>
      <c r="F1" s="19" t="s">
        <v>32</v>
      </c>
      <c r="G1" s="19" t="s">
        <v>33</v>
      </c>
      <c r="H1" s="20" t="s">
        <v>34</v>
      </c>
    </row>
    <row r="2" ht="15.75" customHeight="1">
      <c r="A2" s="21">
        <v>46023.0</v>
      </c>
      <c r="B2" s="22" t="s">
        <v>35</v>
      </c>
      <c r="C2" s="23">
        <v>3.5</v>
      </c>
      <c r="D2" s="24" t="s">
        <v>36</v>
      </c>
      <c r="E2" s="23">
        <v>2240.0</v>
      </c>
      <c r="F2" s="23">
        <v>0.0</v>
      </c>
      <c r="G2" s="23">
        <v>600.0</v>
      </c>
      <c r="H2" s="25">
        <f t="shared" ref="H2:H32" si="1">sum(E2:G2)</f>
        <v>2840</v>
      </c>
    </row>
    <row r="3" ht="15.75" customHeight="1">
      <c r="A3" s="21">
        <v>46024.0</v>
      </c>
      <c r="B3" s="22" t="s">
        <v>37</v>
      </c>
      <c r="C3" s="23">
        <v>2.0</v>
      </c>
      <c r="D3" s="24" t="s">
        <v>36</v>
      </c>
      <c r="E3" s="26">
        <v>1520.0</v>
      </c>
      <c r="F3" s="23">
        <v>0.0</v>
      </c>
      <c r="G3" s="26">
        <v>300.0</v>
      </c>
      <c r="H3" s="26">
        <f t="shared" si="1"/>
        <v>1820</v>
      </c>
    </row>
    <row r="4" ht="15.75" customHeight="1">
      <c r="A4" s="21">
        <v>46025.0</v>
      </c>
      <c r="B4" s="22" t="s">
        <v>38</v>
      </c>
      <c r="C4" s="23">
        <v>6.5</v>
      </c>
      <c r="D4" s="24" t="s">
        <v>36</v>
      </c>
      <c r="E4" s="23">
        <v>5920.0</v>
      </c>
      <c r="F4" s="23">
        <v>0.0</v>
      </c>
      <c r="G4" s="23">
        <v>350.0</v>
      </c>
      <c r="H4" s="25">
        <f t="shared" si="1"/>
        <v>6270</v>
      </c>
    </row>
    <row r="5" ht="15.75" customHeight="1">
      <c r="A5" s="21">
        <v>46026.0</v>
      </c>
      <c r="B5" s="22" t="s">
        <v>39</v>
      </c>
      <c r="C5" s="23">
        <v>5.5</v>
      </c>
      <c r="D5" s="24" t="s">
        <v>36</v>
      </c>
      <c r="E5" s="23">
        <v>2880.0</v>
      </c>
      <c r="F5" s="23">
        <v>0.0</v>
      </c>
      <c r="G5" s="23">
        <v>350.0</v>
      </c>
      <c r="H5" s="25">
        <f t="shared" si="1"/>
        <v>3230</v>
      </c>
    </row>
    <row r="6" ht="15.75" customHeight="1">
      <c r="A6" s="21">
        <v>46027.0</v>
      </c>
      <c r="B6" s="22" t="s">
        <v>40</v>
      </c>
      <c r="C6" s="23">
        <v>1.0</v>
      </c>
      <c r="D6" s="24" t="s">
        <v>36</v>
      </c>
      <c r="E6" s="26">
        <v>640.0</v>
      </c>
      <c r="F6" s="23">
        <v>0.0</v>
      </c>
      <c r="G6" s="26">
        <v>0.0</v>
      </c>
      <c r="H6" s="26">
        <f t="shared" si="1"/>
        <v>640</v>
      </c>
    </row>
    <row r="7" ht="15.75" customHeight="1">
      <c r="A7" s="21">
        <v>46028.0</v>
      </c>
      <c r="B7" s="22" t="s">
        <v>41</v>
      </c>
      <c r="C7" s="23">
        <v>1.0</v>
      </c>
      <c r="D7" s="24" t="s">
        <v>36</v>
      </c>
      <c r="E7" s="26">
        <v>1280.0</v>
      </c>
      <c r="F7" s="23">
        <v>0.0</v>
      </c>
      <c r="G7" s="26">
        <v>0.0</v>
      </c>
      <c r="H7" s="26">
        <f t="shared" si="1"/>
        <v>1280</v>
      </c>
    </row>
    <row r="8" ht="15.75" customHeight="1">
      <c r="A8" s="21">
        <v>46029.0</v>
      </c>
      <c r="B8" s="22" t="s">
        <v>42</v>
      </c>
      <c r="C8" s="23">
        <v>1.5</v>
      </c>
      <c r="D8" s="24" t="s">
        <v>36</v>
      </c>
      <c r="E8" s="26">
        <v>2240.0</v>
      </c>
      <c r="F8" s="23">
        <v>600.0</v>
      </c>
      <c r="G8" s="26">
        <v>50.0</v>
      </c>
      <c r="H8" s="26">
        <f t="shared" si="1"/>
        <v>2890</v>
      </c>
    </row>
    <row r="9" ht="15.75" customHeight="1">
      <c r="A9" s="21">
        <v>46030.0</v>
      </c>
      <c r="B9" s="22" t="s">
        <v>35</v>
      </c>
      <c r="C9" s="23">
        <v>1.5</v>
      </c>
      <c r="D9" s="24" t="s">
        <v>36</v>
      </c>
      <c r="E9" s="26">
        <v>960.0</v>
      </c>
      <c r="F9" s="23">
        <v>800.0</v>
      </c>
      <c r="G9" s="26">
        <v>300.0</v>
      </c>
      <c r="H9" s="26">
        <f t="shared" si="1"/>
        <v>2060</v>
      </c>
    </row>
    <row r="10" ht="15.75" customHeight="1">
      <c r="A10" s="21">
        <v>46031.0</v>
      </c>
      <c r="B10" s="22" t="s">
        <v>37</v>
      </c>
      <c r="C10" s="23">
        <v>0.5</v>
      </c>
      <c r="D10" s="24" t="s">
        <v>36</v>
      </c>
      <c r="E10" s="26">
        <v>3180.0</v>
      </c>
      <c r="F10" s="23">
        <v>600.0</v>
      </c>
      <c r="G10" s="26">
        <v>50.0</v>
      </c>
      <c r="H10" s="26">
        <f t="shared" si="1"/>
        <v>3830</v>
      </c>
    </row>
    <row r="11" ht="15.75" customHeight="1">
      <c r="A11" s="21">
        <v>46032.0</v>
      </c>
      <c r="B11" s="22" t="s">
        <v>38</v>
      </c>
      <c r="C11" s="23">
        <v>2.5</v>
      </c>
      <c r="D11" s="24" t="s">
        <v>36</v>
      </c>
      <c r="E11" s="27">
        <v>1200.0</v>
      </c>
      <c r="F11" s="27">
        <v>0.0</v>
      </c>
      <c r="G11" s="27">
        <v>250.0</v>
      </c>
      <c r="H11" s="25">
        <f t="shared" si="1"/>
        <v>1450</v>
      </c>
    </row>
    <row r="12" ht="15.75" customHeight="1">
      <c r="A12" s="21">
        <v>46033.0</v>
      </c>
      <c r="B12" s="22" t="s">
        <v>39</v>
      </c>
      <c r="C12" s="23">
        <v>1.0</v>
      </c>
      <c r="D12" s="24" t="s">
        <v>36</v>
      </c>
      <c r="E12" s="26">
        <v>640.0</v>
      </c>
      <c r="F12" s="23">
        <v>0.0</v>
      </c>
      <c r="G12" s="26">
        <v>150.0</v>
      </c>
      <c r="H12" s="26">
        <f t="shared" si="1"/>
        <v>790</v>
      </c>
    </row>
    <row r="13" ht="15.75" customHeight="1">
      <c r="A13" s="21">
        <v>46034.0</v>
      </c>
      <c r="B13" s="22" t="s">
        <v>40</v>
      </c>
      <c r="C13" s="23">
        <v>5.5</v>
      </c>
      <c r="D13" s="24" t="s">
        <v>36</v>
      </c>
      <c r="E13" s="26">
        <v>4580.0</v>
      </c>
      <c r="F13" s="23">
        <v>0.0</v>
      </c>
      <c r="G13" s="26">
        <v>0.0</v>
      </c>
      <c r="H13" s="26">
        <f t="shared" si="1"/>
        <v>4580</v>
      </c>
    </row>
    <row r="14" ht="15.75" customHeight="1">
      <c r="A14" s="21">
        <v>46035.0</v>
      </c>
      <c r="B14" s="22" t="s">
        <v>41</v>
      </c>
      <c r="C14" s="23">
        <v>0.5</v>
      </c>
      <c r="D14" s="24" t="s">
        <v>36</v>
      </c>
      <c r="E14" s="26">
        <v>320.0</v>
      </c>
      <c r="F14" s="23">
        <v>0.0</v>
      </c>
      <c r="G14" s="26">
        <v>0.0</v>
      </c>
      <c r="H14" s="26">
        <f t="shared" si="1"/>
        <v>320</v>
      </c>
    </row>
    <row r="15" ht="15.75" customHeight="1">
      <c r="A15" s="21">
        <v>46036.0</v>
      </c>
      <c r="B15" s="22" t="s">
        <v>42</v>
      </c>
      <c r="C15" s="23">
        <v>6.0</v>
      </c>
      <c r="D15" s="24" t="s">
        <v>36</v>
      </c>
      <c r="E15" s="23">
        <v>4650.0</v>
      </c>
      <c r="F15" s="22"/>
      <c r="G15" s="23">
        <v>100.0</v>
      </c>
      <c r="H15" s="25">
        <f t="shared" si="1"/>
        <v>4750</v>
      </c>
    </row>
    <row r="16" ht="15.75" customHeight="1">
      <c r="A16" s="21">
        <v>46037.0</v>
      </c>
      <c r="B16" s="22" t="s">
        <v>35</v>
      </c>
      <c r="C16" s="23">
        <v>4.0</v>
      </c>
      <c r="D16" s="23" t="s">
        <v>36</v>
      </c>
      <c r="E16" s="26">
        <v>2560.0</v>
      </c>
      <c r="F16" s="23">
        <v>0.0</v>
      </c>
      <c r="G16" s="26">
        <v>300.0</v>
      </c>
      <c r="H16" s="26">
        <f t="shared" si="1"/>
        <v>2860</v>
      </c>
    </row>
    <row r="17" ht="15.75" customHeight="1">
      <c r="A17" s="21">
        <v>46038.0</v>
      </c>
      <c r="B17" s="22" t="s">
        <v>37</v>
      </c>
      <c r="C17" s="23">
        <v>3.5</v>
      </c>
      <c r="D17" s="23" t="s">
        <v>36</v>
      </c>
      <c r="E17" s="26">
        <v>2240.0</v>
      </c>
      <c r="F17" s="23">
        <v>0.0</v>
      </c>
      <c r="G17" s="26">
        <v>400.0</v>
      </c>
      <c r="H17" s="26">
        <f t="shared" si="1"/>
        <v>2640</v>
      </c>
    </row>
    <row r="18" ht="15.75" customHeight="1">
      <c r="A18" s="21">
        <v>46039.0</v>
      </c>
      <c r="B18" s="22" t="s">
        <v>38</v>
      </c>
      <c r="C18" s="23">
        <v>5.0</v>
      </c>
      <c r="D18" s="23" t="s">
        <v>36</v>
      </c>
      <c r="E18" s="23">
        <v>7360.0</v>
      </c>
      <c r="F18" s="23">
        <v>0.0</v>
      </c>
      <c r="G18" s="23">
        <v>1150.0</v>
      </c>
      <c r="H18" s="25">
        <f t="shared" si="1"/>
        <v>8510</v>
      </c>
    </row>
    <row r="19" ht="15.75" customHeight="1">
      <c r="A19" s="21">
        <v>46040.0</v>
      </c>
      <c r="B19" s="22" t="s">
        <v>39</v>
      </c>
      <c r="C19" s="23">
        <v>4.0</v>
      </c>
      <c r="D19" s="23" t="s">
        <v>36</v>
      </c>
      <c r="E19" s="26">
        <v>3120.0</v>
      </c>
      <c r="F19" s="23">
        <v>0.0</v>
      </c>
      <c r="G19" s="26">
        <v>450.0</v>
      </c>
      <c r="H19" s="26">
        <f t="shared" si="1"/>
        <v>3570</v>
      </c>
    </row>
    <row r="20" ht="15.75" customHeight="1">
      <c r="A20" s="21">
        <v>46041.0</v>
      </c>
      <c r="B20" s="22" t="s">
        <v>40</v>
      </c>
      <c r="C20" s="23">
        <v>1.5</v>
      </c>
      <c r="D20" s="23" t="s">
        <v>36</v>
      </c>
      <c r="E20" s="25">
        <v>960.0</v>
      </c>
      <c r="F20" s="25">
        <v>0.0</v>
      </c>
      <c r="G20" s="25">
        <v>400.0</v>
      </c>
      <c r="H20" s="25">
        <f t="shared" si="1"/>
        <v>1360</v>
      </c>
    </row>
    <row r="21" ht="15.75" customHeight="1">
      <c r="A21" s="21">
        <v>46042.0</v>
      </c>
      <c r="B21" s="22" t="s">
        <v>41</v>
      </c>
      <c r="C21" s="23">
        <v>5.5</v>
      </c>
      <c r="D21" s="23" t="s">
        <v>36</v>
      </c>
      <c r="E21" s="26">
        <v>3520.0</v>
      </c>
      <c r="F21" s="23">
        <v>0.0</v>
      </c>
      <c r="G21" s="26">
        <v>30.0</v>
      </c>
      <c r="H21" s="26">
        <f t="shared" si="1"/>
        <v>3550</v>
      </c>
    </row>
    <row r="22" ht="15.75" customHeight="1">
      <c r="A22" s="21">
        <v>46043.0</v>
      </c>
      <c r="B22" s="22" t="s">
        <v>42</v>
      </c>
      <c r="C22" s="23">
        <v>5.0</v>
      </c>
      <c r="D22" s="23" t="s">
        <v>36</v>
      </c>
      <c r="E22" s="23">
        <v>3200.0</v>
      </c>
      <c r="F22" s="23">
        <v>0.0</v>
      </c>
      <c r="G22" s="26">
        <v>450.0</v>
      </c>
      <c r="H22" s="25">
        <f t="shared" si="1"/>
        <v>3650</v>
      </c>
    </row>
    <row r="23" ht="15.75" customHeight="1">
      <c r="A23" s="21">
        <v>46044.0</v>
      </c>
      <c r="B23" s="22" t="s">
        <v>35</v>
      </c>
      <c r="C23" s="23">
        <v>2.0</v>
      </c>
      <c r="D23" s="23" t="s">
        <v>36</v>
      </c>
      <c r="E23" s="23">
        <v>1280.0</v>
      </c>
      <c r="F23" s="23">
        <v>0.0</v>
      </c>
      <c r="G23" s="23">
        <v>400.0</v>
      </c>
      <c r="H23" s="25">
        <f t="shared" si="1"/>
        <v>1680</v>
      </c>
    </row>
    <row r="24" ht="15.75" customHeight="1">
      <c r="A24" s="21">
        <v>46045.0</v>
      </c>
      <c r="B24" s="22" t="s">
        <v>37</v>
      </c>
      <c r="C24" s="23">
        <v>0.0</v>
      </c>
      <c r="D24" s="23" t="s">
        <v>36</v>
      </c>
      <c r="E24" s="26">
        <v>0.0</v>
      </c>
      <c r="F24" s="23">
        <v>0.0</v>
      </c>
      <c r="G24" s="26">
        <v>0.0</v>
      </c>
      <c r="H24" s="26">
        <f t="shared" si="1"/>
        <v>0</v>
      </c>
    </row>
    <row r="25" ht="15.75" customHeight="1">
      <c r="A25" s="21">
        <v>46046.0</v>
      </c>
      <c r="B25" s="22" t="s">
        <v>38</v>
      </c>
      <c r="C25" s="23">
        <v>5.0</v>
      </c>
      <c r="D25" s="23" t="s">
        <v>36</v>
      </c>
      <c r="E25" s="26">
        <v>5060.0</v>
      </c>
      <c r="F25" s="23">
        <v>0.0</v>
      </c>
      <c r="G25" s="26">
        <v>100.0</v>
      </c>
      <c r="H25" s="26">
        <f t="shared" si="1"/>
        <v>5160</v>
      </c>
    </row>
    <row r="26" ht="15.75" customHeight="1">
      <c r="A26" s="21">
        <v>46047.0</v>
      </c>
      <c r="B26" s="22" t="s">
        <v>39</v>
      </c>
      <c r="C26" s="23">
        <v>11.5</v>
      </c>
      <c r="D26" s="23" t="s">
        <v>36</v>
      </c>
      <c r="E26" s="26">
        <v>10640.0</v>
      </c>
      <c r="F26" s="23">
        <v>0.0</v>
      </c>
      <c r="G26" s="26">
        <v>750.0</v>
      </c>
      <c r="H26" s="26">
        <f t="shared" si="1"/>
        <v>11390</v>
      </c>
    </row>
    <row r="27" ht="15.75" customHeight="1">
      <c r="A27" s="21">
        <v>46048.0</v>
      </c>
      <c r="B27" s="22" t="s">
        <v>40</v>
      </c>
      <c r="C27" s="23">
        <v>5.0</v>
      </c>
      <c r="D27" s="23" t="s">
        <v>36</v>
      </c>
      <c r="E27" s="26">
        <v>5140.0</v>
      </c>
      <c r="F27" s="23">
        <v>0.0</v>
      </c>
      <c r="G27" s="23">
        <v>275.0</v>
      </c>
      <c r="H27" s="26">
        <f t="shared" si="1"/>
        <v>5415</v>
      </c>
    </row>
    <row r="28" ht="15.75" customHeight="1">
      <c r="A28" s="21">
        <v>46049.0</v>
      </c>
      <c r="B28" s="22" t="s">
        <v>41</v>
      </c>
      <c r="C28" s="23">
        <v>0.5</v>
      </c>
      <c r="D28" s="23" t="s">
        <v>36</v>
      </c>
      <c r="E28" s="23">
        <v>320.0</v>
      </c>
      <c r="F28" s="23">
        <v>0.0</v>
      </c>
      <c r="G28" s="26">
        <v>0.0</v>
      </c>
      <c r="H28" s="25">
        <f t="shared" si="1"/>
        <v>320</v>
      </c>
    </row>
    <row r="29" ht="15.75" customHeight="1">
      <c r="A29" s="21">
        <v>46050.0</v>
      </c>
      <c r="B29" s="22" t="s">
        <v>42</v>
      </c>
      <c r="C29" s="25">
        <v>4.5</v>
      </c>
      <c r="D29" s="23" t="s">
        <v>36</v>
      </c>
      <c r="E29" s="26">
        <v>1600.0</v>
      </c>
      <c r="F29" s="27">
        <v>1000.0</v>
      </c>
      <c r="G29" s="26">
        <v>250.0</v>
      </c>
      <c r="H29" s="26">
        <f t="shared" si="1"/>
        <v>2850</v>
      </c>
    </row>
    <row r="30" ht="15.75" customHeight="1">
      <c r="A30" s="21">
        <v>46051.0</v>
      </c>
      <c r="B30" s="22" t="s">
        <v>35</v>
      </c>
      <c r="C30" s="27">
        <v>3.5</v>
      </c>
      <c r="D30" s="23" t="s">
        <v>36</v>
      </c>
      <c r="E30" s="27">
        <v>2960.0</v>
      </c>
      <c r="F30" s="27">
        <v>0.0</v>
      </c>
      <c r="G30" s="23">
        <v>0.0</v>
      </c>
      <c r="H30" s="25">
        <f t="shared" si="1"/>
        <v>2960</v>
      </c>
    </row>
    <row r="31" ht="15.75" customHeight="1">
      <c r="A31" s="21">
        <v>46052.0</v>
      </c>
      <c r="B31" s="22" t="s">
        <v>37</v>
      </c>
      <c r="C31" s="27">
        <v>3.0</v>
      </c>
      <c r="D31" s="23" t="s">
        <v>36</v>
      </c>
      <c r="E31" s="27">
        <v>1920.0</v>
      </c>
      <c r="F31" s="27">
        <v>0.0</v>
      </c>
      <c r="G31" s="23">
        <v>150.0</v>
      </c>
      <c r="H31" s="25">
        <f t="shared" si="1"/>
        <v>2070</v>
      </c>
    </row>
    <row r="32" ht="15.75" customHeight="1">
      <c r="A32" s="21">
        <v>46053.0</v>
      </c>
      <c r="B32" s="22" t="s">
        <v>38</v>
      </c>
      <c r="C32" s="23">
        <v>6.0</v>
      </c>
      <c r="D32" s="24" t="s">
        <v>36</v>
      </c>
      <c r="E32" s="23">
        <v>5160.0</v>
      </c>
      <c r="F32" s="23">
        <v>0.0</v>
      </c>
      <c r="G32" s="23">
        <v>550.0</v>
      </c>
      <c r="H32" s="25">
        <f t="shared" si="1"/>
        <v>5710</v>
      </c>
    </row>
    <row r="33" ht="15.75" customHeight="1">
      <c r="A33" s="20" t="s">
        <v>43</v>
      </c>
      <c r="B33" s="28"/>
      <c r="C33" s="20">
        <f>SUM(C2:C32)</f>
        <v>108</v>
      </c>
      <c r="D33" s="28"/>
      <c r="E33" s="20">
        <f t="shared" ref="E33:H33" si="2">SUM(E2:E32)</f>
        <v>89290</v>
      </c>
      <c r="F33" s="20">
        <f t="shared" si="2"/>
        <v>3000</v>
      </c>
      <c r="G33" s="20">
        <f t="shared" si="2"/>
        <v>8155</v>
      </c>
      <c r="H33" s="20">
        <f t="shared" si="2"/>
        <v>100445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12.63"/>
    <col customWidth="1" min="4" max="4" width="23.88"/>
    <col customWidth="1" min="5" max="8" width="12.63"/>
  </cols>
  <sheetData>
    <row r="1" ht="15.75" customHeight="1">
      <c r="A1" s="29" t="s">
        <v>44</v>
      </c>
      <c r="B1" s="20" t="s">
        <v>27</v>
      </c>
      <c r="C1" s="20" t="s">
        <v>45</v>
      </c>
      <c r="D1" s="20" t="s">
        <v>46</v>
      </c>
      <c r="E1" s="20" t="s">
        <v>47</v>
      </c>
      <c r="F1" s="20" t="s">
        <v>48</v>
      </c>
      <c r="G1" s="20" t="s">
        <v>49</v>
      </c>
      <c r="H1" s="30" t="s">
        <v>2</v>
      </c>
    </row>
    <row r="2" ht="15.75" customHeight="1">
      <c r="A2" s="8"/>
      <c r="B2" s="14" t="s">
        <v>50</v>
      </c>
      <c r="C2" s="31">
        <v>5760.0</v>
      </c>
      <c r="D2" s="31">
        <v>748.8</v>
      </c>
      <c r="E2" s="32">
        <f t="shared" ref="E2:E6" si="1">C2 - D2</f>
        <v>5011.2</v>
      </c>
      <c r="F2" s="31">
        <v>4.88</v>
      </c>
      <c r="G2" s="31">
        <v>24.4</v>
      </c>
      <c r="H2" s="33">
        <v>4981.9</v>
      </c>
    </row>
    <row r="3" ht="15.75" customHeight="1">
      <c r="A3" s="34"/>
      <c r="B3" s="34" t="s">
        <v>51</v>
      </c>
      <c r="C3" s="31">
        <v>1335.0</v>
      </c>
      <c r="D3" s="31">
        <v>176.8</v>
      </c>
      <c r="E3" s="32">
        <f t="shared" si="1"/>
        <v>1158.2</v>
      </c>
      <c r="F3" s="31">
        <v>1.15</v>
      </c>
      <c r="G3" s="31">
        <v>5.76</v>
      </c>
      <c r="H3" s="33">
        <v>1176.28</v>
      </c>
    </row>
    <row r="4" ht="15.75" customHeight="1">
      <c r="A4" s="35"/>
      <c r="B4" s="36" t="s">
        <v>52</v>
      </c>
      <c r="C4" s="37">
        <v>5905.0</v>
      </c>
      <c r="D4" s="31">
        <v>781.3</v>
      </c>
      <c r="E4" s="32">
        <f t="shared" si="1"/>
        <v>5123.7</v>
      </c>
      <c r="F4" s="11">
        <v>5.09</v>
      </c>
      <c r="G4" s="11">
        <v>25.46</v>
      </c>
      <c r="H4" s="11">
        <v>5198.6</v>
      </c>
    </row>
    <row r="5" ht="15.75" customHeight="1">
      <c r="A5" s="35"/>
      <c r="B5" s="36" t="s">
        <v>53</v>
      </c>
      <c r="C5" s="37">
        <v>5847.0</v>
      </c>
      <c r="D5" s="11">
        <v>763.36</v>
      </c>
      <c r="E5" s="32">
        <f t="shared" si="1"/>
        <v>5083.64</v>
      </c>
      <c r="F5" s="11">
        <v>4.97</v>
      </c>
      <c r="G5" s="11">
        <v>24.88</v>
      </c>
      <c r="H5" s="11">
        <v>5078.8</v>
      </c>
    </row>
    <row r="6" ht="15.75" customHeight="1">
      <c r="A6" s="38"/>
      <c r="B6" s="36" t="s">
        <v>54</v>
      </c>
      <c r="C6" s="31">
        <v>6560.0</v>
      </c>
      <c r="D6" s="11">
        <v>852.8</v>
      </c>
      <c r="E6" s="32">
        <f t="shared" si="1"/>
        <v>5707.2</v>
      </c>
      <c r="F6" s="11">
        <v>5.55</v>
      </c>
      <c r="G6" s="11">
        <v>27.79</v>
      </c>
      <c r="H6" s="33">
        <v>5673.85</v>
      </c>
    </row>
    <row r="7" ht="15.75" customHeight="1">
      <c r="A7" s="35"/>
      <c r="B7" s="8"/>
      <c r="C7" s="39">
        <f>SUM(C2:C6)</f>
        <v>25407</v>
      </c>
      <c r="D7" s="8"/>
      <c r="E7" s="39">
        <f>SUM(E2:E6)</f>
        <v>22083.94</v>
      </c>
      <c r="F7" s="34"/>
      <c r="G7" s="34"/>
      <c r="H7" s="18">
        <f>SUM(H2:H6)</f>
        <v>22109.43</v>
      </c>
    </row>
    <row r="8" ht="15.75" customHeight="1">
      <c r="E8" s="3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3.25"/>
    <col customWidth="1" min="3" max="4" width="14.0"/>
    <col customWidth="1" min="5" max="5" width="23.88"/>
    <col customWidth="1" min="6" max="7" width="12.63"/>
    <col customWidth="1" min="8" max="8" width="6.88"/>
    <col customWidth="1" min="9" max="10" width="14.13"/>
  </cols>
  <sheetData>
    <row r="1" ht="15.75" customHeight="1">
      <c r="A1" s="40" t="s">
        <v>44</v>
      </c>
      <c r="B1" s="30" t="s">
        <v>27</v>
      </c>
      <c r="C1" s="30" t="s">
        <v>55</v>
      </c>
      <c r="D1" s="30" t="s">
        <v>56</v>
      </c>
      <c r="E1" s="30" t="s">
        <v>57</v>
      </c>
      <c r="F1" s="30" t="s">
        <v>47</v>
      </c>
      <c r="G1" s="30" t="s">
        <v>58</v>
      </c>
      <c r="H1" s="30" t="s">
        <v>59</v>
      </c>
      <c r="I1" s="30" t="s">
        <v>60</v>
      </c>
    </row>
    <row r="2" ht="15.75" customHeight="1">
      <c r="A2" s="41"/>
      <c r="B2" s="41" t="s">
        <v>61</v>
      </c>
      <c r="C2" s="42">
        <v>1600.0</v>
      </c>
      <c r="D2" s="43">
        <v>112.0</v>
      </c>
      <c r="E2" s="43">
        <v>20.16</v>
      </c>
      <c r="F2" s="43">
        <f t="shared" ref="F2:F5" si="1">C2 -D2-E2</f>
        <v>1467.84</v>
      </c>
      <c r="G2" s="43">
        <v>0.24</v>
      </c>
      <c r="H2" s="43">
        <v>1.2</v>
      </c>
      <c r="I2" s="43">
        <v>106.4</v>
      </c>
    </row>
    <row r="3" ht="15.75" customHeight="1">
      <c r="A3" s="44"/>
      <c r="B3" s="45" t="s">
        <v>52</v>
      </c>
      <c r="C3" s="46">
        <v>1500.0</v>
      </c>
      <c r="D3" s="46">
        <v>105.0</v>
      </c>
      <c r="E3" s="46">
        <v>18.9</v>
      </c>
      <c r="F3" s="43">
        <f t="shared" si="1"/>
        <v>1376.1</v>
      </c>
      <c r="G3" s="46">
        <v>1.5</v>
      </c>
      <c r="H3" s="46">
        <v>7.5</v>
      </c>
      <c r="I3" s="46">
        <v>1367.1</v>
      </c>
    </row>
    <row r="4" ht="15.75" customHeight="1">
      <c r="A4" s="47"/>
      <c r="B4" s="11" t="s">
        <v>62</v>
      </c>
      <c r="C4" s="11">
        <v>560.0</v>
      </c>
      <c r="D4" s="11">
        <v>56.0</v>
      </c>
      <c r="E4" s="11">
        <v>10.08</v>
      </c>
      <c r="F4" s="43">
        <f t="shared" si="1"/>
        <v>493.92</v>
      </c>
      <c r="G4" s="11">
        <v>0.56</v>
      </c>
      <c r="H4" s="11">
        <v>2.8</v>
      </c>
      <c r="I4" s="11">
        <v>490.56</v>
      </c>
    </row>
    <row r="5" ht="15.75" customHeight="1">
      <c r="A5" s="47"/>
      <c r="B5" s="11" t="s">
        <v>63</v>
      </c>
      <c r="C5" s="48">
        <v>800.0</v>
      </c>
      <c r="D5" s="48">
        <v>56.0</v>
      </c>
      <c r="E5" s="48">
        <v>10.8</v>
      </c>
      <c r="F5" s="43">
        <f t="shared" si="1"/>
        <v>733.2</v>
      </c>
      <c r="G5" s="48">
        <v>0.8</v>
      </c>
      <c r="H5" s="48">
        <v>4.0</v>
      </c>
      <c r="I5" s="48">
        <v>729.12</v>
      </c>
    </row>
    <row r="6" ht="15.75" customHeight="1">
      <c r="A6" s="38"/>
      <c r="B6" s="36"/>
      <c r="C6" s="49"/>
      <c r="D6" s="50"/>
      <c r="E6" s="36"/>
      <c r="F6" s="39"/>
      <c r="G6" s="8"/>
      <c r="H6" s="36"/>
      <c r="I6" s="49"/>
    </row>
    <row r="7" ht="15.75" customHeight="1">
      <c r="A7" s="35"/>
      <c r="B7" s="12" t="s">
        <v>43</v>
      </c>
      <c r="C7" s="51">
        <f>SUM(C2:C5)</f>
        <v>4460</v>
      </c>
      <c r="D7" s="52"/>
      <c r="E7" s="8"/>
      <c r="F7" s="39">
        <f>SUM(F2:F6)</f>
        <v>4071.06</v>
      </c>
      <c r="G7" s="8"/>
      <c r="H7" s="8"/>
      <c r="I7" s="51">
        <f>SUM(I2:I5)</f>
        <v>2693.18</v>
      </c>
    </row>
    <row r="8" ht="15.75" customHeight="1">
      <c r="F8" s="3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25"/>
    <col customWidth="1" min="4" max="4" width="14.38"/>
    <col customWidth="1" min="5" max="6" width="14.13"/>
    <col customWidth="1" min="9" max="9" width="14.13"/>
  </cols>
  <sheetData>
    <row r="1">
      <c r="A1" s="40" t="s">
        <v>44</v>
      </c>
      <c r="B1" s="30" t="s">
        <v>27</v>
      </c>
      <c r="C1" s="30" t="s">
        <v>64</v>
      </c>
      <c r="D1" s="30" t="s">
        <v>56</v>
      </c>
      <c r="E1" s="53" t="s">
        <v>65</v>
      </c>
      <c r="F1" s="30" t="s">
        <v>47</v>
      </c>
      <c r="G1" s="54" t="s">
        <v>49</v>
      </c>
      <c r="H1" s="54" t="s">
        <v>48</v>
      </c>
      <c r="I1" s="30" t="s">
        <v>60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55"/>
      <c r="B2" s="34" t="s">
        <v>66</v>
      </c>
      <c r="C2" s="33">
        <v>6800.0</v>
      </c>
      <c r="D2" s="11">
        <f t="shared" ref="D2:D4" si="1">C2*2%</f>
        <v>136</v>
      </c>
      <c r="E2" s="56">
        <f t="shared" ref="E2:E4" si="2">D2*18%</f>
        <v>24.48</v>
      </c>
      <c r="F2" s="56">
        <f t="shared" ref="F2:F4" si="3">C2-D2-E2</f>
        <v>6639.52</v>
      </c>
      <c r="G2" s="34">
        <f t="shared" ref="G2:G4" si="4">C2*0.5%</f>
        <v>34</v>
      </c>
      <c r="H2" s="34">
        <f t="shared" ref="H2:H4" si="5">D2*0.1%</f>
        <v>0.136</v>
      </c>
      <c r="I2" s="34">
        <f t="shared" ref="I2:I4" si="6">F2-G2-H2</f>
        <v>6605.384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15.75" customHeight="1">
      <c r="A3" s="55"/>
      <c r="B3" s="11" t="s">
        <v>52</v>
      </c>
      <c r="C3" s="11">
        <v>4400.0</v>
      </c>
      <c r="D3" s="11">
        <f t="shared" si="1"/>
        <v>88</v>
      </c>
      <c r="E3" s="56">
        <f t="shared" si="2"/>
        <v>15.84</v>
      </c>
      <c r="F3" s="56">
        <f t="shared" si="3"/>
        <v>4296.16</v>
      </c>
      <c r="G3" s="34">
        <f t="shared" si="4"/>
        <v>22</v>
      </c>
      <c r="H3" s="34">
        <f t="shared" si="5"/>
        <v>0.088</v>
      </c>
      <c r="I3" s="34">
        <f t="shared" si="6"/>
        <v>4274.072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55"/>
      <c r="B4" s="11" t="s">
        <v>67</v>
      </c>
      <c r="C4" s="33">
        <v>6000.0</v>
      </c>
      <c r="D4" s="11">
        <f t="shared" si="1"/>
        <v>120</v>
      </c>
      <c r="E4" s="56">
        <f t="shared" si="2"/>
        <v>21.6</v>
      </c>
      <c r="F4" s="56">
        <f t="shared" si="3"/>
        <v>5858.4</v>
      </c>
      <c r="G4" s="34">
        <f t="shared" si="4"/>
        <v>30</v>
      </c>
      <c r="H4" s="34">
        <f t="shared" si="5"/>
        <v>0.12</v>
      </c>
      <c r="I4" s="34">
        <f t="shared" si="6"/>
        <v>5828.28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55"/>
      <c r="B5" s="57" t="s">
        <v>43</v>
      </c>
      <c r="C5" s="18">
        <f>SUM(C2:C4)</f>
        <v>17200</v>
      </c>
      <c r="D5" s="34"/>
      <c r="E5" s="18"/>
      <c r="F5" s="18">
        <f>SUM(F2:F4)</f>
        <v>16794.08</v>
      </c>
      <c r="G5" s="18"/>
      <c r="H5" s="34"/>
      <c r="I5" s="18">
        <f>SUM(I2:I4)</f>
        <v>16707.736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8.25"/>
    <col customWidth="1" min="4" max="4" width="23.88"/>
    <col customWidth="1" min="5" max="5" width="14.13"/>
    <col customWidth="1" min="6" max="7" width="12.63"/>
    <col customWidth="1" min="8" max="8" width="14.13"/>
  </cols>
  <sheetData>
    <row r="1" ht="15.75" customHeight="1">
      <c r="A1" s="40" t="s">
        <v>44</v>
      </c>
      <c r="B1" s="30" t="s">
        <v>27</v>
      </c>
      <c r="C1" s="30" t="s">
        <v>68</v>
      </c>
      <c r="D1" s="30" t="s">
        <v>56</v>
      </c>
      <c r="E1" s="30" t="s">
        <v>60</v>
      </c>
    </row>
    <row r="2" ht="15.75" customHeight="1">
      <c r="A2" s="55"/>
      <c r="B2" s="11" t="s">
        <v>69</v>
      </c>
      <c r="C2" s="33">
        <v>399.0</v>
      </c>
      <c r="D2" s="34">
        <f>C2*5%</f>
        <v>19.95</v>
      </c>
      <c r="E2" s="58">
        <v>380.0</v>
      </c>
    </row>
    <row r="3" ht="15.75" customHeight="1">
      <c r="A3" s="35"/>
      <c r="B3" s="8"/>
      <c r="C3" s="8"/>
      <c r="D3" s="8"/>
      <c r="E3" s="8"/>
    </row>
    <row r="4" ht="15.75" customHeight="1">
      <c r="A4" s="35"/>
      <c r="B4" s="8"/>
      <c r="C4" s="59">
        <f>SUM(C2:C3)</f>
        <v>399</v>
      </c>
      <c r="D4" s="8"/>
      <c r="E4" s="59">
        <f>SUM(E2:E3)</f>
        <v>380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4.75"/>
    <col customWidth="1" min="4" max="4" width="18.5"/>
    <col customWidth="1" min="5" max="5" width="24.38"/>
    <col customWidth="1" min="6" max="6" width="14.13"/>
    <col customWidth="1" min="7" max="7" width="12.63"/>
  </cols>
  <sheetData>
    <row r="1" ht="15.75" customHeight="1">
      <c r="A1" s="29" t="s">
        <v>44</v>
      </c>
      <c r="B1" s="19" t="s">
        <v>27</v>
      </c>
      <c r="C1" s="19" t="s">
        <v>70</v>
      </c>
      <c r="D1" s="19" t="s">
        <v>71</v>
      </c>
      <c r="E1" s="60" t="s">
        <v>72</v>
      </c>
      <c r="F1" s="19" t="s">
        <v>60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ht="15.75" customHeight="1">
      <c r="A2" s="14"/>
      <c r="B2" s="11" t="s">
        <v>73</v>
      </c>
      <c r="C2" s="7">
        <v>0.0</v>
      </c>
      <c r="D2" s="14"/>
      <c r="E2" s="14"/>
      <c r="F2" s="61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ht="15.75" customHeight="1">
      <c r="A3" s="35"/>
      <c r="B3" s="62"/>
      <c r="C3" s="35"/>
      <c r="D3" s="35"/>
      <c r="E3" s="35"/>
      <c r="F3" s="63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 ht="15.75" customHeight="1">
      <c r="A4" s="35"/>
      <c r="B4" s="62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5.75" customHeight="1">
      <c r="A5" s="62"/>
      <c r="B5" s="62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ht="15.75" customHeight="1">
      <c r="A6" s="35"/>
      <c r="B6" s="35"/>
      <c r="C6" s="64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ht="15.75" customHeight="1">
      <c r="A9" s="62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ht="15.75" customHeight="1">
      <c r="A10" s="62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ht="15.75" customHeight="1">
      <c r="A11" s="62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ht="15.75" customHeight="1">
      <c r="A12" s="62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ht="15.75" customHeight="1">
      <c r="A13" s="6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7.25"/>
    <col customWidth="1" min="3" max="3" width="17.75"/>
    <col customWidth="1" min="4" max="4" width="14.13"/>
    <col customWidth="1" min="5" max="5" width="12.63"/>
  </cols>
  <sheetData>
    <row r="1" ht="15.75" customHeight="1">
      <c r="A1" s="65" t="s">
        <v>44</v>
      </c>
      <c r="B1" s="19" t="s">
        <v>27</v>
      </c>
      <c r="C1" s="60" t="s">
        <v>74</v>
      </c>
      <c r="D1" s="66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ht="15.75" customHeight="1">
      <c r="A2" s="67"/>
      <c r="B2" s="11" t="s">
        <v>73</v>
      </c>
      <c r="C2" s="13">
        <v>0.0</v>
      </c>
      <c r="D2" s="63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ht="15.75" customHeight="1">
      <c r="A3" s="35"/>
      <c r="B3" s="62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ht="15.75" customHeight="1">
      <c r="A4" s="35"/>
      <c r="B4" s="62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ht="15.75" customHeight="1">
      <c r="A5" s="62"/>
      <c r="B5" s="62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ht="15.75" customHeight="1">
      <c r="A6" s="35"/>
      <c r="B6" s="62"/>
      <c r="C6" s="64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ht="15.75" customHeight="1">
      <c r="A9" s="62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ht="15.75" customHeight="1">
      <c r="A10" s="62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ht="15.75" customHeight="1">
      <c r="A11" s="62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ht="15.75" customHeight="1">
      <c r="A12" s="62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ht="15.75" customHeight="1">
      <c r="A13" s="62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ht="15.75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</row>
  </sheetData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5.25"/>
    <col customWidth="1" min="3" max="3" width="17.13"/>
    <col customWidth="1" min="4" max="4" width="12.63"/>
    <col customWidth="1" min="5" max="5" width="15.25"/>
    <col customWidth="1" min="6" max="6" width="12.63"/>
  </cols>
  <sheetData>
    <row r="1" ht="15.75" customHeight="1">
      <c r="A1" s="19" t="s">
        <v>75</v>
      </c>
      <c r="B1" s="19" t="s">
        <v>76</v>
      </c>
      <c r="C1" s="19" t="s">
        <v>77</v>
      </c>
      <c r="D1" s="19" t="s">
        <v>78</v>
      </c>
      <c r="E1" s="68" t="s">
        <v>79</v>
      </c>
    </row>
    <row r="2" ht="15.75" customHeight="1">
      <c r="A2" s="69" t="s">
        <v>80</v>
      </c>
      <c r="B2" s="36" t="s">
        <v>81</v>
      </c>
      <c r="C2" s="36" t="s">
        <v>82</v>
      </c>
      <c r="D2" s="70">
        <v>45992.0</v>
      </c>
      <c r="E2" s="71">
        <v>18880.0</v>
      </c>
    </row>
    <row r="3" ht="15.75" customHeight="1">
      <c r="A3" s="36"/>
      <c r="B3" s="67"/>
      <c r="C3" s="36"/>
      <c r="D3" s="21"/>
      <c r="E3" s="26"/>
      <c r="F3" s="35"/>
      <c r="G3" s="35"/>
      <c r="H3" s="72"/>
      <c r="I3" s="73"/>
      <c r="K3" s="35"/>
    </row>
    <row r="4" ht="15.75" customHeight="1">
      <c r="A4" s="69"/>
      <c r="B4" s="36"/>
      <c r="C4" s="36"/>
      <c r="D4" s="70"/>
      <c r="E4" s="6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C2">
      <formula1>"Kickoff Pack (7),Pro Pack (30),Rally Pack (15),Grand slam (90),Collab,Custom"</formula1>
    </dataValidation>
    <dataValidation type="list" allowBlank="1" showErrorMessage="1" sqref="B2">
      <formula1>"Pickleball,Padel,Box Cricket,Pickle &amp; Box"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3" max="3" width="14.25"/>
    <col customWidth="1" min="4" max="4" width="13.63"/>
    <col customWidth="1" min="5" max="5" width="15.25"/>
  </cols>
  <sheetData>
    <row r="1">
      <c r="A1" s="74" t="s">
        <v>27</v>
      </c>
      <c r="B1" s="74" t="s">
        <v>83</v>
      </c>
      <c r="C1" s="20" t="s">
        <v>76</v>
      </c>
      <c r="D1" s="74" t="s">
        <v>84</v>
      </c>
      <c r="E1" s="20" t="s">
        <v>79</v>
      </c>
    </row>
    <row r="2">
      <c r="A2" s="75">
        <v>46049.0</v>
      </c>
      <c r="B2" s="76" t="s">
        <v>85</v>
      </c>
      <c r="C2" s="76" t="s">
        <v>86</v>
      </c>
      <c r="D2" s="76" t="s">
        <v>87</v>
      </c>
      <c r="E2" s="77">
        <v>2730.0</v>
      </c>
    </row>
    <row r="3">
      <c r="A3" s="75"/>
    </row>
  </sheetData>
  <drawing r:id="rId1"/>
</worksheet>
</file>