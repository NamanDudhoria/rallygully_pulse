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Khelomore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<sst xmlns="http://schemas.openxmlformats.org/spreadsheetml/2006/main" count="156" uniqueCount="66">
  <si>
    <t>Date</t>
  </si>
  <si>
    <t>1 - 31 May</t>
  </si>
  <si>
    <t>Link</t>
  </si>
  <si>
    <t>Day</t>
  </si>
  <si>
    <t>Offline booking hours</t>
  </si>
  <si>
    <t>Particulars</t>
  </si>
  <si>
    <t>Amount</t>
  </si>
  <si>
    <t>Discount Given</t>
  </si>
  <si>
    <t>Pickleball</t>
  </si>
  <si>
    <t>Total</t>
  </si>
  <si>
    <t>Turf</t>
  </si>
  <si>
    <t>Total Revenue</t>
  </si>
  <si>
    <t>Payment Gateway</t>
  </si>
  <si>
    <t>Padel</t>
  </si>
  <si>
    <t>Paid to District</t>
  </si>
  <si>
    <t>Net Revenue</t>
  </si>
  <si>
    <t>Pay &amp; Play</t>
  </si>
  <si>
    <t>Commissions (₹)</t>
  </si>
  <si>
    <t>Paid to Hudle</t>
  </si>
  <si>
    <t>Commisions (Including GST)</t>
  </si>
  <si>
    <t>GST on Commission</t>
  </si>
  <si>
    <t>TDS</t>
  </si>
  <si>
    <t>TCS</t>
  </si>
  <si>
    <t>Friday</t>
  </si>
  <si>
    <t>Final Amount (₹)</t>
  </si>
  <si>
    <t>15% &amp; 20%</t>
  </si>
  <si>
    <t xml:space="preserve">Online </t>
  </si>
  <si>
    <t>Saturday</t>
  </si>
  <si>
    <t>Sunday</t>
  </si>
  <si>
    <t>District</t>
  </si>
  <si>
    <t>Monday</t>
  </si>
  <si>
    <t>Tuesday</t>
  </si>
  <si>
    <t>Wednesday</t>
  </si>
  <si>
    <t>Thursday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</si>
  <si>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</si>
  <si>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</si>
  <si>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</si>
  <si>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</si>
  <si>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</si>
  <si>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</si>
  <si>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</si>
  <si>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</si>
  <si>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</si>
  <si>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</si>
  <si>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</si>
  <si>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</si>
  <si>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</si>
  <si>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</si>
  <si>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</si>
  <si>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Paid to Playo (₹)</t>
  </si>
  <si>
    <t>GST (₹)</t>
  </si>
  <si>
    <t>Product rental</t>
  </si>
  <si>
    <t>TDS (₹)</t>
  </si>
  <si>
    <t>TCS (₹)</t>
  </si>
  <si>
    <t>Product sales</t>
  </si>
  <si>
    <t>F&amp;B</t>
  </si>
  <si>
    <t>Other Income</t>
  </si>
  <si>
    <t>Total Gross Revenue</t>
  </si>
  <si>
    <t>Total Net Revenue (Post Commissions)</t>
  </si>
  <si>
    <t>Paid to Khelomore (₹)</t>
  </si>
  <si>
    <t>Total Revenue post GST</t>
  </si>
  <si>
    <t>Month</t>
  </si>
  <si>
    <t>Sports Type</t>
  </si>
  <si>
    <t>Amount Collected</t>
  </si>
  <si>
    <t>May</t>
  </si>
  <si>
    <t>Padel Operations &amp; Management Fees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</si>
</sst>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0"/>
    <numFmt numFmtId="166" formatCode="[&gt;9999999][$₹]##\,##\,##\,##0;[&gt;99999][$₹]##\,##\,##0;[$₹]##,##0"/>
    <numFmt numFmtId="167" formatCode="d mmmm"/>
    <numFmt numFmtId="168" formatCode="[&gt;9999999][$₹]##\,##\,##\,##0.00;[&gt;99999][$₹]##\,##\,##0.00;[$₹]##,##0.00"/>
    <numFmt numFmtId="169" formatCode="d mmm"/>
    <numFmt numFmtId="170" formatCode="[$₹]#,##0.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1155CC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u/>
      <color rgb="FF0000FF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49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1" fillId="2" fontId="4" numFmtId="164" xfId="0" applyAlignment="1" applyBorder="1" applyFill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1" fillId="2" fontId="2" numFmtId="4" xfId="0" applyAlignment="1" applyBorder="1" applyFill="1" applyFont="1" applyNumberFormat="1">
      <alignment horizontal="center" vertical="bottom"/>
    </xf>
    <xf borderId="1" fillId="2" fontId="2" numFmtId="4" xfId="0" applyAlignment="1" applyBorder="1" applyFill="1" applyFont="1" applyNumberFormat="1">
      <alignment horizontal="center" readingOrder="0" vertical="bottom"/>
    </xf>
    <xf borderId="1" fillId="0" fontId="2" numFmtId="164" xfId="0" applyAlignment="1" applyBorder="1" applyFont="1" applyNumberFormat="1">
      <alignment horizontal="center" vertical="bottom"/>
    </xf>
    <xf borderId="1" fillId="2" fontId="2" numFmtId="49" xfId="0" applyAlignment="1" applyBorder="1" applyFill="1" applyFont="1" applyNumberFormat="1">
      <alignment horizontal="center" readingOrder="0" vertical="bottom"/>
    </xf>
    <xf borderId="1" fillId="2" fontId="4" numFmtId="0" xfId="0" applyAlignment="1" applyBorder="1" applyFill="1" applyFont="1">
      <alignment vertical="bottom"/>
    </xf>
    <xf borderId="1" fillId="2" fontId="2" numFmtId="164" xfId="0" applyAlignment="1" applyBorder="1" applyFill="1" applyFont="1" applyNumberFormat="1">
      <alignment horizontal="center" vertical="bottom"/>
    </xf>
    <xf borderId="1" fillId="2" fontId="5" numFmtId="165" xfId="0" applyAlignment="1" applyBorder="1" applyFill="1" applyFont="1" applyNumberFormat="1">
      <alignment horizontal="center" vertical="bottom"/>
    </xf>
    <xf borderId="1" fillId="2" fontId="6" numFmtId="0" xfId="0" applyAlignment="1" applyBorder="1" applyFill="1" applyFont="1">
      <alignment horizontal="center" readingOrder="0"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vertical="bottom"/>
    </xf>
    <xf borderId="1" fillId="2" fontId="2" numFmtId="164" xfId="0" applyAlignment="1" applyBorder="1" applyFill="1" applyFont="1" applyNumberForma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0" fillId="2" fontId="7" numFmtId="165" xfId="0" applyAlignment="1" applyFill="1" applyFont="1" applyNumberFormat="1">
      <alignment vertical="bottom"/>
    </xf>
    <xf borderId="1" fillId="3" fontId="4" numFmtId="167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vertical="bottom"/>
    </xf>
    <xf borderId="1" fillId="0" fontId="4" numFmtId="0" xfId="0" applyAlignment="1" applyBorder="1" applyFont="1">
      <alignment vertical="bottom"/>
    </xf>
    <xf borderId="0" fillId="2" fontId="2" numFmtId="165" xfId="0" applyAlignment="1" applyFill="1" applyFont="1" applyNumberFormat="1">
      <alignment horizontal="center"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4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0" fillId="0" fontId="4" numFmtId="169" xfId="0" applyAlignment="1" applyFont="1" applyNumberFormat="1">
      <alignment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165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vertical="bottom"/>
    </xf>
    <xf borderId="1" fillId="2" fontId="2" numFmtId="168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1" fillId="0" fontId="4" numFmtId="168" xfId="0" applyAlignment="1" applyBorder="1" applyFont="1" applyNumberFormat="1">
      <alignment vertical="bottom"/>
    </xf>
    <xf borderId="1" fillId="2" fontId="2" numFmtId="165" xfId="0" applyAlignment="1" applyBorder="1" applyFill="1" applyFont="1" applyNumberFormat="1">
      <alignment vertical="bottom"/>
    </xf>
    <xf borderId="1" fillId="0" fontId="2" numFmtId="170" xfId="0" applyAlignment="1" applyBorder="1" applyFont="1" applyNumberFormat="1">
      <alignment vertical="bottom"/>
    </xf>
    <xf borderId="1" fillId="3" fontId="4" numFmtId="4" xfId="0" applyAlignment="1" applyBorder="1" applyFill="1" applyFont="1" applyNumberFormat="1">
      <alignment horizontal="right" readingOrder="0" vertical="bottom"/>
    </xf>
    <xf borderId="1" fillId="2" fontId="2" numFmtId="165" xfId="0" applyAlignment="1" applyBorder="1" applyFill="1" applyFont="1" applyNumberFormat="1">
      <alignment horizontal="right" vertical="bottom"/>
    </xf>
    <xf borderId="1" fillId="2" fontId="4" numFmtId="165" xfId="0" applyAlignment="1" applyBorder="1" applyFill="1" applyFont="1" applyNumberFormat="1">
      <alignment vertical="bottom"/>
    </xf>
    <xf borderId="1" fillId="0" fontId="2" numFmtId="170" xfId="0" applyAlignment="1" applyBorder="1" applyFont="1" applyNumberFormat="1">
      <alignment horizontal="right" vertical="bottom"/>
    </xf>
    <xf borderId="1" fillId="2" fontId="4" numFmtId="168" xfId="0" applyAlignment="1" applyBorder="1" applyFill="1" applyFont="1" applyNumberFormat="1">
      <alignment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2" numFmtId="170" xfId="0" applyAlignment="1" applyBorder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readingOrder="0" vertical="bottom"/>
    </xf>
    <xf borderId="1" fillId="0" fontId="8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 vertical="bottom"/>
    </xf>
    <xf borderId="1" fillId="0" fontId="4" numFmtId="166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4" numFmtId="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1" fillId="0" fontId="4" numFmtId="1" xfId="0" applyAlignment="1" applyBorder="1" applyFont="1" applyNumberFormat="1">
      <alignment horizontal="right" readingOrder="0" vertical="bottom"/>
    </xf>
    <xf borderId="1" fillId="3" fontId="4" numFmtId="1" xfId="0" applyAlignment="1" applyBorder="1" applyFill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3" fontId="4" numFmtId="165" xfId="0" applyAlignment="1" applyBorder="1" applyFill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horizontal="right" vertical="bottom"/>
    </xf>
    <xf borderId="1" fillId="2" fontId="2" numFmtId="1" xfId="0" applyAlignment="1" applyBorder="1" applyFill="1" applyFont="1" applyNumberFormat="1">
      <alignment horizontal="right" vertical="bottom"/>
    </xf>
    <xf borderId="1" fillId="3" fontId="4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readingOrder="0" vertical="bottom"/>
    </xf>
    <xf borderId="1" fillId="3" fontId="4" numFmtId="4" xfId="0" applyAlignment="1" applyBorder="1" applyFill="1" applyFont="1" applyNumberFormat="1">
      <alignment readingOrder="0" vertical="bottom"/>
    </xf>
    <xf borderId="1" fillId="2" fontId="2" numFmtId="166" xfId="0" applyAlignment="1" applyBorder="1" applyFill="1" applyFont="1" applyNumberFormat="1">
      <alignment horizontal="right" vertical="bottom"/>
    </xf>
    <xf borderId="1" fillId="2" fontId="2" numFmtId="0" xfId="0" applyAlignment="1" applyBorder="1" applyFill="1" applyFont="1">
      <alignment horizontal="right" readingOrder="0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2" numFmtId="4" xfId="0" applyAlignment="1" applyBorder="1" applyFill="1" applyFont="1" applyNumberFormat="1">
      <alignment horizontal="right" vertical="bottom"/>
    </xf>
    <xf borderId="1" fillId="2" fontId="4" numFmtId="4" xfId="0" applyAlignment="1" applyBorder="1" applyFill="1" applyFont="1" applyNumberFormat="1">
      <alignment vertical="bottom"/>
    </xf>
    <xf borderId="1" fillId="0" fontId="4" numFmtId="0" xfId="0" applyAlignment="1" applyBorder="1" applyFont="1">
      <alignment shrinkToFit="0" vertical="bottom" wrapText="1"/>
    </xf>
    <xf borderId="0" fillId="2" fontId="9" numFmtId="165" xfId="0" applyAlignment="1" applyFill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1" fillId="3" fontId="4" numFmtId="165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1" fillId="2" fontId="2" numFmtId="169" xfId="0" applyAlignment="1" applyBorder="1" applyFill="1" applyFont="1" applyNumberFormat="1">
      <alignment vertical="bottom"/>
    </xf>
    <xf borderId="1" fillId="2" fontId="7" numFmtId="165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right" readingOrder="0" vertical="bottom"/>
    </xf>
    <xf borderId="0" fillId="0" fontId="11" numFmtId="0" xfId="0" applyAlignment="1" applyFon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2" numFmtId="168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jxXkKP_xd_TbdEJ3ZZb2rn7lRYGMSsN670CuwINbH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_eNbvMgFN7CObWRv63Tn3k5DxAM_ekSMT0jQX6s52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H0HqZlPOwtN-Xm-zglI62tHrM1Ojt70bkwQGYCJwKU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zM9rczycp4vZ62kHGHtlyG6uYSautvQi3TdCcWo5cQ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1</v>
      </c>
      <c r="C2" s="4"/>
      <c r="D2" s="5"/>
      <c r="E2" s="6"/>
      <c r="F2" s="6"/>
    </row>
    <row r="3">
      <c r="B3" s="7" t="s">
        <v>5</v>
      </c>
      <c r="C3" s="7" t="s">
        <v>6</v>
      </c>
      <c r="D3" s="7"/>
      <c r="E3" s="10"/>
      <c r="F3" s="7"/>
    </row>
    <row r="4">
      <c r="B4" s="12"/>
      <c r="C4" s="13" t="s">
        <v>9</v>
      </c>
      <c r="D4" s="16" t="s">
        <v>8</v>
      </c>
      <c r="E4" s="13" t="s">
        <v>10</v>
      </c>
      <c r="F4" s="19" t="s">
        <v>13</v>
      </c>
    </row>
    <row r="5" outlineLevel="1">
      <c r="B5" s="21" t="s">
        <v>16</v>
      </c>
      <c r="C5" s="33">
        <f t="shared" ref="C5:E5" si="1">sum(C6,C12)</f>
        <v>134927</v>
      </c>
      <c r="D5" s="35">
        <f t="shared" si="1"/>
        <v>87588</v>
      </c>
      <c r="E5" s="33">
        <f t="shared" si="1"/>
        <v>50432</v>
      </c>
      <c r="F5" s="37">
        <v>0.0</v>
      </c>
    </row>
    <row r="6" outlineLevel="1">
      <c r="B6" s="21" t="s">
        <v>26</v>
      </c>
      <c r="C6" s="33">
        <f t="shared" ref="C6:E6" si="2">sum(C7:C11)</f>
        <v>96037</v>
      </c>
      <c r="D6" s="35">
        <f t="shared" si="2"/>
        <v>59638</v>
      </c>
      <c r="E6" s="33">
        <f t="shared" si="2"/>
        <v>39492</v>
      </c>
      <c r="F6" s="37">
        <v>0.0</v>
      </c>
    </row>
    <row r="7" outlineLevel="1">
      <c r="B7" s="25" t="s">
        <v>29</v>
      </c>
      <c r="C7" s="50">
        <f>District!C4</f>
        <v>9579</v>
      </c>
      <c r="D7" s="52">
        <f>District!B6</f>
        <v>5584</v>
      </c>
      <c r="E7" s="54">
        <f>District!B7</f>
        <v>3995</v>
      </c>
      <c r="F7" s="50">
        <v>0.0</v>
      </c>
    </row>
    <row r="8" outlineLevel="1">
      <c r="B8" s="25" t="s">
        <v>34</v>
      </c>
      <c r="C8" s="40">
        <f>Hudle!C2</f>
        <v>9213</v>
      </c>
      <c r="D8" s="55">
        <f>Hudle!B5</f>
        <v>9213</v>
      </c>
      <c r="E8" s="56">
        <f>Hudle!B6</f>
        <v>0</v>
      </c>
      <c r="F8" s="50">
        <v>0.0</v>
      </c>
    </row>
    <row r="9">
      <c r="B9" s="25" t="s">
        <v>35</v>
      </c>
      <c r="C9" s="40">
        <f>Playo!C2</f>
        <v>60245</v>
      </c>
      <c r="D9" s="55">
        <f>Playo!B5</f>
        <v>30241</v>
      </c>
      <c r="E9" s="56">
        <f>Playo!B6</f>
        <v>33097</v>
      </c>
      <c r="F9" s="50">
        <v>0.0</v>
      </c>
    </row>
    <row r="10" outlineLevel="1">
      <c r="B10" s="57" t="s">
        <v>36</v>
      </c>
      <c r="C10" s="55">
        <f>Khelomore!C2</f>
        <v>17000</v>
      </c>
      <c r="D10" s="55">
        <f>Khelomore!B6</f>
        <v>14600</v>
      </c>
      <c r="E10" s="54">
        <f>Khelomore!B7</f>
        <v>2400</v>
      </c>
      <c r="F10" s="50">
        <v>0.0</v>
      </c>
    </row>
    <row r="11" outlineLevel="1">
      <c r="B11" s="25" t="s">
        <v>37</v>
      </c>
      <c r="C11" s="52">
        <v>0.0</v>
      </c>
      <c r="D11" s="52">
        <v>0.0</v>
      </c>
      <c r="E11" s="54">
        <v>0.0</v>
      </c>
      <c r="F11" s="50">
        <v>0.0</v>
      </c>
    </row>
    <row r="12" outlineLevel="1">
      <c r="B12" s="59" t="s">
        <v>38</v>
      </c>
      <c r="C12" s="35">
        <f t="shared" ref="C12:F12" si="3">sum(C13:C14)</f>
        <v>38890</v>
      </c>
      <c r="D12" s="35">
        <f t="shared" si="3"/>
        <v>27950</v>
      </c>
      <c r="E12" s="33">
        <f t="shared" si="3"/>
        <v>10940</v>
      </c>
      <c r="F12" s="35">
        <f t="shared" si="3"/>
        <v>0</v>
      </c>
    </row>
    <row r="13" outlineLevel="1">
      <c r="B13" s="25" t="s">
        <v>39</v>
      </c>
      <c r="C13" s="52">
        <f>'Offline &amp; RG Community'!E33+'Offline &amp; RG Community'!F33</f>
        <v>38890</v>
      </c>
      <c r="D13" s="52">
        <f>'Offline &amp; RG Community'!E33</f>
        <v>27950</v>
      </c>
      <c r="E13" s="56">
        <f>'Offline &amp; RG Community'!F33</f>
        <v>10940</v>
      </c>
      <c r="F13" s="50">
        <v>0.0</v>
      </c>
    </row>
    <row r="14">
      <c r="B14" s="32" t="s">
        <v>40</v>
      </c>
      <c r="C14" s="52">
        <v>0.0</v>
      </c>
      <c r="D14" s="52">
        <v>0.0</v>
      </c>
      <c r="E14" s="54">
        <v>0.0</v>
      </c>
      <c r="F14" s="50">
        <v>0.0</v>
      </c>
    </row>
    <row r="15">
      <c r="B15" s="59" t="s">
        <v>41</v>
      </c>
      <c r="C15" s="35">
        <f t="shared" ref="C15:E15" si="4">sum(C16:C17)</f>
        <v>0</v>
      </c>
      <c r="D15" s="35">
        <f t="shared" si="4"/>
        <v>0</v>
      </c>
      <c r="E15" s="33">
        <f t="shared" si="4"/>
        <v>0</v>
      </c>
      <c r="F15" s="37">
        <v>0.0</v>
      </c>
    </row>
    <row r="16" outlineLevel="1">
      <c r="B16" s="57" t="s">
        <v>42</v>
      </c>
      <c r="C16" s="52">
        <v>0.0</v>
      </c>
      <c r="D16" s="52">
        <v>0.0</v>
      </c>
      <c r="E16" s="54">
        <v>0.0</v>
      </c>
      <c r="F16" s="50">
        <v>0.0</v>
      </c>
    </row>
    <row r="17" outlineLevel="1">
      <c r="B17" s="57" t="s">
        <v>43</v>
      </c>
      <c r="C17" s="52">
        <v>0.0</v>
      </c>
      <c r="D17" s="52">
        <v>0.0</v>
      </c>
      <c r="E17" s="54">
        <v>0.0</v>
      </c>
      <c r="F17" s="50">
        <v>0.0</v>
      </c>
    </row>
    <row r="18" outlineLevel="1">
      <c r="B18" s="59" t="s">
        <v>44</v>
      </c>
      <c r="C18" s="35">
        <v>0.0</v>
      </c>
      <c r="D18" s="35">
        <v>0.0</v>
      </c>
      <c r="E18" s="33">
        <v>0.0</v>
      </c>
      <c r="F18" s="37">
        <v>0.0</v>
      </c>
    </row>
    <row r="19" outlineLevel="1">
      <c r="B19" s="21" t="s">
        <v>45</v>
      </c>
      <c r="C19" s="35">
        <f t="shared" ref="C19:E19" si="5">sum(C20)</f>
        <v>0</v>
      </c>
      <c r="D19" s="35">
        <f t="shared" si="5"/>
        <v>0</v>
      </c>
      <c r="E19" s="33">
        <f t="shared" si="5"/>
        <v>0</v>
      </c>
      <c r="F19" s="37">
        <v>0.0</v>
      </c>
    </row>
    <row r="20">
      <c r="B20" s="25" t="s">
        <v>46</v>
      </c>
      <c r="C20" s="62">
        <v>0.0</v>
      </c>
      <c r="D20" s="64">
        <v>0.0</v>
      </c>
      <c r="E20" s="54">
        <v>0.0</v>
      </c>
      <c r="F20" s="50">
        <v>0.0</v>
      </c>
    </row>
    <row r="21">
      <c r="B21" s="57" t="s">
        <v>47</v>
      </c>
      <c r="C21" s="62">
        <v>0.0</v>
      </c>
      <c r="D21" s="64">
        <f>SUM(D22:D25)</f>
        <v>0</v>
      </c>
      <c r="E21" s="54">
        <v>0.0</v>
      </c>
      <c r="F21" s="50">
        <v>0.0</v>
      </c>
    </row>
    <row r="22">
      <c r="B22" s="21" t="s">
        <v>48</v>
      </c>
      <c r="C22" s="35">
        <f t="shared" ref="C22:E22" si="6">sum(C23:C25)</f>
        <v>0</v>
      </c>
      <c r="D22" s="35">
        <f t="shared" si="6"/>
        <v>0</v>
      </c>
      <c r="E22" s="33">
        <f t="shared" si="6"/>
        <v>0</v>
      </c>
      <c r="F22" s="37">
        <v>0.0</v>
      </c>
    </row>
    <row r="23">
      <c r="B23" s="25" t="s">
        <v>51</v>
      </c>
      <c r="C23" s="62">
        <v>0.0</v>
      </c>
      <c r="D23" s="64">
        <v>0.0</v>
      </c>
      <c r="E23" s="54">
        <v>0.0</v>
      </c>
      <c r="F23" s="50">
        <v>0.0</v>
      </c>
    </row>
    <row r="24">
      <c r="B24" s="25" t="s">
        <v>54</v>
      </c>
      <c r="C24" s="52">
        <v>0.0</v>
      </c>
      <c r="D24" s="52">
        <v>0.0</v>
      </c>
      <c r="E24" s="54">
        <v>0.0</v>
      </c>
      <c r="F24" s="50">
        <v>0.0</v>
      </c>
    </row>
    <row r="25">
      <c r="B25" s="25" t="s">
        <v>55</v>
      </c>
      <c r="C25" s="62">
        <v>0.0</v>
      </c>
      <c r="D25" s="64">
        <v>0.0</v>
      </c>
      <c r="E25" s="54">
        <v>0.0</v>
      </c>
      <c r="F25" s="50">
        <v>0.0</v>
      </c>
    </row>
    <row r="26">
      <c r="B26" s="21" t="s">
        <v>56</v>
      </c>
      <c r="C26" s="50">
        <v>118000.0</v>
      </c>
      <c r="D26" s="64">
        <v>0.0</v>
      </c>
      <c r="E26" s="40">
        <v>0.0</v>
      </c>
      <c r="F26" s="50">
        <v>118000.0</v>
      </c>
    </row>
    <row r="27">
      <c r="B27" s="18" t="s">
        <v>57</v>
      </c>
      <c r="C27" s="69">
        <f t="shared" ref="C27:F27" si="7">sum(C5,C15,C18,C19,C22,C26)</f>
        <v>252927</v>
      </c>
      <c r="D27" s="69">
        <f t="shared" si="7"/>
        <v>87588</v>
      </c>
      <c r="E27" s="71">
        <f t="shared" si="7"/>
        <v>50432</v>
      </c>
      <c r="F27" s="69">
        <f t="shared" si="7"/>
        <v>118000</v>
      </c>
    </row>
    <row r="28">
      <c r="B28" s="74" t="s">
        <v>58</v>
      </c>
      <c r="C28" s="76">
        <f>'Offline &amp; RG Community'!I33+Hudle!E3+District!F4+Playo!F3+Khelomore!E4+'Other Income'!C2</f>
        <v>242538.745</v>
      </c>
      <c r="D28" s="32"/>
      <c r="E28" s="56"/>
      <c r="F28" s="77"/>
    </row>
    <row r="29">
      <c r="B29" s="21" t="s">
        <v>60</v>
      </c>
      <c r="C29" s="35">
        <f>C28/1.18</f>
        <v>205541.3093</v>
      </c>
      <c r="D29" s="35"/>
      <c r="E29" s="33"/>
      <c r="F29" s="33"/>
    </row>
  </sheetData>
  <mergeCells count="1">
    <mergeCell ref="B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3.25"/>
    <col customWidth="1" min="5" max="5" width="15.13"/>
    <col customWidth="1" min="6" max="6" width="17.63"/>
    <col customWidth="1" min="8" max="8" width="15.25"/>
  </cols>
  <sheetData>
    <row r="1">
      <c r="A1" s="2" t="s">
        <v>0</v>
      </c>
      <c r="B1" s="2" t="s">
        <v>3</v>
      </c>
      <c r="C1" s="8" t="s">
        <v>4</v>
      </c>
      <c r="D1" s="9" t="s">
        <v>7</v>
      </c>
      <c r="E1" s="11" t="s">
        <v>8</v>
      </c>
      <c r="F1" s="11" t="s">
        <v>10</v>
      </c>
      <c r="G1" s="2" t="s">
        <v>11</v>
      </c>
      <c r="H1" s="18" t="s">
        <v>12</v>
      </c>
      <c r="I1" s="18" t="s">
        <v>15</v>
      </c>
    </row>
    <row r="2">
      <c r="A2" s="23">
        <v>46143.0</v>
      </c>
      <c r="B2" s="24" t="s">
        <v>23</v>
      </c>
      <c r="C2" s="28">
        <v>3.5</v>
      </c>
      <c r="D2" s="31" t="s">
        <v>25</v>
      </c>
      <c r="E2" s="34">
        <v>2450.0</v>
      </c>
      <c r="F2" s="34">
        <v>0.0</v>
      </c>
      <c r="G2" s="38">
        <f t="shared" ref="G2:G4" si="1">sum(E2:F2)</f>
        <v>2450</v>
      </c>
      <c r="H2" s="40">
        <f t="shared" ref="H2:H32" si="2">G2*2.5%*1.18</f>
        <v>72.275</v>
      </c>
      <c r="I2" s="40">
        <f t="shared" ref="I2:I32" si="3">G2-H2</f>
        <v>2377.725</v>
      </c>
    </row>
    <row r="3">
      <c r="A3" s="23">
        <v>46144.0</v>
      </c>
      <c r="B3" s="24" t="s">
        <v>27</v>
      </c>
      <c r="C3" s="28">
        <v>0.5</v>
      </c>
      <c r="D3" s="31" t="s">
        <v>25</v>
      </c>
      <c r="E3" s="34">
        <v>350.0</v>
      </c>
      <c r="F3" s="34">
        <v>0.0</v>
      </c>
      <c r="G3" s="38">
        <f t="shared" si="1"/>
        <v>350</v>
      </c>
      <c r="H3" s="40">
        <f t="shared" si="2"/>
        <v>10.325</v>
      </c>
      <c r="I3" s="40">
        <f t="shared" si="3"/>
        <v>339.675</v>
      </c>
    </row>
    <row r="4">
      <c r="A4" s="23">
        <v>46145.0</v>
      </c>
      <c r="B4" s="24" t="s">
        <v>28</v>
      </c>
      <c r="C4" s="45">
        <v>2.0</v>
      </c>
      <c r="D4" s="31" t="s">
        <v>25</v>
      </c>
      <c r="E4" s="34">
        <v>1400.0</v>
      </c>
      <c r="F4" s="34">
        <v>0.0</v>
      </c>
      <c r="G4" s="38">
        <f t="shared" si="1"/>
        <v>1400</v>
      </c>
      <c r="H4" s="40">
        <f t="shared" si="2"/>
        <v>41.3</v>
      </c>
      <c r="I4" s="40">
        <f t="shared" si="3"/>
        <v>1358.7</v>
      </c>
    </row>
    <row r="5">
      <c r="A5" s="23">
        <v>46146.0</v>
      </c>
      <c r="B5" s="24" t="s">
        <v>30</v>
      </c>
      <c r="C5" s="28">
        <v>2.0</v>
      </c>
      <c r="D5" s="31" t="s">
        <v>25</v>
      </c>
      <c r="E5" s="34">
        <v>1400.0</v>
      </c>
      <c r="F5" s="34">
        <v>0.0</v>
      </c>
      <c r="G5" s="38">
        <f t="shared" ref="G5:G6" si="4">SUM(E5:F5)</f>
        <v>1400</v>
      </c>
      <c r="H5" s="40">
        <f t="shared" si="2"/>
        <v>41.3</v>
      </c>
      <c r="I5" s="40">
        <f t="shared" si="3"/>
        <v>1358.7</v>
      </c>
    </row>
    <row r="6">
      <c r="A6" s="23">
        <v>46147.0</v>
      </c>
      <c r="B6" s="24" t="s">
        <v>31</v>
      </c>
      <c r="C6" s="28">
        <v>2.0</v>
      </c>
      <c r="D6" s="31" t="s">
        <v>25</v>
      </c>
      <c r="E6" s="34">
        <v>1350.0</v>
      </c>
      <c r="F6" s="34">
        <v>0.0</v>
      </c>
      <c r="G6" s="38">
        <f t="shared" si="4"/>
        <v>1350</v>
      </c>
      <c r="H6" s="40">
        <f t="shared" si="2"/>
        <v>39.825</v>
      </c>
      <c r="I6" s="40">
        <f t="shared" si="3"/>
        <v>1310.175</v>
      </c>
    </row>
    <row r="7">
      <c r="A7" s="23">
        <v>46148.0</v>
      </c>
      <c r="B7" s="24" t="s">
        <v>32</v>
      </c>
      <c r="C7" s="28">
        <v>0.0</v>
      </c>
      <c r="D7" s="31" t="s">
        <v>25</v>
      </c>
      <c r="E7" s="53">
        <v>0.0</v>
      </c>
      <c r="F7" s="34">
        <v>0.0</v>
      </c>
      <c r="G7" s="38">
        <f>SUM(F7)</f>
        <v>0</v>
      </c>
      <c r="H7" s="40">
        <f t="shared" si="2"/>
        <v>0</v>
      </c>
      <c r="I7" s="40">
        <f t="shared" si="3"/>
        <v>0</v>
      </c>
    </row>
    <row r="8">
      <c r="A8" s="23">
        <v>46149.0</v>
      </c>
      <c r="B8" s="24" t="s">
        <v>33</v>
      </c>
      <c r="C8" s="28">
        <v>0.0</v>
      </c>
      <c r="D8" s="31" t="s">
        <v>25</v>
      </c>
      <c r="E8" s="34">
        <v>0.0</v>
      </c>
      <c r="F8" s="34">
        <v>0.0</v>
      </c>
      <c r="G8" s="38">
        <f>SUM(E8:F8)</f>
        <v>0</v>
      </c>
      <c r="H8" s="40">
        <f t="shared" si="2"/>
        <v>0</v>
      </c>
      <c r="I8" s="40">
        <f t="shared" si="3"/>
        <v>0</v>
      </c>
    </row>
    <row r="9">
      <c r="A9" s="23">
        <v>46150.0</v>
      </c>
      <c r="B9" s="24" t="s">
        <v>23</v>
      </c>
      <c r="C9" s="28">
        <v>0.0</v>
      </c>
      <c r="D9" s="31" t="s">
        <v>25</v>
      </c>
      <c r="E9" s="34">
        <v>0.0</v>
      </c>
      <c r="F9" s="34">
        <v>0.0</v>
      </c>
      <c r="G9" s="34">
        <v>0.0</v>
      </c>
      <c r="H9" s="40">
        <f t="shared" si="2"/>
        <v>0</v>
      </c>
      <c r="I9" s="40">
        <f t="shared" si="3"/>
        <v>0</v>
      </c>
    </row>
    <row r="10">
      <c r="A10" s="23">
        <v>46151.0</v>
      </c>
      <c r="B10" s="24" t="s">
        <v>27</v>
      </c>
      <c r="C10" s="28">
        <v>1.0</v>
      </c>
      <c r="D10" s="31" t="s">
        <v>25</v>
      </c>
      <c r="E10" s="34">
        <v>700.0</v>
      </c>
      <c r="F10" s="34">
        <v>0.0</v>
      </c>
      <c r="G10" s="38">
        <f t="shared" ref="G10:G32" si="5">SUM(E10:F10)</f>
        <v>700</v>
      </c>
      <c r="H10" s="40">
        <f t="shared" si="2"/>
        <v>20.65</v>
      </c>
      <c r="I10" s="40">
        <f t="shared" si="3"/>
        <v>679.35</v>
      </c>
    </row>
    <row r="11">
      <c r="A11" s="23">
        <v>46152.0</v>
      </c>
      <c r="B11" s="24" t="s">
        <v>28</v>
      </c>
      <c r="C11" s="28">
        <v>4.5</v>
      </c>
      <c r="D11" s="31" t="s">
        <v>25</v>
      </c>
      <c r="E11" s="34">
        <v>1750.0</v>
      </c>
      <c r="F11" s="34">
        <v>3600.0</v>
      </c>
      <c r="G11" s="38">
        <f t="shared" si="5"/>
        <v>5350</v>
      </c>
      <c r="H11" s="40">
        <f t="shared" si="2"/>
        <v>157.825</v>
      </c>
      <c r="I11" s="40">
        <f t="shared" si="3"/>
        <v>5192.175</v>
      </c>
    </row>
    <row r="12">
      <c r="A12" s="23">
        <v>46153.0</v>
      </c>
      <c r="B12" s="24" t="s">
        <v>30</v>
      </c>
      <c r="C12" s="28">
        <v>0.0</v>
      </c>
      <c r="D12" s="31" t="s">
        <v>25</v>
      </c>
      <c r="E12" s="34">
        <v>0.0</v>
      </c>
      <c r="F12" s="34">
        <v>0.0</v>
      </c>
      <c r="G12" s="38">
        <f t="shared" si="5"/>
        <v>0</v>
      </c>
      <c r="H12" s="40">
        <f t="shared" si="2"/>
        <v>0</v>
      </c>
      <c r="I12" s="40">
        <f t="shared" si="3"/>
        <v>0</v>
      </c>
    </row>
    <row r="13">
      <c r="A13" s="23">
        <v>46154.0</v>
      </c>
      <c r="B13" s="24" t="s">
        <v>31</v>
      </c>
      <c r="C13" s="28">
        <v>2.0</v>
      </c>
      <c r="D13" s="31" t="s">
        <v>25</v>
      </c>
      <c r="E13" s="34">
        <v>1400.0</v>
      </c>
      <c r="F13" s="34">
        <v>0.0</v>
      </c>
      <c r="G13" s="38">
        <f t="shared" si="5"/>
        <v>1400</v>
      </c>
      <c r="H13" s="40">
        <f t="shared" si="2"/>
        <v>41.3</v>
      </c>
      <c r="I13" s="40">
        <f t="shared" si="3"/>
        <v>1358.7</v>
      </c>
    </row>
    <row r="14">
      <c r="A14" s="23">
        <v>46155.0</v>
      </c>
      <c r="B14" s="24" t="s">
        <v>32</v>
      </c>
      <c r="C14" s="28">
        <v>0.5</v>
      </c>
      <c r="D14" s="31" t="s">
        <v>25</v>
      </c>
      <c r="E14" s="34">
        <v>350.0</v>
      </c>
      <c r="F14" s="34">
        <v>0.0</v>
      </c>
      <c r="G14" s="38">
        <f t="shared" si="5"/>
        <v>350</v>
      </c>
      <c r="H14" s="40">
        <f t="shared" si="2"/>
        <v>10.325</v>
      </c>
      <c r="I14" s="40">
        <f t="shared" si="3"/>
        <v>339.675</v>
      </c>
    </row>
    <row r="15">
      <c r="A15" s="23">
        <v>46156.0</v>
      </c>
      <c r="B15" s="24" t="s">
        <v>33</v>
      </c>
      <c r="C15" s="28">
        <v>1.5</v>
      </c>
      <c r="D15" s="31" t="s">
        <v>25</v>
      </c>
      <c r="E15" s="34">
        <v>700.0</v>
      </c>
      <c r="F15" s="34">
        <v>90.0</v>
      </c>
      <c r="G15" s="38">
        <f t="shared" si="5"/>
        <v>790</v>
      </c>
      <c r="H15" s="40">
        <f t="shared" si="2"/>
        <v>23.305</v>
      </c>
      <c r="I15" s="40">
        <f t="shared" si="3"/>
        <v>766.695</v>
      </c>
    </row>
    <row r="16">
      <c r="A16" s="23">
        <v>46157.0</v>
      </c>
      <c r="B16" s="24" t="s">
        <v>23</v>
      </c>
      <c r="C16" s="58">
        <v>2.0</v>
      </c>
      <c r="D16" s="31" t="s">
        <v>25</v>
      </c>
      <c r="E16" s="27">
        <v>350.0</v>
      </c>
      <c r="F16" s="27">
        <v>2250.0</v>
      </c>
      <c r="G16" s="38">
        <f t="shared" si="5"/>
        <v>2600</v>
      </c>
      <c r="H16" s="40">
        <f t="shared" si="2"/>
        <v>76.7</v>
      </c>
      <c r="I16" s="40">
        <f t="shared" si="3"/>
        <v>2523.3</v>
      </c>
    </row>
    <row r="17">
      <c r="A17" s="23">
        <v>46158.0</v>
      </c>
      <c r="B17" s="24" t="s">
        <v>27</v>
      </c>
      <c r="C17" s="58">
        <v>1.0</v>
      </c>
      <c r="D17" s="31" t="s">
        <v>25</v>
      </c>
      <c r="E17" s="27">
        <v>700.0</v>
      </c>
      <c r="F17" s="27">
        <v>0.0</v>
      </c>
      <c r="G17" s="38">
        <f t="shared" si="5"/>
        <v>700</v>
      </c>
      <c r="H17" s="40">
        <f t="shared" si="2"/>
        <v>20.65</v>
      </c>
      <c r="I17" s="40">
        <f t="shared" si="3"/>
        <v>679.35</v>
      </c>
    </row>
    <row r="18">
      <c r="A18" s="23">
        <v>46159.0</v>
      </c>
      <c r="B18" s="24" t="s">
        <v>28</v>
      </c>
      <c r="C18" s="58">
        <v>2.5</v>
      </c>
      <c r="D18" s="31" t="s">
        <v>25</v>
      </c>
      <c r="E18" s="27">
        <v>1750.0</v>
      </c>
      <c r="F18" s="27">
        <v>0.0</v>
      </c>
      <c r="G18" s="38">
        <f t="shared" si="5"/>
        <v>1750</v>
      </c>
      <c r="H18" s="40">
        <f t="shared" si="2"/>
        <v>51.625</v>
      </c>
      <c r="I18" s="40">
        <f t="shared" si="3"/>
        <v>1698.375</v>
      </c>
    </row>
    <row r="19">
      <c r="A19" s="23">
        <v>46160.0</v>
      </c>
      <c r="B19" s="24" t="s">
        <v>30</v>
      </c>
      <c r="C19" s="58">
        <v>1.0</v>
      </c>
      <c r="D19" s="31" t="s">
        <v>25</v>
      </c>
      <c r="E19" s="27">
        <v>700.0</v>
      </c>
      <c r="F19" s="27">
        <v>0.0</v>
      </c>
      <c r="G19" s="38">
        <f t="shared" si="5"/>
        <v>700</v>
      </c>
      <c r="H19" s="40">
        <f t="shared" si="2"/>
        <v>20.65</v>
      </c>
      <c r="I19" s="40">
        <f t="shared" si="3"/>
        <v>679.35</v>
      </c>
    </row>
    <row r="20">
      <c r="A20" s="23">
        <v>46161.0</v>
      </c>
      <c r="B20" s="24" t="s">
        <v>31</v>
      </c>
      <c r="C20" s="58">
        <v>0.0</v>
      </c>
      <c r="D20" s="31" t="s">
        <v>25</v>
      </c>
      <c r="E20" s="27">
        <v>0.0</v>
      </c>
      <c r="F20" s="27">
        <v>0.0</v>
      </c>
      <c r="G20" s="38">
        <f t="shared" si="5"/>
        <v>0</v>
      </c>
      <c r="H20" s="40">
        <f t="shared" si="2"/>
        <v>0</v>
      </c>
      <c r="I20" s="40">
        <f t="shared" si="3"/>
        <v>0</v>
      </c>
    </row>
    <row r="21">
      <c r="A21" s="23">
        <v>46162.0</v>
      </c>
      <c r="B21" s="24" t="s">
        <v>32</v>
      </c>
      <c r="C21" s="58">
        <v>0.0</v>
      </c>
      <c r="D21" s="31" t="s">
        <v>25</v>
      </c>
      <c r="E21" s="27">
        <v>0.0</v>
      </c>
      <c r="F21" s="27">
        <v>0.0</v>
      </c>
      <c r="G21" s="38">
        <f t="shared" si="5"/>
        <v>0</v>
      </c>
      <c r="H21" s="40">
        <f t="shared" si="2"/>
        <v>0</v>
      </c>
      <c r="I21" s="40">
        <f t="shared" si="3"/>
        <v>0</v>
      </c>
    </row>
    <row r="22">
      <c r="A22" s="23">
        <v>46163.0</v>
      </c>
      <c r="B22" s="24" t="s">
        <v>33</v>
      </c>
      <c r="C22" s="58">
        <v>2.5</v>
      </c>
      <c r="D22" s="31" t="s">
        <v>25</v>
      </c>
      <c r="E22" s="27">
        <v>1400.0</v>
      </c>
      <c r="F22" s="27">
        <v>800.0</v>
      </c>
      <c r="G22" s="38">
        <f t="shared" si="5"/>
        <v>2200</v>
      </c>
      <c r="H22" s="40">
        <f t="shared" si="2"/>
        <v>64.9</v>
      </c>
      <c r="I22" s="40">
        <f t="shared" si="3"/>
        <v>2135.1</v>
      </c>
    </row>
    <row r="23">
      <c r="A23" s="23">
        <v>46164.0</v>
      </c>
      <c r="B23" s="24" t="s">
        <v>23</v>
      </c>
      <c r="C23" s="58">
        <v>0.0</v>
      </c>
      <c r="D23" s="31" t="s">
        <v>25</v>
      </c>
      <c r="E23" s="27">
        <v>0.0</v>
      </c>
      <c r="F23" s="27">
        <v>0.0</v>
      </c>
      <c r="G23" s="38">
        <f t="shared" si="5"/>
        <v>0</v>
      </c>
      <c r="H23" s="40">
        <f t="shared" si="2"/>
        <v>0</v>
      </c>
      <c r="I23" s="40">
        <f t="shared" si="3"/>
        <v>0</v>
      </c>
    </row>
    <row r="24">
      <c r="A24" s="23">
        <v>46165.0</v>
      </c>
      <c r="B24" s="24" t="s">
        <v>27</v>
      </c>
      <c r="C24" s="53">
        <v>4.0</v>
      </c>
      <c r="D24" s="31" t="s">
        <v>25</v>
      </c>
      <c r="E24" s="53">
        <v>1400.0</v>
      </c>
      <c r="F24" s="53">
        <v>2800.0</v>
      </c>
      <c r="G24" s="38">
        <f t="shared" si="5"/>
        <v>4200</v>
      </c>
      <c r="H24" s="40">
        <f t="shared" si="2"/>
        <v>123.9</v>
      </c>
      <c r="I24" s="40">
        <f t="shared" si="3"/>
        <v>4076.1</v>
      </c>
    </row>
    <row r="25">
      <c r="A25" s="23">
        <v>46166.0</v>
      </c>
      <c r="B25" s="24" t="s">
        <v>28</v>
      </c>
      <c r="C25" s="58">
        <v>0.0</v>
      </c>
      <c r="D25" s="31" t="s">
        <v>25</v>
      </c>
      <c r="E25" s="27">
        <v>0.0</v>
      </c>
      <c r="F25" s="27">
        <v>0.0</v>
      </c>
      <c r="G25" s="38">
        <f t="shared" si="5"/>
        <v>0</v>
      </c>
      <c r="H25" s="40">
        <f t="shared" si="2"/>
        <v>0</v>
      </c>
      <c r="I25" s="40">
        <f t="shared" si="3"/>
        <v>0</v>
      </c>
    </row>
    <row r="26">
      <c r="A26" s="23">
        <v>46167.0</v>
      </c>
      <c r="B26" s="24" t="s">
        <v>30</v>
      </c>
      <c r="C26" s="58">
        <v>2.0</v>
      </c>
      <c r="D26" s="31" t="s">
        <v>25</v>
      </c>
      <c r="E26" s="27">
        <v>1400.0</v>
      </c>
      <c r="F26" s="27">
        <v>0.0</v>
      </c>
      <c r="G26" s="38">
        <f t="shared" si="5"/>
        <v>1400</v>
      </c>
      <c r="H26" s="40">
        <f t="shared" si="2"/>
        <v>41.3</v>
      </c>
      <c r="I26" s="40">
        <f t="shared" si="3"/>
        <v>1358.7</v>
      </c>
    </row>
    <row r="27">
      <c r="A27" s="23">
        <v>46168.0</v>
      </c>
      <c r="B27" s="24" t="s">
        <v>31</v>
      </c>
      <c r="C27" s="58">
        <v>5.0</v>
      </c>
      <c r="D27" s="31" t="s">
        <v>25</v>
      </c>
      <c r="E27" s="27">
        <v>3500.0</v>
      </c>
      <c r="F27" s="27">
        <v>0.0</v>
      </c>
      <c r="G27" s="38">
        <f t="shared" si="5"/>
        <v>3500</v>
      </c>
      <c r="H27" s="40">
        <f t="shared" si="2"/>
        <v>103.25</v>
      </c>
      <c r="I27" s="40">
        <f t="shared" si="3"/>
        <v>3396.75</v>
      </c>
    </row>
    <row r="28">
      <c r="A28" s="23">
        <v>46169.0</v>
      </c>
      <c r="B28" s="24" t="s">
        <v>32</v>
      </c>
      <c r="C28" s="58">
        <v>5.0</v>
      </c>
      <c r="D28" s="31" t="s">
        <v>25</v>
      </c>
      <c r="E28" s="27">
        <v>3500.0</v>
      </c>
      <c r="F28" s="27">
        <v>0.0</v>
      </c>
      <c r="G28" s="38">
        <f t="shared" si="5"/>
        <v>3500</v>
      </c>
      <c r="H28" s="40">
        <f t="shared" si="2"/>
        <v>103.25</v>
      </c>
      <c r="I28" s="40">
        <f t="shared" si="3"/>
        <v>3396.75</v>
      </c>
    </row>
    <row r="29">
      <c r="A29" s="23">
        <v>46170.0</v>
      </c>
      <c r="B29" s="24" t="s">
        <v>33</v>
      </c>
      <c r="C29" s="58">
        <v>1.0</v>
      </c>
      <c r="D29" s="31" t="s">
        <v>25</v>
      </c>
      <c r="E29" s="27">
        <v>700.0</v>
      </c>
      <c r="F29" s="27">
        <v>0.0</v>
      </c>
      <c r="G29" s="38">
        <f t="shared" si="5"/>
        <v>700</v>
      </c>
      <c r="H29" s="40">
        <f t="shared" si="2"/>
        <v>20.65</v>
      </c>
      <c r="I29" s="40">
        <f t="shared" si="3"/>
        <v>679.35</v>
      </c>
    </row>
    <row r="30">
      <c r="A30" s="23">
        <v>46171.0</v>
      </c>
      <c r="B30" s="24" t="s">
        <v>23</v>
      </c>
      <c r="C30" s="58">
        <v>0.0</v>
      </c>
      <c r="D30" s="31" t="s">
        <v>25</v>
      </c>
      <c r="E30" s="27">
        <v>0.0</v>
      </c>
      <c r="F30" s="27">
        <v>0.0</v>
      </c>
      <c r="G30" s="38">
        <f t="shared" si="5"/>
        <v>0</v>
      </c>
      <c r="H30" s="40">
        <f t="shared" si="2"/>
        <v>0</v>
      </c>
      <c r="I30" s="40">
        <f t="shared" si="3"/>
        <v>0</v>
      </c>
    </row>
    <row r="31">
      <c r="A31" s="23">
        <v>46172.0</v>
      </c>
      <c r="B31" s="24" t="s">
        <v>27</v>
      </c>
      <c r="C31" s="60">
        <v>0.0</v>
      </c>
      <c r="D31" s="31" t="s">
        <v>25</v>
      </c>
      <c r="E31" s="60">
        <v>0.0</v>
      </c>
      <c r="F31" s="60">
        <v>0.0</v>
      </c>
      <c r="G31" s="38">
        <f t="shared" si="5"/>
        <v>0</v>
      </c>
      <c r="H31" s="40">
        <f t="shared" si="2"/>
        <v>0</v>
      </c>
      <c r="I31" s="40">
        <f t="shared" si="3"/>
        <v>0</v>
      </c>
    </row>
    <row r="32">
      <c r="A32" s="23">
        <v>46173.0</v>
      </c>
      <c r="B32" s="24" t="s">
        <v>28</v>
      </c>
      <c r="C32" s="61">
        <v>2.0</v>
      </c>
      <c r="D32" s="31" t="s">
        <v>25</v>
      </c>
      <c r="E32" s="63">
        <v>700.0</v>
      </c>
      <c r="F32" s="63">
        <v>1400.0</v>
      </c>
      <c r="G32" s="38">
        <f t="shared" si="5"/>
        <v>2100</v>
      </c>
      <c r="H32" s="40">
        <f t="shared" si="2"/>
        <v>61.95</v>
      </c>
      <c r="I32" s="40">
        <f t="shared" si="3"/>
        <v>2038.05</v>
      </c>
    </row>
    <row r="33">
      <c r="A33" s="18" t="s">
        <v>9</v>
      </c>
      <c r="B33" s="12"/>
      <c r="C33" s="65">
        <f>SUM(C1:C32)</f>
        <v>47.5</v>
      </c>
      <c r="D33" s="65"/>
      <c r="E33" s="46">
        <f t="shared" ref="E33:I33" si="6">SUM(E1:E32)</f>
        <v>27950</v>
      </c>
      <c r="F33" s="46">
        <f t="shared" si="6"/>
        <v>10940</v>
      </c>
      <c r="G33" s="46">
        <f t="shared" si="6"/>
        <v>38890</v>
      </c>
      <c r="H33" s="46">
        <f t="shared" si="6"/>
        <v>1147.255</v>
      </c>
      <c r="I33" s="46">
        <f t="shared" si="6"/>
        <v>37742.745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4.38"/>
  </cols>
  <sheetData>
    <row r="1">
      <c r="A1" s="14" t="s">
        <v>2</v>
      </c>
      <c r="B1" s="17" t="s">
        <v>0</v>
      </c>
      <c r="C1" s="17" t="s">
        <v>14</v>
      </c>
      <c r="D1" s="17" t="s">
        <v>17</v>
      </c>
      <c r="E1" s="22" t="s">
        <v>20</v>
      </c>
      <c r="F1" s="17" t="s">
        <v>15</v>
      </c>
      <c r="G1" s="26" t="s">
        <v>22</v>
      </c>
      <c r="H1" s="26" t="s">
        <v>21</v>
      </c>
      <c r="I1" s="17" t="s">
        <v>24</v>
      </c>
    </row>
    <row r="2">
      <c r="A2" s="30"/>
      <c r="B2" s="32" t="s">
        <v>1</v>
      </c>
      <c r="C2" s="34">
        <v>9579.0</v>
      </c>
      <c r="D2" s="34">
        <v>574.0</v>
      </c>
      <c r="E2" s="29">
        <v>103.0</v>
      </c>
      <c r="F2" s="36">
        <f>C2-D2-E2</f>
        <v>8902</v>
      </c>
      <c r="G2" s="34">
        <v>48.0</v>
      </c>
      <c r="H2" s="34">
        <v>9.6</v>
      </c>
      <c r="I2" s="38">
        <f>F2-G2-H2</f>
        <v>8844.4</v>
      </c>
    </row>
    <row r="3">
      <c r="A3" s="41"/>
      <c r="B3" s="32"/>
      <c r="C3" s="32"/>
      <c r="D3" s="32"/>
      <c r="E3" s="42"/>
      <c r="F3" s="42"/>
      <c r="G3" s="32"/>
      <c r="H3" s="32"/>
      <c r="I3" s="32"/>
    </row>
    <row r="4">
      <c r="A4" s="41"/>
      <c r="B4" s="43" t="s">
        <v>9</v>
      </c>
      <c r="C4" s="46">
        <f>SUM(C2:C3)</f>
        <v>9579</v>
      </c>
      <c r="D4" s="47"/>
      <c r="E4" s="49"/>
      <c r="F4" s="39">
        <f>SUM(F2:F3)</f>
        <v>8902</v>
      </c>
      <c r="G4" s="47"/>
      <c r="H4" s="47"/>
      <c r="I4" s="46">
        <f>SUM(I2:I3)</f>
        <v>8844.4</v>
      </c>
    </row>
    <row r="6">
      <c r="A6" s="44" t="s">
        <v>8</v>
      </c>
      <c r="B6" s="48">
        <f>C4-B7-B8</f>
        <v>5584</v>
      </c>
    </row>
    <row r="7">
      <c r="A7" s="44" t="s">
        <v>10</v>
      </c>
      <c r="B7" s="51">
        <v>3995.0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23.88"/>
  </cols>
  <sheetData>
    <row r="1">
      <c r="A1" s="15" t="s">
        <v>2</v>
      </c>
      <c r="B1" s="20" t="s">
        <v>0</v>
      </c>
      <c r="C1" s="20" t="s">
        <v>18</v>
      </c>
      <c r="D1" s="20" t="s">
        <v>19</v>
      </c>
      <c r="E1" s="20" t="s">
        <v>15</v>
      </c>
      <c r="F1" s="20" t="s">
        <v>21</v>
      </c>
      <c r="G1" s="20" t="s">
        <v>22</v>
      </c>
      <c r="H1" s="17" t="s">
        <v>6</v>
      </c>
    </row>
    <row r="2">
      <c r="A2" s="25"/>
      <c r="B2" s="27" t="s">
        <v>1</v>
      </c>
      <c r="C2" s="29">
        <v>9213.0</v>
      </c>
      <c r="D2" s="29">
        <v>1197.0</v>
      </c>
      <c r="E2" s="36">
        <f>C2-D2</f>
        <v>8016</v>
      </c>
      <c r="F2" s="29">
        <v>7.8</v>
      </c>
      <c r="G2" s="29">
        <v>39.0</v>
      </c>
      <c r="H2" s="34">
        <v>7969.0</v>
      </c>
    </row>
    <row r="3">
      <c r="A3" s="25"/>
      <c r="B3" s="18" t="s">
        <v>9</v>
      </c>
      <c r="C3" s="39">
        <f>SUM(C2)</f>
        <v>9213</v>
      </c>
      <c r="D3" s="12"/>
      <c r="E3" s="39">
        <f>SUM(E2)</f>
        <v>8016</v>
      </c>
      <c r="F3" s="12"/>
      <c r="G3" s="12"/>
      <c r="H3" s="39">
        <f>SUM(H2)</f>
        <v>7969</v>
      </c>
    </row>
    <row r="5">
      <c r="A5" s="44" t="s">
        <v>8</v>
      </c>
      <c r="B5" s="48">
        <f>C3-B6-B7</f>
        <v>9213</v>
      </c>
    </row>
    <row r="6">
      <c r="A6" s="44" t="s">
        <v>10</v>
      </c>
      <c r="B6" s="51">
        <v>0.0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0"/>
    <col customWidth="1" min="4" max="4" width="14.38"/>
    <col customWidth="1" min="9" max="9" width="14.13"/>
  </cols>
  <sheetData>
    <row r="1">
      <c r="A1" s="15" t="s">
        <v>2</v>
      </c>
      <c r="B1" s="20" t="s">
        <v>0</v>
      </c>
      <c r="C1" s="20" t="s">
        <v>49</v>
      </c>
      <c r="D1" s="20" t="s">
        <v>17</v>
      </c>
      <c r="E1" s="20" t="s">
        <v>50</v>
      </c>
      <c r="F1" s="20" t="s">
        <v>15</v>
      </c>
      <c r="G1" s="20" t="s">
        <v>52</v>
      </c>
      <c r="H1" s="20" t="s">
        <v>53</v>
      </c>
      <c r="I1" s="20" t="s">
        <v>24</v>
      </c>
    </row>
    <row r="2">
      <c r="A2" s="66"/>
      <c r="B2" s="67" t="s">
        <v>1</v>
      </c>
      <c r="C2" s="68">
        <v>60245.0</v>
      </c>
      <c r="D2" s="68">
        <v>5523.0</v>
      </c>
      <c r="E2" s="67">
        <v>994.0</v>
      </c>
      <c r="F2" s="36">
        <f>C2-D2-E2</f>
        <v>53728</v>
      </c>
      <c r="G2" s="67">
        <v>38.0</v>
      </c>
      <c r="H2" s="67">
        <v>0.0</v>
      </c>
      <c r="I2" s="68">
        <v>53690.0</v>
      </c>
    </row>
    <row r="3">
      <c r="A3" s="66"/>
      <c r="B3" s="70" t="s">
        <v>9</v>
      </c>
      <c r="C3" s="72">
        <f>sum(C2)</f>
        <v>60245</v>
      </c>
      <c r="D3" s="73"/>
      <c r="E3" s="12"/>
      <c r="F3" s="72">
        <f>sum(F2)</f>
        <v>53728</v>
      </c>
      <c r="G3" s="12"/>
      <c r="H3" s="12"/>
      <c r="I3" s="72">
        <f>sum(I2)</f>
        <v>53690</v>
      </c>
    </row>
    <row r="5">
      <c r="A5" s="44" t="s">
        <v>8</v>
      </c>
      <c r="B5" s="51">
        <v>30241.0</v>
      </c>
    </row>
    <row r="6">
      <c r="A6" s="44" t="s">
        <v>10</v>
      </c>
      <c r="B6" s="51">
        <f>30700+2397</f>
        <v>33097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75" t="s">
        <v>2</v>
      </c>
      <c r="B1" s="17" t="s">
        <v>0</v>
      </c>
      <c r="C1" s="17" t="s">
        <v>59</v>
      </c>
      <c r="D1" s="17" t="s">
        <v>17</v>
      </c>
      <c r="E1" s="17" t="s">
        <v>24</v>
      </c>
    </row>
    <row r="2">
      <c r="A2" s="41"/>
      <c r="B2" s="27" t="s">
        <v>1</v>
      </c>
      <c r="C2" s="34">
        <v>17000.0</v>
      </c>
      <c r="D2" s="78">
        <f>C2*5%</f>
        <v>850</v>
      </c>
      <c r="E2" s="78">
        <f>C2-D2</f>
        <v>16150</v>
      </c>
    </row>
    <row r="3">
      <c r="A3" s="41"/>
      <c r="B3" s="27"/>
      <c r="C3" s="34"/>
      <c r="D3" s="78"/>
      <c r="E3" s="78"/>
    </row>
    <row r="4">
      <c r="A4" s="79"/>
      <c r="B4" s="80" t="s">
        <v>9</v>
      </c>
      <c r="C4" s="81">
        <f>SUM(C2)</f>
        <v>17000</v>
      </c>
      <c r="D4" s="47"/>
      <c r="E4" s="81">
        <f>SUM(E2)</f>
        <v>16150</v>
      </c>
      <c r="F4" s="82"/>
      <c r="G4" s="82"/>
      <c r="H4" s="82"/>
      <c r="I4" s="82"/>
      <c r="J4" s="82"/>
      <c r="K4" s="83"/>
      <c r="L4" s="82"/>
      <c r="M4" s="83"/>
      <c r="N4" s="83"/>
    </row>
    <row r="5">
      <c r="A5" s="84"/>
      <c r="B5" s="85"/>
      <c r="C5" s="86"/>
      <c r="D5" s="84"/>
      <c r="E5" s="87"/>
    </row>
    <row r="6">
      <c r="A6" s="44" t="s">
        <v>8</v>
      </c>
      <c r="B6" s="48">
        <f>C4-B7-B8</f>
        <v>14600</v>
      </c>
      <c r="D6" s="84"/>
      <c r="E6" s="87"/>
    </row>
    <row r="7">
      <c r="A7" s="44" t="s">
        <v>10</v>
      </c>
      <c r="B7" s="51">
        <v>2400.0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75"/>
    <col customWidth="1" min="3" max="3" width="15.25"/>
  </cols>
  <sheetData>
    <row r="1">
      <c r="A1" s="20" t="s">
        <v>61</v>
      </c>
      <c r="B1" s="20" t="s">
        <v>62</v>
      </c>
      <c r="C1" s="20" t="s">
        <v>63</v>
      </c>
    </row>
    <row r="2">
      <c r="A2" s="88" t="s">
        <v>64</v>
      </c>
      <c r="B2" s="88" t="s">
        <v>65</v>
      </c>
      <c r="C2" s="89">
        <v>118000.0</v>
      </c>
    </row>
  </sheetData>
  <drawing r:id="rId1"/>
</worksheet>
</file>