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Courtly" sheetId="6" r:id="rId10"/>
    <sheet state="visible" name="Brand Activation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2">
      <text>
        <t xml:space="preserve">GPT</t>
      </text>
    </comment>
  </commentList>
</comments>
</file>

<file path=xl/sharedStrings.xml><?xml version="1.0" encoding="utf-8"?>
<sst xmlns="http://schemas.openxmlformats.org/spreadsheetml/2006/main" count="150" uniqueCount="102">
  <si>
    <t>Date: 1 - 31 Mar</t>
  </si>
  <si>
    <t>Date</t>
  </si>
  <si>
    <t>Day</t>
  </si>
  <si>
    <t>Offline booking hours</t>
  </si>
  <si>
    <t>Particulars</t>
  </si>
  <si>
    <t>Discount Given</t>
  </si>
  <si>
    <t>Amount</t>
  </si>
  <si>
    <t>Booking Revenue</t>
  </si>
  <si>
    <t>Offline</t>
  </si>
  <si>
    <t>Community Revenue</t>
  </si>
  <si>
    <t xml:space="preserve">Paddle Rental </t>
  </si>
  <si>
    <t>Link</t>
  </si>
  <si>
    <t>F&amp;B</t>
  </si>
  <si>
    <t>Total Revenue</t>
  </si>
  <si>
    <t>1 Mar</t>
  </si>
  <si>
    <t>Sunday</t>
  </si>
  <si>
    <t>2 Mar</t>
  </si>
  <si>
    <t>Monday</t>
  </si>
  <si>
    <t>Rentals</t>
  </si>
  <si>
    <t>3 Mar</t>
  </si>
  <si>
    <t>Tuesday</t>
  </si>
  <si>
    <t>Paid to Hudle</t>
  </si>
  <si>
    <t>Commisions (Including GST)</t>
  </si>
  <si>
    <t>Net Revenue</t>
  </si>
  <si>
    <t>TDS</t>
  </si>
  <si>
    <t>4 Mar</t>
  </si>
  <si>
    <t>Wednesday</t>
  </si>
  <si>
    <t>TCS</t>
  </si>
  <si>
    <t>5 Mar</t>
  </si>
  <si>
    <t>Thursday</t>
  </si>
  <si>
    <t>1 - 23 Mar</t>
  </si>
  <si>
    <t>6 Mar</t>
  </si>
  <si>
    <t>Friday</t>
  </si>
  <si>
    <t>Product Sales</t>
  </si>
  <si>
    <t>Bookings</t>
  </si>
  <si>
    <t>7 Mar</t>
  </si>
  <si>
    <t>Saturday</t>
  </si>
  <si>
    <t>Online: Third Party Platform</t>
  </si>
  <si>
    <t>8 Mar</t>
  </si>
  <si>
    <t>Hudle</t>
  </si>
  <si>
    <t>Paid to Playo (₹)</t>
  </si>
  <si>
    <t>Commissions (₹)</t>
  </si>
  <si>
    <t>GST (₹)</t>
  </si>
  <si>
    <t>9 Mar</t>
  </si>
  <si>
    <t>TDS (₹)</t>
  </si>
  <si>
    <t>TCS (₹)</t>
  </si>
  <si>
    <t>Final Amount (₹)</t>
  </si>
  <si>
    <t>Playo</t>
  </si>
  <si>
    <t>10 Mar</t>
  </si>
  <si>
    <t>23 - 31 Mar</t>
  </si>
  <si>
    <t>District</t>
  </si>
  <si>
    <t>11 Mar</t>
  </si>
  <si>
    <t>12 Mar</t>
  </si>
  <si>
    <t>Khelomore</t>
  </si>
  <si>
    <t>Zplys</t>
  </si>
  <si>
    <t>13 Mar</t>
  </si>
  <si>
    <t>1 - 22 Mar</t>
  </si>
  <si>
    <t>Community</t>
  </si>
  <si>
    <t>14 Mar</t>
  </si>
  <si>
    <t>Courtly (Organized by RallyGully)</t>
  </si>
  <si>
    <t>15 Mar</t>
  </si>
  <si>
    <t>16 Mar</t>
  </si>
  <si>
    <t>Total</t>
  </si>
  <si>
    <t>Sportomic (Organized by RallyGully)</t>
  </si>
  <si>
    <t xml:space="preserve">Rallygully Community games </t>
  </si>
  <si>
    <t>17 Mar</t>
  </si>
  <si>
    <t>Misfits Community</t>
  </si>
  <si>
    <t>Memberships</t>
  </si>
  <si>
    <t>18 Mar</t>
  </si>
  <si>
    <t>Corporate Events</t>
  </si>
  <si>
    <t>Brand Activation</t>
  </si>
  <si>
    <t>19 Mar</t>
  </si>
  <si>
    <t>Other Income</t>
  </si>
  <si>
    <t>20 Mar</t>
  </si>
  <si>
    <t>Total Gross Revenue</t>
  </si>
  <si>
    <t>21 Mar</t>
  </si>
  <si>
    <t>Total Net Revenue (Post Commissions)</t>
  </si>
  <si>
    <t>22 Mar</t>
  </si>
  <si>
    <t>23 Mar</t>
  </si>
  <si>
    <t>24 Mar</t>
  </si>
  <si>
    <t>25 Mar</t>
  </si>
  <si>
    <t>Total Revenue post GST</t>
  </si>
  <si>
    <t>26 Mar</t>
  </si>
  <si>
    <t>27 Mar</t>
  </si>
  <si>
    <t>Investor's Share (40%)</t>
  </si>
  <si>
    <t>28 Mar</t>
  </si>
  <si>
    <t>29 Mar</t>
  </si>
  <si>
    <t>30 Mar</t>
  </si>
  <si>
    <t>31 Mar</t>
  </si>
  <si>
    <t>Paid to District</t>
  </si>
  <si>
    <t>GST on Commission</t>
  </si>
  <si>
    <t>1 - 24 Mar</t>
  </si>
  <si>
    <t>Paid to Courtly</t>
  </si>
  <si>
    <t xml:space="preserve">Date </t>
  </si>
  <si>
    <t>Brand Name</t>
  </si>
  <si>
    <t xml:space="preserve">Post Comission </t>
  </si>
  <si>
    <t xml:space="preserve">TDS </t>
  </si>
  <si>
    <t xml:space="preserve">Commission </t>
  </si>
  <si>
    <t>25 - 31 Mar</t>
  </si>
  <si>
    <t>Type of collab</t>
  </si>
  <si>
    <t>Savikalpa</t>
  </si>
  <si>
    <t>Event Partner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</si>
</sst>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"/>
    <numFmt numFmtId="165" formatCode="[&gt;9999999][$₹]##\,##\,##\,##0;[&gt;99999][$₹]##\,##\,##0;[$₹]##,##0"/>
    <numFmt numFmtId="166" formatCode="[$₹]#,##0.00"/>
    <numFmt numFmtId="167" formatCode="[&gt;9999999][$₹]##\,##\,##\,##0.00;[&gt;99999][$₹]##\,##\,##0.00;[$₹]##,##0.00"/>
  </numFmts>
  <fonts count="9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1155CC"/>
      <name val="Arial"/>
    </font>
    <font>
      <color rgb="FF000000"/>
      <name val="Arial"/>
    </font>
    <font>
      <b/>
      <color theme="1"/>
      <name val="Arial"/>
      <scheme val="minor"/>
    </font>
    <font>
      <b/>
      <u/>
      <color rgb="FF1155CC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2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1" fillId="2" fontId="1" numFmtId="9" xfId="0" applyAlignment="1" applyBorder="1" applyFill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2" fontId="1" numFmtId="3" xfId="0" applyAlignment="1" applyBorder="1" applyFill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1" fillId="3" fontId="3" numFmtId="49" xfId="0" applyAlignment="1" applyBorder="1" applyFill="1" applyFont="1" applyNumberFormat="1">
      <alignment horizontal="right" vertical="bottom"/>
    </xf>
    <xf borderId="1" fillId="3" fontId="3" numFmtId="49" xfId="0" applyAlignment="1" applyBorder="1" applyFill="1" applyFont="1" applyNumberFormat="1">
      <alignment vertical="bottom"/>
    </xf>
    <xf borderId="1" fillId="0" fontId="3" numFmtId="0" xfId="0" applyAlignment="1" applyBorder="1" applyFont="1">
      <alignment horizontal="right" readingOrder="0" vertical="bottom"/>
    </xf>
    <xf borderId="1" fillId="0" fontId="3" numFmtId="9" xfId="0" applyAlignment="1" applyBorder="1" applyFont="1" applyNumberFormat="1">
      <alignment horizontal="right" readingOrder="0" vertical="bottom"/>
    </xf>
    <xf borderId="1" fillId="0" fontId="3" numFmtId="3" xfId="0" applyAlignment="1" applyBorder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horizontal="right" vertical="bottom"/>
    </xf>
    <xf borderId="1" fillId="0" fontId="3" numFmtId="3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0" fontId="3" numFmtId="165" xfId="0" applyAlignment="1" applyBorder="1" applyFont="1" applyNumberFormat="1">
      <alignment horizontal="right" vertical="bottom"/>
    </xf>
    <xf borderId="1" fillId="2" fontId="1" numFmtId="166" xfId="0" applyAlignment="1" applyBorder="1" applyFill="1" applyFont="1" applyNumberFormat="1">
      <alignment horizontal="center" vertical="bottom"/>
    </xf>
    <xf borderId="0" fillId="0" fontId="5" numFmtId="0" xfId="0" applyAlignment="1" applyFont="1">
      <alignment shrinkToFit="0" vertical="bottom" wrapText="0"/>
    </xf>
    <xf borderId="1" fillId="0" fontId="3" numFmtId="166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horizontal="right" readingOrder="0" vertical="bottom"/>
    </xf>
    <xf borderId="1" fillId="0" fontId="3" numFmtId="167" xfId="0" applyAlignment="1" applyBorder="1" applyFont="1" applyNumberFormat="1">
      <alignment horizontal="right" readingOrder="0" vertical="bottom"/>
    </xf>
    <xf borderId="1" fillId="0" fontId="3" numFmtId="167" xfId="0" applyAlignment="1" applyBorder="1" applyFont="1" applyNumberFormat="1">
      <alignment horizontal="right" vertical="bottom"/>
    </xf>
    <xf borderId="1" fillId="0" fontId="3" numFmtId="166" xfId="0" applyAlignment="1" applyBorder="1" applyFont="1" applyNumberFormat="1">
      <alignment horizontal="right" readingOrder="0" vertical="bottom"/>
    </xf>
    <xf borderId="0" fillId="0" fontId="3" numFmtId="166" xfId="0" applyAlignment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0" fontId="3" numFmtId="166" xfId="0" applyAlignment="1" applyBorder="1" applyFont="1" applyNumberFormat="1">
      <alignment readingOrder="0" vertical="bottom"/>
    </xf>
    <xf borderId="1" fillId="2" fontId="1" numFmtId="166" xfId="0" applyAlignment="1" applyBorder="1" applyFill="1" applyFont="1" applyNumberFormat="1">
      <alignment vertical="bottom"/>
    </xf>
    <xf borderId="1" fillId="3" fontId="3" numFmtId="0" xfId="0" applyAlignment="1" applyBorder="1" applyFill="1" applyFont="1">
      <alignment vertical="bottom"/>
    </xf>
    <xf borderId="1" fillId="2" fontId="1" numFmtId="167" xfId="0" applyAlignment="1" applyBorder="1" applyFill="1" applyFont="1" applyNumberFormat="1">
      <alignment horizontal="right" vertical="bottom"/>
    </xf>
    <xf borderId="1" fillId="0" fontId="1" numFmtId="165" xfId="0" applyAlignment="1" applyBorder="1" applyFont="1" applyNumberFormat="1">
      <alignment horizontal="right" readingOrder="0" vertical="bottom"/>
    </xf>
    <xf borderId="1" fillId="3" fontId="3" numFmtId="164" xfId="0" applyAlignment="1" applyBorder="1" applyFill="1" applyFont="1" applyNumberFormat="1">
      <alignment vertical="bottom"/>
    </xf>
    <xf borderId="1" fillId="2" fontId="3" numFmtId="166" xfId="0" applyAlignment="1" applyBorder="1" applyFill="1" applyFont="1" applyNumberFormat="1">
      <alignment vertical="bottom"/>
    </xf>
    <xf borderId="1" fillId="3" fontId="3" numFmtId="4" xfId="0" applyAlignment="1" applyBorder="1" applyFill="1" applyFont="1" applyNumberFormat="1">
      <alignment readingOrder="0" vertical="bottom"/>
    </xf>
    <xf borderId="1" fillId="3" fontId="3" numFmtId="166" xfId="0" applyAlignment="1" applyBorder="1" applyFill="1" applyFont="1" applyNumberFormat="1">
      <alignment readingOrder="0" vertical="bottom"/>
    </xf>
    <xf borderId="4" fillId="0" fontId="3" numFmtId="0" xfId="0" applyAlignment="1" applyBorder="1" applyFont="1">
      <alignment vertical="bottom"/>
    </xf>
    <xf borderId="4" fillId="0" fontId="3" numFmtId="165" xfId="0" applyAlignment="1" applyBorder="1" applyFont="1" applyNumberFormat="1">
      <alignment horizontal="right" readingOrder="0" vertical="bottom"/>
    </xf>
    <xf borderId="1" fillId="2" fontId="1" numFmtId="0" xfId="0" applyAlignment="1" applyBorder="1" applyFill="1" applyFont="1">
      <alignment horizontal="right" vertical="bottom"/>
    </xf>
    <xf borderId="1" fillId="0" fontId="3" numFmtId="0" xfId="0" applyAlignment="1" applyBorder="1" applyFont="1">
      <alignment readingOrder="0" shrinkToFit="0" vertical="bottom" wrapText="1"/>
    </xf>
    <xf borderId="1" fillId="2" fontId="1" numFmtId="4" xfId="0" applyAlignment="1" applyBorder="1" applyFill="1" applyFont="1" applyNumberFormat="1">
      <alignment horizontal="right" vertical="bottom"/>
    </xf>
    <xf borderId="1" fillId="2" fontId="3" numFmtId="4" xfId="0" applyAlignment="1" applyBorder="1" applyFill="1" applyFont="1" applyNumberFormat="1">
      <alignment vertical="bottom"/>
    </xf>
    <xf borderId="1" fillId="2" fontId="3" numFmtId="0" xfId="0" applyAlignment="1" applyBorder="1" applyFill="1" applyFont="1">
      <alignment vertical="bottom"/>
    </xf>
    <xf borderId="1" fillId="0" fontId="1" numFmtId="166" xfId="0" applyAlignment="1" applyBorder="1" applyFont="1" applyNumberFormat="1">
      <alignment horizontal="right" vertical="bottom"/>
    </xf>
    <xf borderId="1" fillId="3" fontId="3" numFmtId="0" xfId="0" applyAlignment="1" applyBorder="1" applyFill="1" applyFont="1">
      <alignment horizontal="right" readingOrder="0" vertical="bottom"/>
    </xf>
    <xf borderId="2" fillId="0" fontId="3" numFmtId="0" xfId="0" applyAlignment="1" applyBorder="1" applyFont="1">
      <alignment vertical="bottom"/>
    </xf>
    <xf borderId="0" fillId="0" fontId="6" numFmtId="0" xfId="0" applyFont="1"/>
    <xf borderId="1" fillId="2" fontId="1" numFmtId="49" xfId="0" applyAlignment="1" applyBorder="1" applyFill="1" applyFont="1" applyNumberFormat="1">
      <alignment vertical="bottom"/>
    </xf>
    <xf borderId="1" fillId="2" fontId="3" numFmtId="49" xfId="0" applyAlignment="1" applyBorder="1" applyFill="1" applyFont="1" applyNumberFormat="1">
      <alignment vertical="bottom"/>
    </xf>
    <xf borderId="1" fillId="2" fontId="1" numFmtId="166" xfId="0" applyAlignment="1" applyBorder="1" applyFill="1" applyFont="1" applyNumberFormat="1">
      <alignment horizontal="right" vertical="bottom"/>
    </xf>
    <xf borderId="0" fillId="2" fontId="7" numFmtId="166" xfId="0" applyAlignment="1" applyFill="1" applyFont="1" applyNumberFormat="1">
      <alignment horizontal="center" vertical="bottom"/>
    </xf>
    <xf borderId="0" fillId="2" fontId="8" numFmtId="166" xfId="0" applyAlignment="1" applyFill="1" applyFont="1" applyNumberFormat="1">
      <alignment vertical="bottom"/>
    </xf>
    <xf borderId="0" fillId="2" fontId="1" numFmtId="166" xfId="0" applyAlignment="1" applyFill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2" fontId="1" numFmtId="166" xfId="0" applyAlignment="1" applyFill="1" applyFont="1" applyNumberFormat="1">
      <alignment horizontal="right" vertical="bottom"/>
    </xf>
    <xf borderId="0" fillId="0" fontId="3" numFmtId="164" xfId="0" applyAlignment="1" applyFont="1" applyNumberFormat="1">
      <alignment readingOrder="0" vertical="bottom"/>
    </xf>
    <xf borderId="1" fillId="0" fontId="3" numFmtId="167" xfId="0" applyAlignment="1" applyBorder="1" applyFont="1" applyNumberFormat="1">
      <alignment readingOrder="0" vertical="bottom"/>
    </xf>
    <xf borderId="1" fillId="0" fontId="3" numFmtId="164" xfId="0" applyAlignment="1" applyBorder="1" applyFont="1" applyNumberFormat="1">
      <alignment horizontal="right" readingOrder="0" vertical="bottom"/>
    </xf>
    <xf borderId="0" fillId="0" fontId="3" numFmtId="166" xfId="0" applyAlignment="1" applyFont="1" applyNumberFormat="1">
      <alignment horizontal="right" vertical="bottom"/>
    </xf>
    <xf borderId="0" fillId="0" fontId="3" numFmtId="166" xfId="0" applyAlignment="1" applyFont="1" applyNumberFormat="1">
      <alignment readingOrder="0" vertical="bottom"/>
    </xf>
    <xf borderId="1" fillId="2" fontId="1" numFmtId="0" xfId="0" applyAlignment="1" applyBorder="1" applyFill="1" applyFont="1">
      <alignment vertical="bottom"/>
    </xf>
    <xf borderId="1" fillId="0" fontId="3" numFmtId="166" xfId="0" applyAlignment="1" applyBorder="1" applyFont="1" applyNumberForma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2" fontId="3" numFmtId="0" xfId="0" applyAlignment="1" applyFill="1" applyFont="1">
      <alignment vertical="bottom"/>
    </xf>
    <xf borderId="1" fillId="2" fontId="3" numFmtId="167" xfId="0" applyAlignment="1" applyBorder="1" applyFill="1" applyFont="1" applyNumberFormat="1">
      <alignment vertical="bottom"/>
    </xf>
    <xf borderId="1" fillId="0" fontId="3" numFmtId="0" xfId="0" applyAlignment="1" applyBorder="1" applyFont="1">
      <alignment horizontal="right" vertical="bottom"/>
    </xf>
    <xf borderId="1" fillId="2" fontId="1" numFmtId="0" xfId="0" applyAlignment="1" applyBorder="1" applyFill="1" applyFont="1">
      <alignment horizontal="right" vertical="bottom"/>
    </xf>
    <xf borderId="1" fillId="2" fontId="1" numFmtId="165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WyH3mDpCNf4V9ZAzzh0I2MxHZ0wTuLPfhrz0xK0frg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q400fT_B2awvFEPO9mMRN8Xp70V0UanxskUrkiwT7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n8CmiJUWcq8rwkI1Zjv0qvA37eRicotvgtwYS5egmY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38"/>
    <col customWidth="1" min="3" max="3" width="14.75"/>
  </cols>
  <sheetData>
    <row r="2">
      <c r="B2" s="2" t="s">
        <v>0</v>
      </c>
      <c r="C2" s="4"/>
    </row>
    <row r="3">
      <c r="B3" s="6" t="s">
        <v>4</v>
      </c>
      <c r="C3" s="6" t="s">
        <v>6</v>
      </c>
    </row>
    <row r="4">
      <c r="B4" s="8" t="s">
        <v>8</v>
      </c>
      <c r="C4" s="16">
        <f>SUM(C5,C6,C7,C8)</f>
        <v>68755</v>
      </c>
    </row>
    <row r="5" outlineLevel="1">
      <c r="B5" s="18" t="s">
        <v>18</v>
      </c>
      <c r="C5" s="20">
        <f>'Offline &amp; RG Community'!G33</f>
        <v>9275</v>
      </c>
    </row>
    <row r="6" outlineLevel="1">
      <c r="B6" s="18" t="s">
        <v>12</v>
      </c>
      <c r="C6" s="24">
        <f>'Offline &amp; RG Community'!H33</f>
        <v>490</v>
      </c>
    </row>
    <row r="7" outlineLevel="1">
      <c r="B7" s="18" t="s">
        <v>33</v>
      </c>
      <c r="C7" s="24">
        <v>0.0</v>
      </c>
    </row>
    <row r="8" outlineLevel="1">
      <c r="B8" s="18" t="s">
        <v>34</v>
      </c>
      <c r="C8" s="24">
        <f>'Offline &amp; RG Community'!E33</f>
        <v>58990</v>
      </c>
    </row>
    <row r="9">
      <c r="B9" s="8" t="s">
        <v>37</v>
      </c>
      <c r="C9" s="16">
        <f>SUM(C10:C13)</f>
        <v>44755</v>
      </c>
    </row>
    <row r="10" outlineLevel="1">
      <c r="B10" s="18" t="s">
        <v>39</v>
      </c>
      <c r="C10" s="20">
        <f>Hudle!C4</f>
        <v>5505</v>
      </c>
    </row>
    <row r="11" outlineLevel="1">
      <c r="B11" s="18" t="s">
        <v>47</v>
      </c>
      <c r="C11" s="20">
        <f>Playo!C4</f>
        <v>900</v>
      </c>
    </row>
    <row r="12" outlineLevel="1">
      <c r="B12" s="18" t="s">
        <v>50</v>
      </c>
      <c r="C12" s="24">
        <f>District!C4</f>
        <v>38350</v>
      </c>
    </row>
    <row r="13" outlineLevel="1">
      <c r="B13" s="18" t="s">
        <v>53</v>
      </c>
      <c r="C13" s="24">
        <v>0.0</v>
      </c>
    </row>
    <row r="14">
      <c r="B14" s="30" t="s">
        <v>54</v>
      </c>
      <c r="C14" s="24">
        <v>0.0</v>
      </c>
    </row>
    <row r="15">
      <c r="B15" s="31" t="s">
        <v>57</v>
      </c>
      <c r="C15" s="16">
        <f>SUM(C17,C16, C18,C19)</f>
        <v>56360</v>
      </c>
    </row>
    <row r="16" outlineLevel="1">
      <c r="B16" s="30" t="s">
        <v>59</v>
      </c>
      <c r="C16" s="24">
        <f>Courtly!B3</f>
        <v>40480</v>
      </c>
    </row>
    <row r="17" outlineLevel="1">
      <c r="B17" s="30" t="s">
        <v>63</v>
      </c>
      <c r="C17" s="24">
        <v>0.0</v>
      </c>
    </row>
    <row r="18" outlineLevel="1">
      <c r="B18" s="30" t="s">
        <v>64</v>
      </c>
      <c r="C18" s="24">
        <f>'Offline &amp; RG Community'!F33</f>
        <v>15880</v>
      </c>
    </row>
    <row r="19" outlineLevel="1">
      <c r="B19" s="18" t="s">
        <v>66</v>
      </c>
      <c r="C19" s="24">
        <v>0.0</v>
      </c>
    </row>
    <row r="20">
      <c r="B20" s="8" t="s">
        <v>67</v>
      </c>
      <c r="C20" s="36">
        <v>0.0</v>
      </c>
    </row>
    <row r="21">
      <c r="B21" s="18" t="s">
        <v>69</v>
      </c>
      <c r="C21" s="24">
        <v>0.0</v>
      </c>
    </row>
    <row r="22">
      <c r="B22" s="18" t="s">
        <v>70</v>
      </c>
      <c r="C22" s="24">
        <f>'Brand Activation'!E4</f>
        <v>10000</v>
      </c>
    </row>
    <row r="23">
      <c r="B23" s="41" t="s">
        <v>72</v>
      </c>
      <c r="C23" s="42">
        <f>0</f>
        <v>0</v>
      </c>
    </row>
    <row r="24">
      <c r="B24" s="8" t="s">
        <v>74</v>
      </c>
      <c r="C24" s="16">
        <f>sum(C4,C9,C15,C20,C21,C22,C23)</f>
        <v>179870</v>
      </c>
    </row>
    <row r="25">
      <c r="B25" s="44" t="s">
        <v>76</v>
      </c>
      <c r="C25" s="48">
        <f>'Offline &amp; RG Community'!I33+Hudle!E4+Playo!F4+District!F4+Courtly!D3+'Brand Activation'!E4</f>
        <v>176378.48</v>
      </c>
    </row>
    <row r="26">
      <c r="B26" s="8" t="s">
        <v>81</v>
      </c>
      <c r="C26" s="16">
        <f>C25/1.18</f>
        <v>149473.2881</v>
      </c>
    </row>
    <row r="27">
      <c r="B27" s="50" t="s">
        <v>84</v>
      </c>
      <c r="C27" s="20">
        <f>C26*40%</f>
        <v>59789.31525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7.63"/>
  </cols>
  <sheetData>
    <row r="1">
      <c r="A1" s="1" t="s">
        <v>1</v>
      </c>
      <c r="B1" s="3" t="s">
        <v>2</v>
      </c>
      <c r="C1" s="3" t="s">
        <v>3</v>
      </c>
      <c r="D1" s="5" t="s">
        <v>5</v>
      </c>
      <c r="E1" s="7" t="s">
        <v>7</v>
      </c>
      <c r="F1" s="3" t="s">
        <v>9</v>
      </c>
      <c r="G1" s="7" t="s">
        <v>10</v>
      </c>
      <c r="H1" s="9" t="s">
        <v>12</v>
      </c>
      <c r="I1" s="10" t="s">
        <v>13</v>
      </c>
    </row>
    <row r="2">
      <c r="A2" s="11" t="s">
        <v>14</v>
      </c>
      <c r="B2" s="12" t="s">
        <v>15</v>
      </c>
      <c r="C2" s="13">
        <v>2.0</v>
      </c>
      <c r="D2" s="14">
        <v>0.2</v>
      </c>
      <c r="E2" s="15">
        <v>1470.0</v>
      </c>
      <c r="F2" s="13">
        <v>0.0</v>
      </c>
      <c r="G2" s="13">
        <v>550.0</v>
      </c>
      <c r="H2" s="15">
        <v>0.0</v>
      </c>
      <c r="I2" s="17">
        <f t="shared" ref="I2:I3" si="1">E2+F2+G2</f>
        <v>2020</v>
      </c>
    </row>
    <row r="3">
      <c r="A3" s="11" t="s">
        <v>16</v>
      </c>
      <c r="B3" s="12" t="s">
        <v>17</v>
      </c>
      <c r="C3" s="13">
        <v>1.0</v>
      </c>
      <c r="D3" s="14">
        <v>0.2</v>
      </c>
      <c r="E3" s="15">
        <v>720.0</v>
      </c>
      <c r="F3" s="13">
        <v>0.0</v>
      </c>
      <c r="G3" s="15">
        <v>200.0</v>
      </c>
      <c r="H3" s="15">
        <v>0.0</v>
      </c>
      <c r="I3" s="17">
        <f t="shared" si="1"/>
        <v>920</v>
      </c>
    </row>
    <row r="4">
      <c r="A4" s="11" t="s">
        <v>19</v>
      </c>
      <c r="B4" s="12" t="s">
        <v>20</v>
      </c>
      <c r="C4" s="13">
        <v>2.5</v>
      </c>
      <c r="D4" s="14">
        <v>0.2</v>
      </c>
      <c r="E4" s="15">
        <v>1730.0</v>
      </c>
      <c r="F4" s="13">
        <v>0.0</v>
      </c>
      <c r="G4" s="15">
        <v>500.0</v>
      </c>
      <c r="H4" s="15">
        <v>70.0</v>
      </c>
      <c r="I4" s="17">
        <f>E4+F4+G4+H4</f>
        <v>2300</v>
      </c>
    </row>
    <row r="5">
      <c r="A5" s="11" t="s">
        <v>25</v>
      </c>
      <c r="B5" s="12" t="s">
        <v>26</v>
      </c>
      <c r="C5" s="13">
        <v>0.5</v>
      </c>
      <c r="D5" s="14">
        <v>0.2</v>
      </c>
      <c r="E5" s="15">
        <v>360.0</v>
      </c>
      <c r="F5" s="13">
        <v>0.0</v>
      </c>
      <c r="G5" s="15">
        <v>550.0</v>
      </c>
      <c r="H5" s="15">
        <v>0.0</v>
      </c>
      <c r="I5" s="17">
        <f t="shared" ref="I5:I6" si="2">E5+F5+G5</f>
        <v>910</v>
      </c>
    </row>
    <row r="6">
      <c r="A6" s="11" t="s">
        <v>28</v>
      </c>
      <c r="B6" s="12" t="s">
        <v>29</v>
      </c>
      <c r="C6" s="13">
        <v>5.0</v>
      </c>
      <c r="D6" s="14">
        <v>0.2</v>
      </c>
      <c r="E6" s="15">
        <v>3600.0</v>
      </c>
      <c r="F6" s="13">
        <v>0.0</v>
      </c>
      <c r="G6" s="15">
        <v>200.0</v>
      </c>
      <c r="H6" s="15">
        <v>0.0</v>
      </c>
      <c r="I6" s="17">
        <f t="shared" si="2"/>
        <v>3800</v>
      </c>
    </row>
    <row r="7">
      <c r="A7" s="11" t="s">
        <v>31</v>
      </c>
      <c r="B7" s="12" t="s">
        <v>32</v>
      </c>
      <c r="C7" s="13">
        <v>2.5</v>
      </c>
      <c r="D7" s="14">
        <v>0.2</v>
      </c>
      <c r="E7" s="13">
        <v>1800.0</v>
      </c>
      <c r="F7" s="13">
        <v>0.0</v>
      </c>
      <c r="G7" s="13">
        <v>550.0</v>
      </c>
      <c r="H7" s="15">
        <v>105.0</v>
      </c>
      <c r="I7" s="17">
        <f>E7+F7+G7+H7</f>
        <v>2455</v>
      </c>
    </row>
    <row r="8">
      <c r="A8" s="11" t="s">
        <v>35</v>
      </c>
      <c r="B8" s="12" t="s">
        <v>36</v>
      </c>
      <c r="C8" s="13">
        <v>4.5</v>
      </c>
      <c r="D8" s="14">
        <v>0.2</v>
      </c>
      <c r="E8" s="15">
        <v>3240.0</v>
      </c>
      <c r="F8" s="13">
        <v>0.0</v>
      </c>
      <c r="G8" s="13">
        <v>450.0</v>
      </c>
      <c r="H8" s="15">
        <v>0.0</v>
      </c>
      <c r="I8" s="17">
        <f>E8+F8+G8</f>
        <v>3690</v>
      </c>
    </row>
    <row r="9">
      <c r="A9" s="11" t="s">
        <v>38</v>
      </c>
      <c r="B9" s="12" t="s">
        <v>15</v>
      </c>
      <c r="C9" s="13">
        <v>2.0</v>
      </c>
      <c r="D9" s="14">
        <v>0.2</v>
      </c>
      <c r="E9" s="15">
        <v>1440.0</v>
      </c>
      <c r="F9" s="13">
        <v>0.0</v>
      </c>
      <c r="G9" s="15">
        <v>275.0</v>
      </c>
      <c r="H9" s="15">
        <v>35.0</v>
      </c>
      <c r="I9" s="17">
        <f>E9+F9+G9+H9</f>
        <v>1750</v>
      </c>
    </row>
    <row r="10">
      <c r="A10" s="11" t="s">
        <v>43</v>
      </c>
      <c r="B10" s="12" t="s">
        <v>17</v>
      </c>
      <c r="C10" s="13">
        <v>4.0</v>
      </c>
      <c r="D10" s="14">
        <v>0.2</v>
      </c>
      <c r="E10" s="15">
        <v>3240.0</v>
      </c>
      <c r="F10" s="13">
        <v>0.0</v>
      </c>
      <c r="G10" s="15">
        <v>400.0</v>
      </c>
      <c r="H10" s="15">
        <v>0.0</v>
      </c>
      <c r="I10" s="17">
        <f t="shared" ref="I10:I13" si="3">E10+F10+G10</f>
        <v>3640</v>
      </c>
    </row>
    <row r="11">
      <c r="A11" s="11" t="s">
        <v>48</v>
      </c>
      <c r="B11" s="12" t="s">
        <v>20</v>
      </c>
      <c r="C11" s="13">
        <v>3.0</v>
      </c>
      <c r="D11" s="14">
        <v>0.2</v>
      </c>
      <c r="E11" s="15">
        <v>2160.0</v>
      </c>
      <c r="F11" s="13">
        <v>0.0</v>
      </c>
      <c r="G11" s="13">
        <v>200.0</v>
      </c>
      <c r="H11" s="15">
        <v>0.0</v>
      </c>
      <c r="I11" s="17">
        <f t="shared" si="3"/>
        <v>2360</v>
      </c>
    </row>
    <row r="12">
      <c r="A12" s="11" t="s">
        <v>51</v>
      </c>
      <c r="B12" s="12" t="s">
        <v>26</v>
      </c>
      <c r="C12" s="13">
        <v>2.0</v>
      </c>
      <c r="D12" s="14">
        <v>0.2</v>
      </c>
      <c r="E12" s="13">
        <v>1170.0</v>
      </c>
      <c r="F12" s="13">
        <v>0.0</v>
      </c>
      <c r="G12" s="15">
        <v>350.0</v>
      </c>
      <c r="H12" s="15">
        <v>0.0</v>
      </c>
      <c r="I12" s="17">
        <f t="shared" si="3"/>
        <v>1520</v>
      </c>
    </row>
    <row r="13">
      <c r="A13" s="11" t="s">
        <v>52</v>
      </c>
      <c r="B13" s="12" t="s">
        <v>29</v>
      </c>
      <c r="C13" s="13">
        <v>6.0</v>
      </c>
      <c r="D13" s="14">
        <v>0.2</v>
      </c>
      <c r="E13" s="15">
        <v>5760.0</v>
      </c>
      <c r="F13" s="13">
        <v>0.0</v>
      </c>
      <c r="G13" s="15">
        <v>400.0</v>
      </c>
      <c r="H13" s="15">
        <v>0.0</v>
      </c>
      <c r="I13" s="17">
        <f t="shared" si="3"/>
        <v>6160</v>
      </c>
    </row>
    <row r="14">
      <c r="A14" s="11" t="s">
        <v>55</v>
      </c>
      <c r="B14" s="12" t="s">
        <v>32</v>
      </c>
      <c r="C14" s="13">
        <v>2.0</v>
      </c>
      <c r="D14" s="14">
        <v>0.2</v>
      </c>
      <c r="E14" s="13">
        <v>1440.0</v>
      </c>
      <c r="F14" s="13">
        <v>0.0</v>
      </c>
      <c r="G14" s="13">
        <v>950.0</v>
      </c>
      <c r="H14" s="15">
        <v>105.0</v>
      </c>
      <c r="I14" s="17">
        <f>E14+F14+G14+H14</f>
        <v>2495</v>
      </c>
    </row>
    <row r="15">
      <c r="A15" s="11" t="s">
        <v>58</v>
      </c>
      <c r="B15" s="12" t="s">
        <v>36</v>
      </c>
      <c r="C15" s="13">
        <v>0.0</v>
      </c>
      <c r="D15" s="14">
        <v>0.2</v>
      </c>
      <c r="E15" s="13">
        <v>0.0</v>
      </c>
      <c r="F15" s="13">
        <v>0.0</v>
      </c>
      <c r="G15" s="13">
        <v>150.0</v>
      </c>
      <c r="H15" s="15">
        <v>0.0</v>
      </c>
      <c r="I15" s="17">
        <f t="shared" ref="I15:I17" si="4">E15+F15+G15</f>
        <v>150</v>
      </c>
    </row>
    <row r="16">
      <c r="A16" s="11" t="s">
        <v>60</v>
      </c>
      <c r="B16" s="12" t="s">
        <v>15</v>
      </c>
      <c r="C16" s="13">
        <v>5.0</v>
      </c>
      <c r="D16" s="14">
        <v>0.2</v>
      </c>
      <c r="E16" s="13">
        <v>4240.0</v>
      </c>
      <c r="F16" s="13">
        <v>0.0</v>
      </c>
      <c r="G16" s="13">
        <v>800.0</v>
      </c>
      <c r="H16" s="15">
        <v>0.0</v>
      </c>
      <c r="I16" s="17">
        <f t="shared" si="4"/>
        <v>5040</v>
      </c>
    </row>
    <row r="17">
      <c r="A17" s="11" t="s">
        <v>61</v>
      </c>
      <c r="B17" s="12" t="s">
        <v>17</v>
      </c>
      <c r="C17" s="13">
        <v>2.0</v>
      </c>
      <c r="D17" s="14">
        <v>0.2</v>
      </c>
      <c r="E17" s="13">
        <v>2160.0</v>
      </c>
      <c r="F17" s="13">
        <v>0.0</v>
      </c>
      <c r="G17" s="13">
        <v>100.0</v>
      </c>
      <c r="H17" s="15">
        <v>0.0</v>
      </c>
      <c r="I17" s="17">
        <f t="shared" si="4"/>
        <v>2260</v>
      </c>
    </row>
    <row r="18">
      <c r="A18" s="11" t="s">
        <v>65</v>
      </c>
      <c r="B18" s="12" t="s">
        <v>20</v>
      </c>
      <c r="C18" s="13">
        <v>3.0</v>
      </c>
      <c r="D18" s="14">
        <v>0.2</v>
      </c>
      <c r="E18" s="13">
        <v>3240.0</v>
      </c>
      <c r="F18" s="13">
        <v>0.0</v>
      </c>
      <c r="G18" s="13">
        <v>150.0</v>
      </c>
      <c r="H18" s="15">
        <v>70.0</v>
      </c>
      <c r="I18" s="17">
        <f>E18+F18+G18+H18</f>
        <v>3460</v>
      </c>
    </row>
    <row r="19">
      <c r="A19" s="11" t="s">
        <v>68</v>
      </c>
      <c r="B19" s="12" t="s">
        <v>26</v>
      </c>
      <c r="C19" s="13">
        <v>0.0</v>
      </c>
      <c r="D19" s="14">
        <v>0.2</v>
      </c>
      <c r="E19" s="13">
        <v>0.0</v>
      </c>
      <c r="F19" s="13">
        <v>0.0</v>
      </c>
      <c r="G19" s="13">
        <v>0.0</v>
      </c>
      <c r="H19" s="15">
        <v>0.0</v>
      </c>
      <c r="I19" s="17">
        <f t="shared" ref="I19:I21" si="5">E19+F19+G19</f>
        <v>0</v>
      </c>
    </row>
    <row r="20">
      <c r="A20" s="11" t="s">
        <v>71</v>
      </c>
      <c r="B20" s="12" t="s">
        <v>29</v>
      </c>
      <c r="C20" s="13">
        <v>0.0</v>
      </c>
      <c r="D20" s="14">
        <v>0.2</v>
      </c>
      <c r="E20" s="15">
        <v>0.0</v>
      </c>
      <c r="F20" s="13">
        <v>0.0</v>
      </c>
      <c r="G20" s="13">
        <v>0.0</v>
      </c>
      <c r="H20" s="15">
        <v>0.0</v>
      </c>
      <c r="I20" s="17">
        <f t="shared" si="5"/>
        <v>0</v>
      </c>
    </row>
    <row r="21">
      <c r="A21" s="11" t="s">
        <v>73</v>
      </c>
      <c r="B21" s="12" t="s">
        <v>32</v>
      </c>
      <c r="C21" s="13">
        <v>0.0</v>
      </c>
      <c r="D21" s="14">
        <v>0.2</v>
      </c>
      <c r="E21" s="15">
        <v>0.0</v>
      </c>
      <c r="F21" s="13">
        <v>0.0</v>
      </c>
      <c r="G21" s="13">
        <v>0.0</v>
      </c>
      <c r="H21" s="15">
        <v>0.0</v>
      </c>
      <c r="I21" s="17">
        <f t="shared" si="5"/>
        <v>0</v>
      </c>
    </row>
    <row r="22">
      <c r="A22" s="11" t="s">
        <v>75</v>
      </c>
      <c r="B22" s="12" t="s">
        <v>36</v>
      </c>
      <c r="C22" s="13">
        <v>1.0</v>
      </c>
      <c r="D22" s="14">
        <v>0.2</v>
      </c>
      <c r="E22" s="15">
        <v>700.0</v>
      </c>
      <c r="F22" s="13">
        <v>15880.0</v>
      </c>
      <c r="G22" s="13">
        <v>0.0</v>
      </c>
      <c r="H22" s="15">
        <v>105.0</v>
      </c>
      <c r="I22" s="17">
        <f t="shared" ref="I22:I23" si="6">E22+F22+G22+H22</f>
        <v>16685</v>
      </c>
    </row>
    <row r="23">
      <c r="A23" s="11" t="s">
        <v>77</v>
      </c>
      <c r="B23" s="12" t="s">
        <v>15</v>
      </c>
      <c r="C23" s="13">
        <v>3.0</v>
      </c>
      <c r="D23" s="14">
        <v>0.2</v>
      </c>
      <c r="E23" s="13">
        <v>1800.0</v>
      </c>
      <c r="F23" s="13">
        <v>0.0</v>
      </c>
      <c r="G23" s="13">
        <v>650.0</v>
      </c>
      <c r="H23" s="15">
        <v>0.0</v>
      </c>
      <c r="I23" s="17">
        <f t="shared" si="6"/>
        <v>2450</v>
      </c>
    </row>
    <row r="24">
      <c r="A24" s="11" t="s">
        <v>78</v>
      </c>
      <c r="B24" s="12" t="s">
        <v>17</v>
      </c>
      <c r="C24" s="13">
        <v>0.0</v>
      </c>
      <c r="D24" s="14">
        <v>0.2</v>
      </c>
      <c r="E24" s="13">
        <v>0.0</v>
      </c>
      <c r="F24" s="13">
        <v>0.0</v>
      </c>
      <c r="G24" s="13">
        <v>0.0</v>
      </c>
      <c r="H24" s="15">
        <v>0.0</v>
      </c>
      <c r="I24" s="17">
        <f t="shared" ref="I24:I32" si="7">E24+F24+G24</f>
        <v>0</v>
      </c>
    </row>
    <row r="25">
      <c r="A25" s="11" t="s">
        <v>79</v>
      </c>
      <c r="B25" s="12" t="s">
        <v>20</v>
      </c>
      <c r="C25" s="13">
        <v>1.0</v>
      </c>
      <c r="D25" s="14">
        <v>0.2</v>
      </c>
      <c r="E25" s="13">
        <v>720.0</v>
      </c>
      <c r="F25" s="13">
        <v>0.0</v>
      </c>
      <c r="G25" s="13">
        <v>0.0</v>
      </c>
      <c r="H25" s="15">
        <v>0.0</v>
      </c>
      <c r="I25" s="17">
        <f t="shared" si="7"/>
        <v>720</v>
      </c>
    </row>
    <row r="26">
      <c r="A26" s="11" t="s">
        <v>80</v>
      </c>
      <c r="B26" s="12" t="s">
        <v>26</v>
      </c>
      <c r="C26" s="13">
        <v>3.0</v>
      </c>
      <c r="D26" s="14">
        <v>0.2</v>
      </c>
      <c r="E26" s="13">
        <v>3240.0</v>
      </c>
      <c r="F26" s="13">
        <v>0.0</v>
      </c>
      <c r="G26" s="13">
        <v>150.0</v>
      </c>
      <c r="H26" s="15">
        <v>0.0</v>
      </c>
      <c r="I26" s="17">
        <f t="shared" si="7"/>
        <v>3390</v>
      </c>
    </row>
    <row r="27">
      <c r="A27" s="11" t="s">
        <v>82</v>
      </c>
      <c r="B27" s="12" t="s">
        <v>29</v>
      </c>
      <c r="C27" s="49">
        <v>3.0</v>
      </c>
      <c r="D27" s="14">
        <v>0.2</v>
      </c>
      <c r="E27" s="49">
        <v>2160.0</v>
      </c>
      <c r="F27" s="49">
        <v>0.0</v>
      </c>
      <c r="G27" s="49">
        <v>200.0</v>
      </c>
      <c r="H27" s="15">
        <v>0.0</v>
      </c>
      <c r="I27" s="17">
        <f t="shared" si="7"/>
        <v>2360</v>
      </c>
    </row>
    <row r="28">
      <c r="A28" s="11" t="s">
        <v>83</v>
      </c>
      <c r="B28" s="12" t="s">
        <v>32</v>
      </c>
      <c r="C28" s="13">
        <v>0.0</v>
      </c>
      <c r="D28" s="14">
        <v>0.2</v>
      </c>
      <c r="E28" s="13">
        <v>0.0</v>
      </c>
      <c r="F28" s="30">
        <v>0.0</v>
      </c>
      <c r="G28" s="13">
        <v>100.0</v>
      </c>
      <c r="H28" s="15">
        <v>0.0</v>
      </c>
      <c r="I28" s="17">
        <f t="shared" si="7"/>
        <v>100</v>
      </c>
    </row>
    <row r="29">
      <c r="A29" s="11" t="s">
        <v>85</v>
      </c>
      <c r="B29" s="12" t="s">
        <v>36</v>
      </c>
      <c r="C29" s="13">
        <v>3.0</v>
      </c>
      <c r="D29" s="14">
        <v>0.2</v>
      </c>
      <c r="E29" s="30">
        <v>3600.0</v>
      </c>
      <c r="F29" s="13">
        <v>0.0</v>
      </c>
      <c r="G29" s="13">
        <v>300.0</v>
      </c>
      <c r="H29" s="15">
        <v>0.0</v>
      </c>
      <c r="I29" s="17">
        <f t="shared" si="7"/>
        <v>3900</v>
      </c>
    </row>
    <row r="30">
      <c r="A30" s="11" t="s">
        <v>86</v>
      </c>
      <c r="B30" s="12" t="s">
        <v>15</v>
      </c>
      <c r="C30" s="13">
        <v>3.0</v>
      </c>
      <c r="D30" s="14">
        <v>0.2</v>
      </c>
      <c r="E30" s="30">
        <v>2520.0</v>
      </c>
      <c r="F30" s="13">
        <v>0.0</v>
      </c>
      <c r="G30" s="13">
        <v>600.0</v>
      </c>
      <c r="H30" s="15">
        <v>0.0</v>
      </c>
      <c r="I30" s="17">
        <f t="shared" si="7"/>
        <v>3120</v>
      </c>
      <c r="J30" s="51"/>
      <c r="K30" s="51"/>
      <c r="L30" s="51"/>
      <c r="M30" s="51"/>
      <c r="N30" s="51"/>
      <c r="O30" s="51"/>
    </row>
    <row r="31">
      <c r="A31" s="11" t="s">
        <v>87</v>
      </c>
      <c r="B31" s="12" t="s">
        <v>17</v>
      </c>
      <c r="C31" s="13">
        <v>2.0</v>
      </c>
      <c r="D31" s="14">
        <v>0.2</v>
      </c>
      <c r="E31" s="30">
        <v>2880.0</v>
      </c>
      <c r="F31" s="13">
        <v>0.0</v>
      </c>
      <c r="G31" s="13">
        <v>500.0</v>
      </c>
      <c r="H31" s="15">
        <v>0.0</v>
      </c>
      <c r="I31" s="17">
        <f t="shared" si="7"/>
        <v>3380</v>
      </c>
    </row>
    <row r="32">
      <c r="A32" s="11" t="s">
        <v>88</v>
      </c>
      <c r="B32" s="12" t="s">
        <v>20</v>
      </c>
      <c r="C32" s="13">
        <v>0.0</v>
      </c>
      <c r="D32" s="14">
        <v>0.2</v>
      </c>
      <c r="E32" s="30">
        <v>3600.0</v>
      </c>
      <c r="F32" s="13">
        <v>0.0</v>
      </c>
      <c r="G32" s="13">
        <v>0.0</v>
      </c>
      <c r="H32" s="15">
        <v>0.0</v>
      </c>
      <c r="I32" s="17">
        <f t="shared" si="7"/>
        <v>3600</v>
      </c>
    </row>
    <row r="33">
      <c r="A33" s="52" t="s">
        <v>62</v>
      </c>
      <c r="B33" s="53"/>
      <c r="C33" s="45">
        <f>SUM(C1:C32)</f>
        <v>66</v>
      </c>
      <c r="D33" s="53"/>
      <c r="E33" s="54">
        <f t="shared" ref="E33:I33" si="8">SUM(E1:E32)</f>
        <v>58990</v>
      </c>
      <c r="F33" s="54">
        <f t="shared" si="8"/>
        <v>15880</v>
      </c>
      <c r="G33" s="54">
        <f t="shared" si="8"/>
        <v>9275</v>
      </c>
      <c r="H33" s="54">
        <f t="shared" si="8"/>
        <v>490</v>
      </c>
      <c r="I33" s="54">
        <f t="shared" si="8"/>
        <v>84635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4" max="4" width="23.88"/>
    <col customWidth="1" min="5" max="5" width="11.13"/>
  </cols>
  <sheetData>
    <row r="1">
      <c r="A1" s="19" t="s">
        <v>11</v>
      </c>
      <c r="B1" s="3" t="s">
        <v>1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27</v>
      </c>
      <c r="H1" s="21" t="s">
        <v>6</v>
      </c>
      <c r="I1" s="22"/>
    </row>
    <row r="2">
      <c r="A2" s="18"/>
      <c r="B2" s="23" t="s">
        <v>30</v>
      </c>
      <c r="C2" s="25">
        <v>5505.0</v>
      </c>
      <c r="D2" s="25">
        <v>789.1</v>
      </c>
      <c r="E2" s="26">
        <f t="shared" ref="E2:E3" si="1">C2-D2</f>
        <v>4715.9</v>
      </c>
      <c r="F2" s="25">
        <v>5.14</v>
      </c>
      <c r="G2" s="25">
        <v>25.73</v>
      </c>
      <c r="H2" s="27">
        <v>5250.02</v>
      </c>
    </row>
    <row r="3">
      <c r="A3" s="28"/>
      <c r="B3" s="23" t="s">
        <v>49</v>
      </c>
      <c r="C3" s="32">
        <v>0.0</v>
      </c>
      <c r="D3" s="32">
        <v>0.0</v>
      </c>
      <c r="E3" s="26">
        <f t="shared" si="1"/>
        <v>0</v>
      </c>
      <c r="F3" s="32">
        <v>0.0</v>
      </c>
      <c r="G3" s="32">
        <v>0.0</v>
      </c>
      <c r="H3" s="32">
        <v>0.0</v>
      </c>
    </row>
    <row r="4">
      <c r="A4" s="28"/>
      <c r="B4" s="33" t="s">
        <v>62</v>
      </c>
      <c r="C4" s="35">
        <f>SUM(C2:C3)</f>
        <v>5505</v>
      </c>
      <c r="D4" s="38"/>
      <c r="E4" s="35">
        <f>SUM(E2:E3)</f>
        <v>4715.9</v>
      </c>
      <c r="F4" s="38"/>
      <c r="G4" s="38"/>
      <c r="H4" s="35">
        <f>SUM(H2:H3)</f>
        <v>5250.02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19" t="s">
        <v>11</v>
      </c>
      <c r="B1" s="3" t="s">
        <v>1</v>
      </c>
      <c r="C1" s="3" t="s">
        <v>40</v>
      </c>
      <c r="D1" s="3" t="s">
        <v>41</v>
      </c>
      <c r="E1" s="3" t="s">
        <v>42</v>
      </c>
      <c r="F1" s="3" t="s">
        <v>23</v>
      </c>
      <c r="G1" s="3" t="s">
        <v>44</v>
      </c>
      <c r="H1" s="3" t="s">
        <v>45</v>
      </c>
      <c r="I1" s="3" t="s">
        <v>46</v>
      </c>
    </row>
    <row r="2">
      <c r="A2" s="29"/>
      <c r="B2" s="23" t="s">
        <v>56</v>
      </c>
      <c r="C2" s="27">
        <v>900.0</v>
      </c>
      <c r="D2" s="13">
        <v>63.0</v>
      </c>
      <c r="E2" s="13">
        <v>11.34</v>
      </c>
      <c r="F2" s="26">
        <f t="shared" ref="F2:F3" si="1">C2-D2-E2</f>
        <v>825.66</v>
      </c>
      <c r="G2" s="13">
        <v>4.5</v>
      </c>
      <c r="H2" s="13">
        <v>0.9</v>
      </c>
      <c r="I2" s="27">
        <v>820.26</v>
      </c>
    </row>
    <row r="3">
      <c r="A3" s="34"/>
      <c r="B3" s="37" t="s">
        <v>49</v>
      </c>
      <c r="C3" s="39">
        <v>0.0</v>
      </c>
      <c r="D3" s="39">
        <v>0.0</v>
      </c>
      <c r="E3" s="40">
        <v>0.0</v>
      </c>
      <c r="F3" s="26">
        <f t="shared" si="1"/>
        <v>0</v>
      </c>
      <c r="G3" s="40">
        <v>0.0</v>
      </c>
      <c r="H3" s="40">
        <v>0.0</v>
      </c>
      <c r="I3" s="39">
        <v>0.0</v>
      </c>
    </row>
    <row r="4">
      <c r="A4" s="34"/>
      <c r="B4" s="43" t="s">
        <v>62</v>
      </c>
      <c r="C4" s="45">
        <f>SUM(C2)</f>
        <v>900</v>
      </c>
      <c r="D4" s="46"/>
      <c r="E4" s="47"/>
      <c r="F4" s="45">
        <f>SUM(F2)</f>
        <v>825.66</v>
      </c>
      <c r="G4" s="47"/>
      <c r="H4" s="47"/>
      <c r="I4" s="45">
        <f>SUM(I2)</f>
        <v>820.26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2.75"/>
    <col customWidth="1" min="4" max="4" width="14.38"/>
    <col customWidth="1" min="5" max="6" width="16.0"/>
    <col customWidth="1" min="9" max="9" width="14.13"/>
  </cols>
  <sheetData>
    <row r="1">
      <c r="A1" s="55" t="s">
        <v>11</v>
      </c>
      <c r="B1" s="21" t="s">
        <v>1</v>
      </c>
      <c r="C1" s="21" t="s">
        <v>89</v>
      </c>
      <c r="D1" s="21" t="s">
        <v>41</v>
      </c>
      <c r="E1" s="56" t="s">
        <v>90</v>
      </c>
      <c r="F1" s="21" t="s">
        <v>23</v>
      </c>
      <c r="G1" s="57" t="s">
        <v>27</v>
      </c>
      <c r="H1" s="57" t="s">
        <v>24</v>
      </c>
      <c r="I1" s="21" t="s">
        <v>46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</row>
    <row r="2">
      <c r="A2" s="59"/>
      <c r="B2" s="23" t="s">
        <v>91</v>
      </c>
      <c r="C2" s="27">
        <v>28450.0</v>
      </c>
      <c r="D2" s="27">
        <v>986.0</v>
      </c>
      <c r="E2" s="25">
        <v>177.52</v>
      </c>
      <c r="F2" s="26">
        <f t="shared" ref="F2:F3" si="1">C2-D2-E2</f>
        <v>27286.48</v>
      </c>
      <c r="G2" s="27">
        <v>137.0</v>
      </c>
      <c r="H2" s="27">
        <v>29.4</v>
      </c>
      <c r="I2" s="27">
        <v>25654.6</v>
      </c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</row>
    <row r="3">
      <c r="A3" s="58"/>
      <c r="B3" s="23" t="s">
        <v>98</v>
      </c>
      <c r="C3" s="32">
        <v>9900.0</v>
      </c>
      <c r="D3" s="32">
        <v>212.0</v>
      </c>
      <c r="E3" s="62">
        <v>38.16</v>
      </c>
      <c r="F3" s="26">
        <f t="shared" si="1"/>
        <v>9649.84</v>
      </c>
      <c r="G3" s="32">
        <v>53.0</v>
      </c>
      <c r="H3" s="32">
        <v>10.6</v>
      </c>
      <c r="I3" s="32">
        <v>10286.24</v>
      </c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</row>
    <row r="4">
      <c r="A4" s="58"/>
      <c r="B4" s="66" t="s">
        <v>62</v>
      </c>
      <c r="C4" s="54">
        <f>SUM(C2:C3)</f>
        <v>38350</v>
      </c>
      <c r="D4" s="38"/>
      <c r="E4" s="70"/>
      <c r="F4" s="35">
        <f>SUM(F2:F3)</f>
        <v>36936.32</v>
      </c>
      <c r="G4" s="38"/>
      <c r="H4" s="38"/>
      <c r="I4" s="54">
        <f>SUM(I2:I3)</f>
        <v>35940.84</v>
      </c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</row>
    <row r="5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</row>
    <row r="6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</row>
    <row r="7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</row>
    <row r="8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</row>
    <row r="9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</row>
    <row r="10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</row>
    <row r="11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</row>
    <row r="12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</row>
    <row r="13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</row>
    <row r="14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</row>
    <row r="1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</row>
    <row r="16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</row>
    <row r="17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</row>
    <row r="18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</row>
    <row r="19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</row>
    <row r="20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</row>
    <row r="2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</row>
    <row r="22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</row>
    <row r="23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</row>
    <row r="2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</row>
    <row r="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</row>
    <row r="26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</row>
    <row r="27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</row>
    <row r="28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</row>
    <row r="29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</row>
    <row r="30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</row>
    <row r="3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</row>
    <row r="3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</row>
    <row r="33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</row>
    <row r="3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</row>
    <row r="3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</row>
    <row r="3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</row>
    <row r="37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</row>
    <row r="38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</row>
    <row r="39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</row>
    <row r="40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</row>
    <row r="4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</row>
    <row r="4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</row>
    <row r="43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</row>
    <row r="4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</row>
    <row r="4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</row>
    <row r="46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</row>
    <row r="47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</row>
    <row r="48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</row>
    <row r="49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</row>
    <row r="50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</row>
    <row r="5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</row>
    <row r="5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</row>
    <row r="5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</row>
    <row r="5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</row>
    <row r="5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</row>
    <row r="5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</row>
    <row r="57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</row>
    <row r="58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</row>
    <row r="59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</row>
    <row r="60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</row>
    <row r="6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</row>
    <row r="6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</row>
    <row r="6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</row>
    <row r="6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</row>
    <row r="6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</row>
    <row r="66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</row>
    <row r="68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</row>
    <row r="69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</row>
    <row r="70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</row>
    <row r="7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</row>
    <row r="7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</row>
    <row r="7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</row>
    <row r="7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</row>
    <row r="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</row>
    <row r="77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</row>
    <row r="78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</row>
    <row r="79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</row>
    <row r="80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</row>
    <row r="8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</row>
    <row r="8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</row>
    <row r="83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</row>
    <row r="8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</row>
    <row r="8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</row>
    <row r="8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</row>
    <row r="87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</row>
    <row r="88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</row>
    <row r="89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</row>
    <row r="90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</row>
    <row r="9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</row>
    <row r="9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</row>
    <row r="93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</row>
    <row r="9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</row>
    <row r="9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</row>
    <row r="96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</row>
    <row r="97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</row>
    <row r="98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</row>
    <row r="99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</row>
    <row r="100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</row>
    <row r="10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</row>
    <row r="102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</row>
    <row r="103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</row>
    <row r="10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</row>
    <row r="10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</row>
    <row r="106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</row>
    <row r="107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</row>
    <row r="108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</row>
    <row r="109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</row>
    <row r="110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</row>
    <row r="11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</row>
    <row r="112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</row>
    <row r="113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</row>
    <row r="11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</row>
    <row r="11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</row>
    <row r="116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</row>
    <row r="117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</row>
    <row r="118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</row>
    <row r="119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</row>
    <row r="120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</row>
    <row r="12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</row>
    <row r="122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</row>
    <row r="12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</row>
    <row r="12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</row>
    <row r="1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</row>
    <row r="126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</row>
    <row r="127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</row>
    <row r="128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</row>
    <row r="129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</row>
    <row r="130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</row>
    <row r="13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</row>
    <row r="132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</row>
    <row r="13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</row>
    <row r="13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</row>
    <row r="13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</row>
    <row r="136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</row>
    <row r="137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</row>
    <row r="138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</row>
    <row r="139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</row>
    <row r="140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</row>
    <row r="14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</row>
    <row r="142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</row>
    <row r="14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</row>
    <row r="14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</row>
    <row r="14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</row>
    <row r="146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</row>
    <row r="147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</row>
    <row r="148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</row>
    <row r="149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</row>
    <row r="150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</row>
    <row r="15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</row>
    <row r="152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</row>
    <row r="15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</row>
    <row r="15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</row>
    <row r="15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</row>
    <row r="156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</row>
    <row r="157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</row>
    <row r="158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</row>
    <row r="159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</row>
    <row r="160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</row>
    <row r="16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</row>
    <row r="162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</row>
    <row r="16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</row>
    <row r="16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</row>
    <row r="16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</row>
    <row r="166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</row>
    <row r="167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</row>
    <row r="168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</row>
    <row r="169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</row>
    <row r="170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</row>
    <row r="17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</row>
    <row r="172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</row>
    <row r="17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</row>
    <row r="17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</row>
    <row r="17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</row>
    <row r="176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</row>
    <row r="177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</row>
    <row r="178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</row>
    <row r="179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</row>
    <row r="180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</row>
    <row r="18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</row>
    <row r="18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</row>
    <row r="18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</row>
    <row r="18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</row>
    <row r="18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</row>
    <row r="186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</row>
    <row r="188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</row>
    <row r="189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</row>
    <row r="190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</row>
    <row r="19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</row>
    <row r="19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</row>
    <row r="19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</row>
    <row r="19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</row>
    <row r="198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</row>
    <row r="199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</row>
    <row r="200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</row>
    <row r="20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</row>
    <row r="202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</row>
    <row r="203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</row>
    <row r="20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</row>
    <row r="20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</row>
    <row r="206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</row>
    <row r="207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</row>
    <row r="208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</row>
    <row r="209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</row>
    <row r="210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</row>
    <row r="21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</row>
    <row r="212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</row>
    <row r="213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</row>
    <row r="21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</row>
    <row r="21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</row>
    <row r="216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</row>
    <row r="217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</row>
    <row r="218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</row>
    <row r="219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</row>
    <row r="220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</row>
    <row r="22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</row>
    <row r="222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</row>
    <row r="223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</row>
    <row r="22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</row>
    <row r="22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</row>
    <row r="226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</row>
    <row r="227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</row>
    <row r="228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</row>
    <row r="229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</row>
    <row r="230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</row>
    <row r="23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</row>
    <row r="23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</row>
    <row r="23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</row>
    <row r="23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</row>
    <row r="2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</row>
    <row r="236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</row>
    <row r="237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</row>
    <row r="238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</row>
    <row r="24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</row>
    <row r="24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</row>
    <row r="24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</row>
    <row r="24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</row>
    <row r="246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</row>
    <row r="247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</row>
    <row r="248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</row>
    <row r="249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</row>
    <row r="250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</row>
    <row r="25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</row>
    <row r="25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</row>
    <row r="25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</row>
    <row r="25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</row>
    <row r="25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</row>
    <row r="256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</row>
    <row r="257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</row>
    <row r="258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</row>
    <row r="259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</row>
    <row r="260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</row>
    <row r="26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</row>
    <row r="26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</row>
    <row r="26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</row>
    <row r="26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</row>
    <row r="26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</row>
    <row r="266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</row>
    <row r="267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</row>
    <row r="268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</row>
    <row r="269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</row>
    <row r="270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</row>
    <row r="27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</row>
    <row r="27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</row>
    <row r="27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</row>
    <row r="27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</row>
    <row r="2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</row>
    <row r="276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</row>
    <row r="277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</row>
    <row r="278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</row>
    <row r="279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</row>
    <row r="280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</row>
    <row r="28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</row>
    <row r="282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</row>
    <row r="283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</row>
    <row r="28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</row>
    <row r="28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</row>
    <row r="286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</row>
    <row r="287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</row>
    <row r="288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</row>
    <row r="289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</row>
    <row r="290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</row>
    <row r="29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</row>
    <row r="292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</row>
    <row r="293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</row>
    <row r="29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</row>
    <row r="29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</row>
    <row r="296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</row>
    <row r="297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</row>
    <row r="298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</row>
    <row r="299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</row>
    <row r="300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</row>
    <row r="30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</row>
    <row r="30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</row>
    <row r="30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</row>
    <row r="30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</row>
    <row r="30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</row>
    <row r="306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</row>
    <row r="307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</row>
    <row r="308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</row>
    <row r="309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</row>
    <row r="310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</row>
    <row r="31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</row>
    <row r="31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</row>
    <row r="31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</row>
    <row r="31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</row>
    <row r="31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</row>
    <row r="316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</row>
    <row r="317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</row>
    <row r="318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</row>
    <row r="319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</row>
    <row r="320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</row>
    <row r="32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</row>
    <row r="32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</row>
    <row r="32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</row>
    <row r="32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</row>
    <row r="3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</row>
    <row r="326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</row>
    <row r="327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</row>
    <row r="328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</row>
    <row r="329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</row>
    <row r="330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</row>
    <row r="33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</row>
    <row r="33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</row>
    <row r="33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</row>
    <row r="33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</row>
    <row r="3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</row>
    <row r="336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</row>
    <row r="337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</row>
    <row r="338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</row>
    <row r="339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</row>
    <row r="340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</row>
    <row r="34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</row>
    <row r="34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</row>
    <row r="34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</row>
    <row r="34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</row>
    <row r="34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</row>
    <row r="346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</row>
    <row r="347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</row>
    <row r="348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</row>
    <row r="349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</row>
    <row r="350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</row>
    <row r="35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</row>
    <row r="35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</row>
    <row r="35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</row>
    <row r="35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</row>
    <row r="35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</row>
    <row r="356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</row>
    <row r="357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</row>
    <row r="358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</row>
    <row r="359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</row>
    <row r="360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</row>
    <row r="36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</row>
    <row r="36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</row>
    <row r="36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</row>
    <row r="36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</row>
    <row r="36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</row>
    <row r="366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</row>
    <row r="367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</row>
    <row r="369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</row>
    <row r="370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</row>
    <row r="37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</row>
    <row r="37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</row>
    <row r="37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</row>
    <row r="37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</row>
    <row r="3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</row>
    <row r="376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</row>
    <row r="377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</row>
    <row r="378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</row>
    <row r="379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</row>
    <row r="380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</row>
    <row r="38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</row>
    <row r="38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</row>
    <row r="38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</row>
    <row r="38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</row>
    <row r="38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</row>
    <row r="386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</row>
    <row r="387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</row>
    <row r="388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</row>
    <row r="389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</row>
    <row r="390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</row>
    <row r="39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</row>
    <row r="39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</row>
    <row r="39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</row>
    <row r="39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</row>
    <row r="39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</row>
    <row r="396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</row>
    <row r="397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</row>
    <row r="398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</row>
    <row r="399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</row>
    <row r="400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</row>
    <row r="40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</row>
    <row r="40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</row>
    <row r="40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</row>
    <row r="40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</row>
    <row r="40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</row>
    <row r="406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</row>
    <row r="407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</row>
    <row r="408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</row>
    <row r="409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</row>
    <row r="410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</row>
    <row r="41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</row>
    <row r="41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</row>
    <row r="41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</row>
    <row r="41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</row>
    <row r="41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</row>
    <row r="79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</row>
    <row r="796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</row>
    <row r="797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</row>
    <row r="798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</row>
    <row r="799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</row>
    <row r="800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</row>
    <row r="80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</row>
    <row r="802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</row>
    <row r="803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</row>
    <row r="80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</row>
    <row r="882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</row>
    <row r="883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</row>
    <row r="88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</row>
    <row r="88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</row>
    <row r="886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</row>
    <row r="887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</row>
    <row r="888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</row>
    <row r="889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</row>
    <row r="890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</row>
    <row r="89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</row>
    <row r="892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</row>
    <row r="893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</row>
    <row r="89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</row>
    <row r="89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</row>
    <row r="896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</row>
    <row r="897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</row>
    <row r="898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</row>
    <row r="899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</row>
    <row r="99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</row>
    <row r="996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</row>
    <row r="997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</row>
    <row r="998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</row>
    <row r="999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</row>
    <row r="1000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4.0"/>
    <col customWidth="1" min="6" max="6" width="14.13"/>
  </cols>
  <sheetData>
    <row r="1">
      <c r="A1" s="3" t="s">
        <v>1</v>
      </c>
      <c r="B1" s="3" t="s">
        <v>92</v>
      </c>
      <c r="C1" s="21" t="s">
        <v>95</v>
      </c>
      <c r="D1" s="3" t="s">
        <v>23</v>
      </c>
      <c r="E1" s="3" t="s">
        <v>96</v>
      </c>
      <c r="F1" s="3" t="s">
        <v>46</v>
      </c>
    </row>
    <row r="2">
      <c r="A2" s="63">
        <v>46102.0</v>
      </c>
      <c r="B2" s="24">
        <v>40480.0</v>
      </c>
      <c r="C2" s="67">
        <f>B2*3%</f>
        <v>1214.4</v>
      </c>
      <c r="D2" s="20">
        <f>B2-C2</f>
        <v>39265.6</v>
      </c>
      <c r="E2" s="71">
        <f>B2*2%</f>
        <v>809.6</v>
      </c>
      <c r="F2" s="20">
        <f>D2-E2</f>
        <v>38456</v>
      </c>
    </row>
    <row r="3">
      <c r="A3" s="72" t="s">
        <v>62</v>
      </c>
      <c r="B3" s="73">
        <f>SUM(B2)</f>
        <v>40480</v>
      </c>
      <c r="C3" s="38"/>
      <c r="D3" s="73">
        <f>SUM(D2)</f>
        <v>39265.6</v>
      </c>
      <c r="E3" s="47"/>
      <c r="F3" s="73">
        <f>SUM(F2)</f>
        <v>38456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1">
      <c r="A1" s="57" t="s">
        <v>93</v>
      </c>
      <c r="B1" s="57" t="s">
        <v>94</v>
      </c>
      <c r="C1" s="60" t="s">
        <v>6</v>
      </c>
      <c r="D1" s="57" t="s">
        <v>97</v>
      </c>
      <c r="E1" s="57" t="s">
        <v>23</v>
      </c>
      <c r="F1" s="57" t="s">
        <v>99</v>
      </c>
    </row>
    <row r="2">
      <c r="A2" s="61">
        <v>46102.0</v>
      </c>
      <c r="B2" s="28" t="s">
        <v>100</v>
      </c>
      <c r="C2" s="64">
        <v>10000.0</v>
      </c>
      <c r="D2" s="65">
        <v>0.0</v>
      </c>
      <c r="E2" s="28">
        <f>C2-D2</f>
        <v>10000</v>
      </c>
      <c r="F2" s="28" t="s">
        <v>101</v>
      </c>
    </row>
    <row r="3">
      <c r="A3" s="59"/>
      <c r="B3" s="28"/>
      <c r="C3" s="64"/>
      <c r="D3" s="28"/>
      <c r="E3" s="28"/>
      <c r="F3" s="28"/>
    </row>
    <row r="4">
      <c r="A4" s="68" t="s">
        <v>62</v>
      </c>
      <c r="B4" s="69"/>
      <c r="C4" s="60">
        <f>SUM(C2:C3)</f>
        <v>10000</v>
      </c>
      <c r="D4" s="69"/>
      <c r="E4" s="60">
        <f>SUM(E2:E3)</f>
        <v>10000</v>
      </c>
      <c r="F4" s="69"/>
    </row>
  </sheetData>
  <drawing r:id="rId1"/>
</worksheet>
</file>