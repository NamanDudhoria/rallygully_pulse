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Hudle" sheetId="3" r:id="rId7"/>
    <sheet state="visible" name="Playo" sheetId="4" r:id="rId8"/>
    <sheet state="visible" name="District" sheetId="5" r:id="rId9"/>
    <sheet state="visible" name="Misfits" sheetId="6" r:id="rId10"/>
    <sheet state="visible" name="Membership" sheetId="7" r:id="rId11"/>
    <sheet state="visible" name="Corporate Events" sheetId="8" r:id="rId12"/>
  </sheets>
  <definedNames/>
  <calcPr/>
</workbook>
</file>

<file path=xl/sharedStrings.xml><?xml version="1.0" encoding="utf-8"?>
<sst xmlns="http://schemas.openxmlformats.org/spreadsheetml/2006/main" count="202" uniqueCount="119">
  <si>
    <t>Link</t>
  </si>
  <si>
    <t>Date</t>
  </si>
  <si>
    <t>Date: 1 - 31 Mar</t>
  </si>
  <si>
    <t>Day</t>
  </si>
  <si>
    <t>Offline booking hours</t>
  </si>
  <si>
    <t>Discount Given</t>
  </si>
  <si>
    <t>Booking Revenue</t>
  </si>
  <si>
    <t>Community Revenue</t>
  </si>
  <si>
    <t xml:space="preserve">Paddle Rental </t>
  </si>
  <si>
    <t>Total Revenue</t>
  </si>
  <si>
    <t>Particulars</t>
  </si>
  <si>
    <t>Amount</t>
  </si>
  <si>
    <t>1 Mar</t>
  </si>
  <si>
    <t>Offline</t>
  </si>
  <si>
    <t>Sunday</t>
  </si>
  <si>
    <t>Paid to Hudle</t>
  </si>
  <si>
    <t>Commisions (Including GST)</t>
  </si>
  <si>
    <t>Net Revenue</t>
  </si>
  <si>
    <t>TDS</t>
  </si>
  <si>
    <t>TCS</t>
  </si>
  <si>
    <t>30% and 20%</t>
  </si>
  <si>
    <t>1 - 23 Mar</t>
  </si>
  <si>
    <t>Paid to Playo (₹)</t>
  </si>
  <si>
    <t>Commissions (₹)</t>
  </si>
  <si>
    <t>GST (₹)</t>
  </si>
  <si>
    <t>TDS (₹)</t>
  </si>
  <si>
    <t>TCS (₹)</t>
  </si>
  <si>
    <t>Final Amount (₹)</t>
  </si>
  <si>
    <t>2 Mar</t>
  </si>
  <si>
    <t>Monday</t>
  </si>
  <si>
    <t>1 - 22 Mar</t>
  </si>
  <si>
    <t>Rentals</t>
  </si>
  <si>
    <t>3 Mar</t>
  </si>
  <si>
    <t>Tuesday</t>
  </si>
  <si>
    <t>4 Mar</t>
  </si>
  <si>
    <t>Wednesday</t>
  </si>
  <si>
    <t>23 - 31 Mar</t>
  </si>
  <si>
    <t>5 Mar</t>
  </si>
  <si>
    <t>Thursday</t>
  </si>
  <si>
    <t>6 Mar</t>
  </si>
  <si>
    <t>Friday</t>
  </si>
  <si>
    <t>F&amp;B</t>
  </si>
  <si>
    <t>Total</t>
  </si>
  <si>
    <t>7 Mar</t>
  </si>
  <si>
    <t>Saturday</t>
  </si>
  <si>
    <t>8 Mar</t>
  </si>
  <si>
    <t>9 Mar</t>
  </si>
  <si>
    <t>Product Sales</t>
  </si>
  <si>
    <t>10 Mar</t>
  </si>
  <si>
    <t>11 Mar</t>
  </si>
  <si>
    <t>Bookings</t>
  </si>
  <si>
    <t>12 Mar</t>
  </si>
  <si>
    <t>13 Mar</t>
  </si>
  <si>
    <t>14 Mar</t>
  </si>
  <si>
    <t>Online: Third Party Platform</t>
  </si>
  <si>
    <t>15 Mar</t>
  </si>
  <si>
    <t>16 Mar</t>
  </si>
  <si>
    <t>Hudle</t>
  </si>
  <si>
    <t>17 Mar</t>
  </si>
  <si>
    <t>18 Mar</t>
  </si>
  <si>
    <t>Playo</t>
  </si>
  <si>
    <t>19 Mar</t>
  </si>
  <si>
    <t>20 Mar</t>
  </si>
  <si>
    <t>District</t>
  </si>
  <si>
    <t>21 Mar</t>
  </si>
  <si>
    <t>22 Mar</t>
  </si>
  <si>
    <t>Khelomore</t>
  </si>
  <si>
    <t>23 Mar</t>
  </si>
  <si>
    <t>Zplys</t>
  </si>
  <si>
    <t>24 Mar</t>
  </si>
  <si>
    <t>Community</t>
  </si>
  <si>
    <t>25 Mar</t>
  </si>
  <si>
    <t>26 Mar</t>
  </si>
  <si>
    <t>27 Mar</t>
  </si>
  <si>
    <t>28 Mar</t>
  </si>
  <si>
    <t>29 Mar</t>
  </si>
  <si>
    <t>Courtly (Organized by RallyGully)</t>
  </si>
  <si>
    <t>30 Mar</t>
  </si>
  <si>
    <t>31 Mar</t>
  </si>
  <si>
    <t>Sportomic (Organized by RallyGully)</t>
  </si>
  <si>
    <t xml:space="preserve">Rallygully Community games </t>
  </si>
  <si>
    <t>Misfits Community</t>
  </si>
  <si>
    <t>Memberships</t>
  </si>
  <si>
    <t>Coaching</t>
  </si>
  <si>
    <t>Corporate Events</t>
  </si>
  <si>
    <t>Brand Activation</t>
  </si>
  <si>
    <t>Other Income</t>
  </si>
  <si>
    <t>Total Gross Revenue</t>
  </si>
  <si>
    <t>Total Net Revenue (Post Commissions)</t>
  </si>
  <si>
    <t>Total Revenue post GST</t>
  </si>
  <si>
    <t>Member Name</t>
  </si>
  <si>
    <t>Sports Type</t>
  </si>
  <si>
    <t>Membership Type</t>
  </si>
  <si>
    <t>Start Date</t>
  </si>
  <si>
    <t>Amount Collected</t>
  </si>
  <si>
    <t>Indian School of hospitality</t>
  </si>
  <si>
    <t>Paid to District</t>
  </si>
  <si>
    <t>Pickle &amp; Box</t>
  </si>
  <si>
    <t>GST on Commission</t>
  </si>
  <si>
    <t>Paid to Misfits (₹)</t>
  </si>
  <si>
    <t>Comission (20%)</t>
  </si>
  <si>
    <t>Collab</t>
  </si>
  <si>
    <t xml:space="preserve">TDS </t>
  </si>
  <si>
    <t>1 - 31 Mar</t>
  </si>
  <si>
    <t>Akshay</t>
  </si>
  <si>
    <t>Pickleball</t>
  </si>
  <si>
    <t>Pro Pack (30)</t>
  </si>
  <si>
    <t>1 - 24 Mar</t>
  </si>
  <si>
    <t>Sumit</t>
  </si>
  <si>
    <t>Ritesh</t>
  </si>
  <si>
    <t>Name</t>
  </si>
  <si>
    <t>Type</t>
  </si>
  <si>
    <t>Deliverables</t>
  </si>
  <si>
    <t>Mar</t>
  </si>
  <si>
    <t>25 - 31 Mar</t>
  </si>
  <si>
    <t>Bio Gas KLJ</t>
  </si>
  <si>
    <t>Team Event</t>
  </si>
  <si>
    <t>Box Turf</t>
  </si>
  <si>
    <t>4 hours of Turf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</si>
</sst>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₹]#,##0.00"/>
    <numFmt numFmtId="165" formatCode="[&gt;9999999][$₹]##\,##\,##\,##0.00;[&gt;99999][$₹]##\,##\,##0.00;[$₹]##,##0.00"/>
    <numFmt numFmtId="166" formatCode="[&gt;9999999][$₹]##\,##\,##\,##0;[&gt;99999][$₹]##\,##\,##0;[$₹]##,##0"/>
    <numFmt numFmtId="167" formatCode="d mmm"/>
  </numFmts>
  <fonts count="13">
    <font>
      <sz val="10.0"/>
      <color rgb="FF000000"/>
      <name val="Arial"/>
      <scheme val="minor"/>
    </font>
    <font>
      <b/>
      <sz val="10.0"/>
      <color theme="1"/>
      <name val="Arial"/>
    </font>
    <font>
      <b/>
      <color theme="1"/>
      <name val="Arial"/>
    </font>
    <font/>
    <font>
      <sz val="10.0"/>
      <color rgb="FF000000"/>
      <name val="Arial"/>
    </font>
    <font>
      <b/>
      <u/>
      <color rgb="FF1155CC"/>
      <name val="Arial"/>
    </font>
    <font>
      <color theme="1"/>
      <name val="Arial"/>
    </font>
    <font>
      <b/>
      <u/>
      <color rgb="FF0000FF"/>
      <name val="Arial"/>
    </font>
    <font>
      <color theme="1"/>
      <name val="Arial"/>
      <scheme val="minor"/>
    </font>
    <font>
      <b/>
      <u/>
      <color rgb="FF1155CC"/>
      <name val="Arial"/>
    </font>
    <font>
      <b/>
      <u/>
      <color rgb="FF1155CC"/>
      <name val="Arial"/>
    </font>
    <font>
      <b/>
      <sz val="11.0"/>
      <color theme="1"/>
      <name val="Calibri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vertical="bottom"/>
    </xf>
    <xf borderId="2" fillId="2" fontId="2" numFmtId="0" xfId="0" applyAlignment="1" applyBorder="1" applyFill="1" applyFont="1">
      <alignment horizontal="center" readingOrder="0" vertical="bottom"/>
    </xf>
    <xf borderId="3" fillId="0" fontId="3" numFmtId="0" xfId="0" applyBorder="1" applyFont="1"/>
    <xf borderId="0" fillId="0" fontId="4" numFmtId="0" xfId="0" applyFont="1"/>
    <xf borderId="1" fillId="2" fontId="2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2" fontId="5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vertical="bottom"/>
    </xf>
    <xf borderId="1" fillId="3" fontId="6" numFmtId="49" xfId="0" applyAlignment="1" applyBorder="1" applyFill="1" applyFont="1" applyNumberFormat="1">
      <alignment horizontal="right" vertical="bottom"/>
    </xf>
    <xf borderId="1" fillId="3" fontId="6" numFmtId="49" xfId="0" applyAlignment="1" applyBorder="1" applyFill="1" applyFont="1" applyNumberFormat="1">
      <alignment vertical="bottom"/>
    </xf>
    <xf borderId="1" fillId="0" fontId="6" numFmtId="0" xfId="0" applyAlignment="1" applyBorder="1" applyFont="1">
      <alignment horizontal="right" readingOrder="0" vertical="bottom"/>
    </xf>
    <xf borderId="1" fillId="2" fontId="2" numFmtId="164" xfId="0" applyAlignment="1" applyBorder="1" applyFill="1" applyFont="1" applyNumberFormat="1">
      <alignment horizontal="center" vertical="bottom"/>
    </xf>
    <xf borderId="1" fillId="0" fontId="6" numFmtId="0" xfId="0" applyAlignment="1" applyBorder="1" applyFont="1">
      <alignment vertical="bottom"/>
    </xf>
    <xf borderId="1" fillId="0" fontId="6" numFmtId="9" xfId="0" applyAlignment="1" applyBorder="1" applyFont="1" applyNumberFormat="1">
      <alignment horizontal="right" vertical="bottom"/>
    </xf>
    <xf borderId="1" fillId="0" fontId="6" numFmtId="164" xfId="0" applyAlignment="1" applyBorder="1" applyFont="1" applyNumberFormat="1">
      <alignment vertical="bottom"/>
    </xf>
    <xf borderId="1" fillId="2" fontId="7" numFmtId="164" xfId="0" applyAlignment="1" applyBorder="1" applyFill="1" applyFont="1" applyNumberFormat="1">
      <alignment horizontal="center" readingOrder="0" vertical="bottom"/>
    </xf>
    <xf borderId="1" fillId="0" fontId="6" numFmtId="165" xfId="0" applyAlignment="1" applyBorder="1" applyFont="1" applyNumberFormat="1">
      <alignment horizontal="right" readingOrder="0" vertical="bottom"/>
    </xf>
    <xf borderId="1" fillId="0" fontId="6" numFmtId="0" xfId="0" applyAlignment="1" applyBorder="1" applyFont="1">
      <alignment horizontal="right" vertical="bottom"/>
    </xf>
    <xf borderId="1" fillId="0" fontId="6" numFmtId="165" xfId="0" applyAlignment="1" applyBorder="1" applyFont="1" applyNumberFormat="1">
      <alignment horizontal="right" vertical="bottom"/>
    </xf>
    <xf borderId="1" fillId="0" fontId="2" numFmtId="166" xfId="0" applyAlignment="1" applyBorder="1" applyFont="1" applyNumberFormat="1">
      <alignment horizontal="right" vertical="bottom"/>
    </xf>
    <xf borderId="1" fillId="0" fontId="6" numFmtId="164" xfId="0" applyAlignment="1" applyBorder="1" applyFont="1" applyNumberFormat="1">
      <alignment horizontal="right" readingOrder="0" vertical="bottom"/>
    </xf>
    <xf borderId="1" fillId="0" fontId="6" numFmtId="3" xfId="0" applyAlignment="1" applyBorder="1" applyFont="1" applyNumberFormat="1">
      <alignment horizontal="right" readingOrder="0" vertical="bottom"/>
    </xf>
    <xf borderId="1" fillId="0" fontId="6" numFmtId="3" xfId="0" applyAlignment="1" applyBorder="1" applyFont="1" applyNumberFormat="1">
      <alignment horizontal="right" vertical="bottom"/>
    </xf>
    <xf borderId="0" fillId="0" fontId="6" numFmtId="164" xfId="0" applyAlignment="1" applyFont="1" applyNumberFormat="1">
      <alignment vertical="bottom"/>
    </xf>
    <xf borderId="1" fillId="0" fontId="6" numFmtId="164" xfId="0" applyAlignment="1" applyBorder="1" applyFont="1" applyNumberFormat="1">
      <alignment readingOrder="0" vertical="bottom"/>
    </xf>
    <xf borderId="1" fillId="0" fontId="6" numFmtId="166" xfId="0" applyAlignment="1" applyBorder="1" applyFont="1" applyNumberFormat="1">
      <alignment horizontal="right" vertical="bottom"/>
    </xf>
    <xf borderId="0" fillId="0" fontId="8" numFmtId="0" xfId="0" applyAlignment="1" applyFont="1">
      <alignment readingOrder="0"/>
    </xf>
    <xf borderId="1" fillId="2" fontId="2" numFmtId="164" xfId="0" applyAlignment="1" applyBorder="1" applyFill="1" applyFont="1" applyNumberFormat="1">
      <alignment vertical="bottom"/>
    </xf>
    <xf borderId="1" fillId="3" fontId="6" numFmtId="164" xfId="0" applyAlignment="1" applyBorder="1" applyFill="1" applyFont="1" applyNumberFormat="1">
      <alignment vertical="bottom"/>
    </xf>
    <xf borderId="1" fillId="0" fontId="6" numFmtId="166" xfId="0" applyAlignment="1" applyBorder="1" applyFont="1" applyNumberFormat="1">
      <alignment horizontal="right" readingOrder="0" vertical="bottom"/>
    </xf>
    <xf borderId="1" fillId="3" fontId="6" numFmtId="167" xfId="0" applyAlignment="1" applyBorder="1" applyFill="1" applyFont="1" applyNumberFormat="1">
      <alignment vertical="bottom"/>
    </xf>
    <xf borderId="1" fillId="3" fontId="6" numFmtId="164" xfId="0" applyAlignment="1" applyBorder="1" applyFill="1" applyFont="1" applyNumberFormat="1">
      <alignment readingOrder="0" vertical="bottom"/>
    </xf>
    <xf borderId="1" fillId="2" fontId="2" numFmtId="165" xfId="0" applyAlignment="1" applyBorder="1" applyFill="1" applyFont="1" applyNumberFormat="1">
      <alignment horizontal="right" vertical="bottom"/>
    </xf>
    <xf borderId="1" fillId="2" fontId="6" numFmtId="164" xfId="0" applyAlignment="1" applyBorder="1" applyFill="1" applyFont="1" applyNumberFormat="1">
      <alignment vertical="bottom"/>
    </xf>
    <xf borderId="1" fillId="0" fontId="6" numFmtId="164" xfId="0" applyAlignment="1" applyBorder="1" applyFont="1" applyNumberFormat="1">
      <alignment horizontal="right" vertical="bottom"/>
    </xf>
    <xf borderId="1" fillId="3" fontId="6" numFmtId="0" xfId="0" applyAlignment="1" applyBorder="1" applyFill="1" applyFont="1">
      <alignment vertical="bottom"/>
    </xf>
    <xf borderId="1" fillId="0" fontId="6" numFmtId="0" xfId="0" applyAlignment="1" applyBorder="1" applyFont="1">
      <alignment readingOrder="0" vertical="bottom"/>
    </xf>
    <xf borderId="1" fillId="2" fontId="2" numFmtId="0" xfId="0" applyAlignment="1" applyBorder="1" applyFill="1" applyFont="1">
      <alignment horizontal="right" vertical="bottom"/>
    </xf>
    <xf borderId="1" fillId="0" fontId="6" numFmtId="0" xfId="0" applyAlignment="1" applyBorder="1" applyFont="1">
      <alignment horizontal="right" vertical="bottom"/>
    </xf>
    <xf borderId="1" fillId="2" fontId="2" numFmtId="4" xfId="0" applyAlignment="1" applyBorder="1" applyFill="1" applyFont="1" applyNumberFormat="1">
      <alignment horizontal="right" vertical="bottom"/>
    </xf>
    <xf borderId="1" fillId="2" fontId="6" numFmtId="4" xfId="0" applyAlignment="1" applyBorder="1" applyFill="1" applyFont="1" applyNumberFormat="1">
      <alignment vertical="bottom"/>
    </xf>
    <xf borderId="1" fillId="2" fontId="6" numFmtId="0" xfId="0" applyAlignment="1" applyBorder="1" applyFill="1" applyFont="1">
      <alignment vertical="bottom"/>
    </xf>
    <xf borderId="0" fillId="0" fontId="2" numFmtId="165" xfId="0" applyAlignment="1" applyFont="1" applyNumberFormat="1">
      <alignment horizontal="right" vertical="bottom"/>
    </xf>
    <xf borderId="1" fillId="0" fontId="2" numFmtId="0" xfId="0" applyAlignment="1" applyBorder="1" applyFont="1">
      <alignment readingOrder="0" vertical="bottom"/>
    </xf>
    <xf borderId="1" fillId="0" fontId="2" numFmtId="166" xfId="0" applyAlignment="1" applyBorder="1" applyFont="1" applyNumberFormat="1">
      <alignment horizontal="right" readingOrder="0" vertical="bottom"/>
    </xf>
    <xf borderId="1" fillId="0" fontId="6" numFmtId="0" xfId="0" applyAlignment="1" applyBorder="1" applyFont="1">
      <alignment vertical="bottom"/>
    </xf>
    <xf borderId="1" fillId="2" fontId="2" numFmtId="49" xfId="0" applyAlignment="1" applyBorder="1" applyFill="1" applyFont="1" applyNumberFormat="1">
      <alignment vertical="bottom"/>
    </xf>
    <xf borderId="1" fillId="2" fontId="6" numFmtId="49" xfId="0" applyAlignment="1" applyBorder="1" applyFill="1" applyFont="1" applyNumberFormat="1">
      <alignment vertical="bottom"/>
    </xf>
    <xf borderId="1" fillId="2" fontId="2" numFmtId="164" xfId="0" applyAlignment="1" applyBorder="1" applyFill="1" applyFont="1" applyNumberFormat="1">
      <alignment horizontal="right" vertical="bottom"/>
    </xf>
    <xf borderId="4" fillId="0" fontId="2" numFmtId="0" xfId="0" applyAlignment="1" applyBorder="1" applyFont="1">
      <alignment vertical="bottom"/>
    </xf>
    <xf borderId="4" fillId="0" fontId="6" numFmtId="166" xfId="0" applyAlignment="1" applyBorder="1" applyFont="1" applyNumberFormat="1">
      <alignment horizontal="right" readingOrder="0" vertical="bottom"/>
    </xf>
    <xf borderId="1" fillId="0" fontId="6" numFmtId="0" xfId="0" applyAlignment="1" applyBorder="1" applyFont="1">
      <alignment shrinkToFit="0" vertical="bottom" wrapText="1"/>
    </xf>
    <xf borderId="1" fillId="0" fontId="2" numFmtId="164" xfId="0" applyAlignment="1" applyBorder="1" applyFont="1" applyNumberFormat="1">
      <alignment horizontal="right" vertical="bottom"/>
    </xf>
    <xf borderId="1" fillId="2" fontId="2" numFmtId="0" xfId="0" applyAlignment="1" applyBorder="1" applyFill="1" applyFont="1">
      <alignment horizontal="right" vertical="bottom"/>
    </xf>
    <xf borderId="0" fillId="2" fontId="9" numFmtId="164" xfId="0" applyAlignment="1" applyFill="1" applyFont="1" applyNumberFormat="1">
      <alignment horizontal="center" vertical="bottom"/>
    </xf>
    <xf borderId="1" fillId="0" fontId="8" numFmtId="0" xfId="0" applyAlignment="1" applyBorder="1" applyFont="1">
      <alignment readingOrder="0"/>
    </xf>
    <xf borderId="1" fillId="2" fontId="10" numFmtId="0" xfId="0" applyAlignment="1" applyBorder="1" applyFill="1" applyFont="1">
      <alignment horizontal="center" vertical="bottom"/>
    </xf>
    <xf borderId="0" fillId="2" fontId="11" numFmtId="164" xfId="0" applyAlignment="1" applyFill="1" applyFont="1" applyNumberFormat="1">
      <alignment vertical="bottom"/>
    </xf>
    <xf borderId="0" fillId="2" fontId="2" numFmtId="164" xfId="0" applyAlignment="1" applyFill="1" applyFont="1" applyNumberFormat="1">
      <alignment horizontal="center" vertical="bottom"/>
    </xf>
    <xf borderId="1" fillId="0" fontId="8" numFmtId="167" xfId="0" applyAlignment="1" applyBorder="1" applyFont="1" applyNumberFormat="1">
      <alignment readingOrder="0"/>
    </xf>
    <xf borderId="0" fillId="0" fontId="6" numFmtId="0" xfId="0" applyAlignment="1" applyFont="1">
      <alignment vertical="bottom"/>
    </xf>
    <xf borderId="1" fillId="0" fontId="8" numFmtId="164" xfId="0" applyAlignment="1" applyBorder="1" applyFont="1" applyNumberFormat="1">
      <alignment readingOrder="0"/>
    </xf>
    <xf borderId="1" fillId="0" fontId="2" numFmtId="164" xfId="0" applyAlignment="1" applyBorder="1" applyFont="1" applyNumberFormat="1">
      <alignment horizontal="right" readingOrder="0" vertical="bottom"/>
    </xf>
    <xf borderId="0" fillId="0" fontId="6" numFmtId="167" xfId="0" applyAlignment="1" applyFont="1" applyNumberFormat="1">
      <alignment vertical="bottom"/>
    </xf>
    <xf borderId="1" fillId="0" fontId="6" numFmtId="167" xfId="0" applyAlignment="1" applyBorder="1" applyFont="1" applyNumberFormat="1">
      <alignment horizontal="right" readingOrder="0" vertical="bottom"/>
    </xf>
    <xf borderId="0" fillId="0" fontId="6" numFmtId="3" xfId="0" applyAlignment="1" applyFont="1" applyNumberFormat="1">
      <alignment vertical="bottom"/>
    </xf>
    <xf borderId="0" fillId="0" fontId="6" numFmtId="167" xfId="0" applyAlignment="1" applyFont="1" applyNumberFormat="1">
      <alignment horizontal="right" vertical="bottom"/>
    </xf>
    <xf borderId="1" fillId="0" fontId="6" numFmtId="0" xfId="0" applyAlignment="1" applyBorder="1" applyFont="1">
      <alignment horizontal="center" vertical="bottom"/>
    </xf>
    <xf borderId="1" fillId="2" fontId="12" numFmtId="0" xfId="0" applyAlignment="1" applyBorder="1" applyFill="1" applyFont="1">
      <alignment readingOrder="0"/>
    </xf>
    <xf borderId="1" fillId="2" fontId="12" numFmtId="0" xfId="0" applyBorder="1" applyFill="1" applyFont="1"/>
    <xf borderId="1" fillId="2" fontId="2" numFmtId="0" xfId="0" applyAlignment="1" applyBorder="1" applyFill="1" applyFont="1">
      <alignment horizontal="center" readingOrder="0" vertical="bottom"/>
    </xf>
    <xf borderId="1" fillId="2" fontId="12" numFmtId="164" xfId="0" applyBorder="1" applyFill="1" applyFont="1" applyNumberFormat="1"/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right" vertical="bottom"/>
    </xf>
    <xf borderId="1" fillId="0" fontId="6" numFmtId="165" xfId="0" applyAlignment="1" applyBorder="1" applyFont="1" applyNumberFormat="1">
      <alignment readingOrder="0" vertical="bottom"/>
    </xf>
    <xf borderId="0" fillId="0" fontId="6" numFmtId="164" xfId="0" applyAlignment="1" applyFont="1" applyNumberFormat="1">
      <alignment horizontal="right" vertical="bottom"/>
    </xf>
    <xf borderId="1" fillId="2" fontId="2" numFmtId="0" xfId="0" applyAlignment="1" applyBorder="1" applyFill="1" applyFont="1">
      <alignment readingOrder="0" vertical="bottom"/>
    </xf>
    <xf borderId="1" fillId="2" fontId="2" numFmtId="0" xfId="0" applyAlignment="1" applyBorder="1" applyFill="1" applyFont="1">
      <alignment vertical="bottom"/>
    </xf>
    <xf borderId="1" fillId="2" fontId="6" numFmtId="165" xfId="0" applyAlignment="1" applyBorder="1" applyFill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BWyH3mDpCNf4V9ZAzzh0I2MxHZ0wTuLPfhrz0xK0frg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cq400fT_B2awvFEPO9mMRN8Xp70V0UanxskUrkiwT7w/edit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Hn8CmiJUWcq8rwkI1Zjv0qvA37eRicotvgtwYS5egmY/edit?usp=sharing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iXWJOlIp44TCRDCjyucAj-kwgR0-UBsuhBxZXJcu6bg/edit?usp=sharing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1" width="12.63"/>
    <col customWidth="1" min="2" max="2" width="32.0"/>
    <col customWidth="1" min="3" max="4" width="12.63"/>
  </cols>
  <sheetData>
    <row r="1" ht="15.75" customHeight="1">
      <c r="A1" s="1"/>
    </row>
    <row r="2" ht="15.75" customHeight="1">
      <c r="B2" s="3" t="s">
        <v>2</v>
      </c>
      <c r="C2" s="4"/>
    </row>
    <row r="3" ht="15.75" customHeight="1">
      <c r="A3" s="5"/>
      <c r="B3" s="7" t="s">
        <v>10</v>
      </c>
      <c r="C3" s="7" t="s">
        <v>11</v>
      </c>
    </row>
    <row r="4" ht="15.75" customHeight="1">
      <c r="A4" s="5"/>
      <c r="B4" s="9" t="s">
        <v>13</v>
      </c>
      <c r="C4" s="21">
        <f>SUM(C5,C6,C7,C8)</f>
        <v>110460</v>
      </c>
    </row>
    <row r="5" ht="15.75" customHeight="1" outlineLevel="1">
      <c r="A5" s="5"/>
      <c r="B5" s="14" t="s">
        <v>31</v>
      </c>
      <c r="C5" s="27">
        <f>'Offline &amp; RG Community'!G33</f>
        <v>12700</v>
      </c>
    </row>
    <row r="6" ht="15.75" customHeight="1" outlineLevel="1">
      <c r="A6" s="5"/>
      <c r="B6" s="14" t="s">
        <v>41</v>
      </c>
      <c r="C6" s="31">
        <v>0.0</v>
      </c>
    </row>
    <row r="7" ht="15.75" customHeight="1" outlineLevel="1">
      <c r="A7" s="5"/>
      <c r="B7" s="14" t="s">
        <v>47</v>
      </c>
      <c r="C7" s="31">
        <f>0</f>
        <v>0</v>
      </c>
    </row>
    <row r="8" ht="15.75" customHeight="1" outlineLevel="1">
      <c r="A8" s="5"/>
      <c r="B8" s="14" t="s">
        <v>50</v>
      </c>
      <c r="C8" s="27">
        <f>'Offline &amp; RG Community'!E33</f>
        <v>97760</v>
      </c>
    </row>
    <row r="9" ht="15.75" customHeight="1">
      <c r="A9" s="5"/>
      <c r="B9" s="9" t="s">
        <v>54</v>
      </c>
      <c r="C9" s="21">
        <f>SUM(C10:C14)</f>
        <v>45510</v>
      </c>
    </row>
    <row r="10" ht="15.75" customHeight="1" outlineLevel="1">
      <c r="B10" s="14" t="s">
        <v>57</v>
      </c>
      <c r="C10" s="27">
        <f>Hudle!C4</f>
        <v>28110</v>
      </c>
    </row>
    <row r="11" ht="15.75" customHeight="1" outlineLevel="1">
      <c r="B11" s="14" t="s">
        <v>60</v>
      </c>
      <c r="C11" s="27">
        <f>Playo!C4</f>
        <v>5000</v>
      </c>
    </row>
    <row r="12" ht="15.75" customHeight="1" outlineLevel="1">
      <c r="B12" s="14" t="s">
        <v>63</v>
      </c>
      <c r="C12" s="31">
        <f>District!C4</f>
        <v>12400</v>
      </c>
    </row>
    <row r="13" ht="15.75" customHeight="1" outlineLevel="1">
      <c r="B13" s="14" t="s">
        <v>66</v>
      </c>
      <c r="C13" s="31">
        <v>0.0</v>
      </c>
    </row>
    <row r="14" ht="15.75" customHeight="1">
      <c r="B14" s="26" t="s">
        <v>68</v>
      </c>
      <c r="C14" s="31">
        <v>0.0</v>
      </c>
    </row>
    <row r="15" ht="15.75" customHeight="1">
      <c r="B15" s="45" t="s">
        <v>70</v>
      </c>
      <c r="C15" s="46">
        <f>sum(C16:C19)</f>
        <v>2400</v>
      </c>
    </row>
    <row r="16" ht="15.75" customHeight="1" outlineLevel="1">
      <c r="B16" s="47" t="s">
        <v>76</v>
      </c>
      <c r="C16" s="31">
        <v>0.0</v>
      </c>
    </row>
    <row r="17" ht="15.75" customHeight="1" outlineLevel="1">
      <c r="B17" s="47" t="s">
        <v>79</v>
      </c>
      <c r="C17" s="31">
        <v>0.0</v>
      </c>
    </row>
    <row r="18" ht="15.75" customHeight="1" outlineLevel="1">
      <c r="A18" s="5"/>
      <c r="B18" s="14" t="s">
        <v>80</v>
      </c>
      <c r="C18" s="31">
        <f>'Offline &amp; RG Community'!F33</f>
        <v>600</v>
      </c>
    </row>
    <row r="19" ht="15.75" customHeight="1" outlineLevel="1">
      <c r="B19" s="14" t="s">
        <v>81</v>
      </c>
      <c r="C19" s="31">
        <f>Misfits!C2</f>
        <v>1800</v>
      </c>
    </row>
    <row r="20" ht="15.75" customHeight="1">
      <c r="B20" s="9" t="s">
        <v>82</v>
      </c>
      <c r="C20" s="21">
        <f>Membership!E6</f>
        <v>62880</v>
      </c>
    </row>
    <row r="21" ht="15.75" customHeight="1">
      <c r="B21" s="45" t="s">
        <v>83</v>
      </c>
      <c r="C21" s="31">
        <v>0.0</v>
      </c>
    </row>
    <row r="22" ht="15.75" customHeight="1">
      <c r="B22" s="9" t="s">
        <v>84</v>
      </c>
      <c r="C22" s="31">
        <f>'Corporate Events'!F3</f>
        <v>5520</v>
      </c>
    </row>
    <row r="23" ht="15.75" customHeight="1">
      <c r="B23" s="9" t="s">
        <v>85</v>
      </c>
      <c r="C23" s="31">
        <v>0.0</v>
      </c>
    </row>
    <row r="24" ht="15.75" customHeight="1">
      <c r="B24" s="51" t="s">
        <v>86</v>
      </c>
      <c r="C24" s="52">
        <v>0.0</v>
      </c>
    </row>
    <row r="25" ht="15.75" customHeight="1">
      <c r="B25" s="9" t="s">
        <v>87</v>
      </c>
      <c r="C25" s="21">
        <f>sum(C23,C24,C22,C20,C15,C9,C4)</f>
        <v>226770</v>
      </c>
    </row>
    <row r="26" ht="15.75" customHeight="1">
      <c r="B26" s="53" t="s">
        <v>88</v>
      </c>
      <c r="C26" s="54">
        <f>'Offline &amp; RG Community'!H33+Hudle!E4+Playo!F4+District!F4+Membership!E6+'Corporate Events'!F3+Misfits!E2</f>
        <v>221956.66</v>
      </c>
    </row>
    <row r="27" ht="15.75" customHeight="1">
      <c r="B27" s="9" t="s">
        <v>89</v>
      </c>
      <c r="C27" s="21">
        <f>C26/1.18</f>
        <v>188098.8644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C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1" width="6.25"/>
    <col customWidth="1" min="2" max="2" width="9.75"/>
    <col customWidth="1" min="3" max="3" width="18.25"/>
    <col customWidth="1" min="4" max="4" width="13.25"/>
    <col customWidth="1" min="5" max="5" width="15.13"/>
    <col customWidth="1" min="6" max="6" width="17.63"/>
    <col customWidth="1" min="8" max="8" width="12.25"/>
  </cols>
  <sheetData>
    <row r="1" ht="15.75" customHeight="1">
      <c r="A1" s="2" t="s">
        <v>1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6" t="s">
        <v>9</v>
      </c>
    </row>
    <row r="2" ht="15.75" customHeight="1">
      <c r="A2" s="10" t="s">
        <v>12</v>
      </c>
      <c r="B2" s="11" t="s">
        <v>14</v>
      </c>
      <c r="C2" s="12">
        <v>7.0</v>
      </c>
      <c r="D2" s="15" t="s">
        <v>20</v>
      </c>
      <c r="E2" s="12">
        <v>5460.0</v>
      </c>
      <c r="F2" s="12">
        <v>0.0</v>
      </c>
      <c r="G2" s="12">
        <v>650.0</v>
      </c>
      <c r="H2" s="19">
        <f t="shared" ref="H2:H32" si="1">E2+F2+G2</f>
        <v>6110</v>
      </c>
    </row>
    <row r="3" ht="15.75" customHeight="1">
      <c r="A3" s="10" t="s">
        <v>28</v>
      </c>
      <c r="B3" s="11" t="s">
        <v>29</v>
      </c>
      <c r="C3" s="12">
        <v>3.0</v>
      </c>
      <c r="D3" s="15" t="s">
        <v>20</v>
      </c>
      <c r="E3" s="23">
        <v>3200.0</v>
      </c>
      <c r="F3" s="12">
        <v>0.0</v>
      </c>
      <c r="G3" s="23">
        <v>475.0</v>
      </c>
      <c r="H3" s="24">
        <f t="shared" si="1"/>
        <v>3675</v>
      </c>
    </row>
    <row r="4" ht="15.75" customHeight="1">
      <c r="A4" s="10" t="s">
        <v>32</v>
      </c>
      <c r="B4" s="11" t="s">
        <v>33</v>
      </c>
      <c r="C4" s="12">
        <v>3.5</v>
      </c>
      <c r="D4" s="15" t="s">
        <v>20</v>
      </c>
      <c r="E4" s="12">
        <v>1950.0</v>
      </c>
      <c r="F4" s="12">
        <v>0.0</v>
      </c>
      <c r="G4" s="12">
        <v>350.0</v>
      </c>
      <c r="H4" s="19">
        <f t="shared" si="1"/>
        <v>2300</v>
      </c>
    </row>
    <row r="5" ht="15.75" customHeight="1">
      <c r="A5" s="10" t="s">
        <v>34</v>
      </c>
      <c r="B5" s="11" t="s">
        <v>35</v>
      </c>
      <c r="C5" s="12">
        <v>4.0</v>
      </c>
      <c r="D5" s="15" t="s">
        <v>20</v>
      </c>
      <c r="E5" s="12">
        <v>3200.0</v>
      </c>
      <c r="F5" s="12">
        <v>0.0</v>
      </c>
      <c r="G5" s="12">
        <v>450.0</v>
      </c>
      <c r="H5" s="19">
        <f t="shared" si="1"/>
        <v>3650</v>
      </c>
    </row>
    <row r="6" ht="15.75" customHeight="1">
      <c r="A6" s="10" t="s">
        <v>37</v>
      </c>
      <c r="B6" s="11" t="s">
        <v>38</v>
      </c>
      <c r="C6" s="12">
        <v>2.0</v>
      </c>
      <c r="D6" s="15" t="s">
        <v>20</v>
      </c>
      <c r="E6" s="23">
        <v>1920.0</v>
      </c>
      <c r="F6" s="12">
        <v>0.0</v>
      </c>
      <c r="G6" s="23">
        <v>100.0</v>
      </c>
      <c r="H6" s="24">
        <f t="shared" si="1"/>
        <v>2020</v>
      </c>
    </row>
    <row r="7" ht="15.75" customHeight="1">
      <c r="A7" s="10" t="s">
        <v>39</v>
      </c>
      <c r="B7" s="11" t="s">
        <v>40</v>
      </c>
      <c r="C7" s="12">
        <v>5.5</v>
      </c>
      <c r="D7" s="15" t="s">
        <v>20</v>
      </c>
      <c r="E7" s="23">
        <v>3520.0</v>
      </c>
      <c r="F7" s="28">
        <v>0.0</v>
      </c>
      <c r="G7" s="12">
        <v>550.0</v>
      </c>
      <c r="H7" s="24">
        <f t="shared" si="1"/>
        <v>4070</v>
      </c>
    </row>
    <row r="8" ht="15.75" customHeight="1">
      <c r="A8" s="10" t="s">
        <v>43</v>
      </c>
      <c r="B8" s="11" t="s">
        <v>44</v>
      </c>
      <c r="C8" s="12">
        <v>3.5</v>
      </c>
      <c r="D8" s="15" t="s">
        <v>20</v>
      </c>
      <c r="E8" s="23">
        <v>1960.0</v>
      </c>
      <c r="F8" s="12">
        <v>600.0</v>
      </c>
      <c r="G8" s="23">
        <v>400.0</v>
      </c>
      <c r="H8" s="24">
        <f t="shared" si="1"/>
        <v>2960</v>
      </c>
    </row>
    <row r="9" ht="15.75" customHeight="1">
      <c r="A9" s="10" t="s">
        <v>45</v>
      </c>
      <c r="B9" s="11" t="s">
        <v>14</v>
      </c>
      <c r="C9" s="12">
        <v>2.0</v>
      </c>
      <c r="D9" s="15" t="s">
        <v>20</v>
      </c>
      <c r="E9" s="23">
        <v>1280.0</v>
      </c>
      <c r="F9" s="28">
        <v>0.0</v>
      </c>
      <c r="G9" s="12">
        <v>200.0</v>
      </c>
      <c r="H9" s="24">
        <f t="shared" si="1"/>
        <v>1480</v>
      </c>
    </row>
    <row r="10" ht="15.75" customHeight="1">
      <c r="A10" s="10" t="s">
        <v>46</v>
      </c>
      <c r="B10" s="11" t="s">
        <v>29</v>
      </c>
      <c r="C10" s="12">
        <v>1.0</v>
      </c>
      <c r="D10" s="15" t="s">
        <v>20</v>
      </c>
      <c r="E10" s="23">
        <v>640.0</v>
      </c>
      <c r="F10" s="12">
        <v>0.0</v>
      </c>
      <c r="G10" s="23">
        <v>300.0</v>
      </c>
      <c r="H10" s="24">
        <f t="shared" si="1"/>
        <v>940</v>
      </c>
    </row>
    <row r="11" ht="15.75" customHeight="1">
      <c r="A11" s="10" t="s">
        <v>48</v>
      </c>
      <c r="B11" s="11" t="s">
        <v>33</v>
      </c>
      <c r="C11" s="12">
        <v>2.5</v>
      </c>
      <c r="D11" s="15" t="s">
        <v>20</v>
      </c>
      <c r="E11" s="12">
        <v>1600.0</v>
      </c>
      <c r="F11" s="12">
        <v>0.0</v>
      </c>
      <c r="G11" s="12">
        <v>200.0</v>
      </c>
      <c r="H11" s="19">
        <f t="shared" si="1"/>
        <v>1800</v>
      </c>
    </row>
    <row r="12" ht="15.75" customHeight="1">
      <c r="A12" s="10" t="s">
        <v>49</v>
      </c>
      <c r="B12" s="11" t="s">
        <v>35</v>
      </c>
      <c r="C12" s="12">
        <v>5.0</v>
      </c>
      <c r="D12" s="15" t="s">
        <v>20</v>
      </c>
      <c r="E12" s="23">
        <v>4440.0</v>
      </c>
      <c r="F12" s="12">
        <v>0.0</v>
      </c>
      <c r="G12" s="23">
        <v>300.0</v>
      </c>
      <c r="H12" s="24">
        <f t="shared" si="1"/>
        <v>4740</v>
      </c>
    </row>
    <row r="13" ht="15.75" customHeight="1">
      <c r="A13" s="10" t="s">
        <v>51</v>
      </c>
      <c r="B13" s="11" t="s">
        <v>38</v>
      </c>
      <c r="C13" s="12">
        <v>8.0</v>
      </c>
      <c r="D13" s="15" t="s">
        <v>20</v>
      </c>
      <c r="E13" s="23">
        <v>7510.0</v>
      </c>
      <c r="F13" s="12">
        <v>0.0</v>
      </c>
      <c r="G13" s="23">
        <v>300.0</v>
      </c>
      <c r="H13" s="24">
        <f t="shared" si="1"/>
        <v>7810</v>
      </c>
    </row>
    <row r="14" ht="15.75" customHeight="1">
      <c r="A14" s="10" t="s">
        <v>52</v>
      </c>
      <c r="B14" s="11" t="s">
        <v>40</v>
      </c>
      <c r="C14" s="12">
        <v>1.5</v>
      </c>
      <c r="D14" s="15" t="s">
        <v>20</v>
      </c>
      <c r="E14" s="23">
        <v>1650.0</v>
      </c>
      <c r="F14" s="12">
        <v>0.0</v>
      </c>
      <c r="G14" s="23">
        <v>0.0</v>
      </c>
      <c r="H14" s="24">
        <f t="shared" si="1"/>
        <v>1650</v>
      </c>
    </row>
    <row r="15" ht="15.75" customHeight="1">
      <c r="A15" s="10" t="s">
        <v>53</v>
      </c>
      <c r="B15" s="11" t="s">
        <v>44</v>
      </c>
      <c r="C15" s="12">
        <v>7.0</v>
      </c>
      <c r="D15" s="15" t="s">
        <v>20</v>
      </c>
      <c r="E15" s="12">
        <v>5760.0</v>
      </c>
      <c r="F15" s="38">
        <v>0.0</v>
      </c>
      <c r="G15" s="12">
        <v>500.0</v>
      </c>
      <c r="H15" s="19">
        <f t="shared" si="1"/>
        <v>6260</v>
      </c>
    </row>
    <row r="16" ht="15.75" customHeight="1">
      <c r="A16" s="10" t="s">
        <v>55</v>
      </c>
      <c r="B16" s="11" t="s">
        <v>14</v>
      </c>
      <c r="C16" s="12">
        <v>1.0</v>
      </c>
      <c r="D16" s="40" t="s">
        <v>20</v>
      </c>
      <c r="E16" s="23">
        <v>640.0</v>
      </c>
      <c r="F16" s="12">
        <v>0.0</v>
      </c>
      <c r="G16" s="23">
        <v>250.0</v>
      </c>
      <c r="H16" s="24">
        <f t="shared" si="1"/>
        <v>890</v>
      </c>
    </row>
    <row r="17" ht="15.75" customHeight="1">
      <c r="A17" s="10" t="s">
        <v>56</v>
      </c>
      <c r="B17" s="11" t="s">
        <v>29</v>
      </c>
      <c r="C17" s="28">
        <v>4.0</v>
      </c>
      <c r="D17" s="40" t="s">
        <v>20</v>
      </c>
      <c r="E17" s="28">
        <v>2560.0</v>
      </c>
      <c r="F17" s="28">
        <v>0.0</v>
      </c>
      <c r="G17" s="28">
        <v>200.0</v>
      </c>
      <c r="H17" s="19">
        <f t="shared" si="1"/>
        <v>2760</v>
      </c>
    </row>
    <row r="18" ht="15.75" customHeight="1">
      <c r="A18" s="10" t="s">
        <v>58</v>
      </c>
      <c r="B18" s="11" t="s">
        <v>33</v>
      </c>
      <c r="C18" s="12">
        <v>4.5</v>
      </c>
      <c r="D18" s="40" t="s">
        <v>20</v>
      </c>
      <c r="E18" s="23">
        <v>2880.0</v>
      </c>
      <c r="F18" s="12">
        <v>0.0</v>
      </c>
      <c r="G18" s="23">
        <v>500.0</v>
      </c>
      <c r="H18" s="24">
        <f t="shared" si="1"/>
        <v>3380</v>
      </c>
    </row>
    <row r="19" ht="15.75" customHeight="1">
      <c r="A19" s="10" t="s">
        <v>59</v>
      </c>
      <c r="B19" s="11" t="s">
        <v>35</v>
      </c>
      <c r="C19" s="12">
        <v>1.0</v>
      </c>
      <c r="D19" s="40" t="s">
        <v>20</v>
      </c>
      <c r="E19" s="23">
        <v>1280.0</v>
      </c>
      <c r="F19" s="12">
        <v>0.0</v>
      </c>
      <c r="G19" s="23">
        <v>0.0</v>
      </c>
      <c r="H19" s="24">
        <f t="shared" si="1"/>
        <v>1280</v>
      </c>
    </row>
    <row r="20" ht="15.75" customHeight="1">
      <c r="A20" s="10" t="s">
        <v>61</v>
      </c>
      <c r="B20" s="11" t="s">
        <v>38</v>
      </c>
      <c r="C20" s="12">
        <v>1.0</v>
      </c>
      <c r="D20" s="40" t="s">
        <v>20</v>
      </c>
      <c r="E20" s="12">
        <v>1200.0</v>
      </c>
      <c r="F20" s="12">
        <v>0.0</v>
      </c>
      <c r="G20" s="12">
        <v>0.0</v>
      </c>
      <c r="H20" s="19">
        <f t="shared" si="1"/>
        <v>1200</v>
      </c>
    </row>
    <row r="21" ht="15.75" customHeight="1">
      <c r="A21" s="10" t="s">
        <v>62</v>
      </c>
      <c r="B21" s="11" t="s">
        <v>40</v>
      </c>
      <c r="C21" s="12">
        <v>6.0</v>
      </c>
      <c r="D21" s="40" t="s">
        <v>20</v>
      </c>
      <c r="E21" s="23">
        <v>3840.0</v>
      </c>
      <c r="F21" s="12">
        <v>0.0</v>
      </c>
      <c r="G21" s="23">
        <v>500.0</v>
      </c>
      <c r="H21" s="24">
        <f t="shared" si="1"/>
        <v>4340</v>
      </c>
    </row>
    <row r="22" ht="15.75" customHeight="1">
      <c r="A22" s="10" t="s">
        <v>64</v>
      </c>
      <c r="B22" s="11" t="s">
        <v>44</v>
      </c>
      <c r="C22" s="12">
        <v>2.5</v>
      </c>
      <c r="D22" s="40" t="s">
        <v>20</v>
      </c>
      <c r="E22" s="12">
        <v>1600.0</v>
      </c>
      <c r="F22" s="12">
        <v>0.0</v>
      </c>
      <c r="G22" s="23">
        <v>250.0</v>
      </c>
      <c r="H22" s="24">
        <f t="shared" si="1"/>
        <v>1850</v>
      </c>
    </row>
    <row r="23" ht="15.75" customHeight="1">
      <c r="A23" s="10" t="s">
        <v>65</v>
      </c>
      <c r="B23" s="11" t="s">
        <v>14</v>
      </c>
      <c r="C23" s="12">
        <v>4.0</v>
      </c>
      <c r="D23" s="40" t="s">
        <v>20</v>
      </c>
      <c r="E23" s="23">
        <v>3840.0</v>
      </c>
      <c r="F23" s="12">
        <v>0.0</v>
      </c>
      <c r="G23" s="23">
        <v>925.0</v>
      </c>
      <c r="H23" s="24">
        <f t="shared" si="1"/>
        <v>4765</v>
      </c>
    </row>
    <row r="24" ht="15.75" customHeight="1">
      <c r="A24" s="10" t="s">
        <v>67</v>
      </c>
      <c r="B24" s="11" t="s">
        <v>29</v>
      </c>
      <c r="C24" s="12">
        <v>2.5</v>
      </c>
      <c r="D24" s="40" t="s">
        <v>20</v>
      </c>
      <c r="E24" s="23">
        <v>1920.0</v>
      </c>
      <c r="F24" s="12">
        <v>0.0</v>
      </c>
      <c r="G24" s="23">
        <v>400.0</v>
      </c>
      <c r="H24" s="24">
        <f t="shared" si="1"/>
        <v>2320</v>
      </c>
    </row>
    <row r="25" ht="15.75" customHeight="1">
      <c r="A25" s="10" t="s">
        <v>69</v>
      </c>
      <c r="B25" s="11" t="s">
        <v>33</v>
      </c>
      <c r="C25" s="12">
        <v>2.5</v>
      </c>
      <c r="D25" s="40" t="s">
        <v>20</v>
      </c>
      <c r="E25" s="23">
        <v>1880.0</v>
      </c>
      <c r="F25" s="12">
        <v>0.0</v>
      </c>
      <c r="G25" s="23">
        <v>700.0</v>
      </c>
      <c r="H25" s="24">
        <f t="shared" si="1"/>
        <v>2580</v>
      </c>
    </row>
    <row r="26" ht="15.75" customHeight="1">
      <c r="A26" s="10" t="s">
        <v>71</v>
      </c>
      <c r="B26" s="11" t="s">
        <v>35</v>
      </c>
      <c r="C26" s="12">
        <v>3.5</v>
      </c>
      <c r="D26" s="40" t="s">
        <v>20</v>
      </c>
      <c r="E26" s="23">
        <v>2240.0</v>
      </c>
      <c r="F26" s="12">
        <v>0.0</v>
      </c>
      <c r="G26" s="12">
        <v>600.0</v>
      </c>
      <c r="H26" s="24">
        <f t="shared" si="1"/>
        <v>2840</v>
      </c>
    </row>
    <row r="27" ht="15.75" customHeight="1">
      <c r="A27" s="10" t="s">
        <v>72</v>
      </c>
      <c r="B27" s="11" t="s">
        <v>38</v>
      </c>
      <c r="C27" s="12">
        <v>4.0</v>
      </c>
      <c r="D27" s="40" t="s">
        <v>20</v>
      </c>
      <c r="E27" s="23">
        <v>4960.0</v>
      </c>
      <c r="F27" s="12">
        <v>0.0</v>
      </c>
      <c r="G27" s="12">
        <v>450.0</v>
      </c>
      <c r="H27" s="24">
        <f t="shared" si="1"/>
        <v>5410</v>
      </c>
    </row>
    <row r="28" ht="15.75" customHeight="1">
      <c r="A28" s="10" t="s">
        <v>73</v>
      </c>
      <c r="B28" s="11" t="s">
        <v>40</v>
      </c>
      <c r="C28" s="12">
        <v>9.0</v>
      </c>
      <c r="D28" s="40" t="s">
        <v>20</v>
      </c>
      <c r="E28" s="12">
        <v>11520.0</v>
      </c>
      <c r="F28" s="12">
        <v>0.0</v>
      </c>
      <c r="G28" s="23">
        <v>1200.0</v>
      </c>
      <c r="H28" s="24">
        <f t="shared" si="1"/>
        <v>12720</v>
      </c>
    </row>
    <row r="29" ht="15.75" customHeight="1">
      <c r="A29" s="10" t="s">
        <v>74</v>
      </c>
      <c r="B29" s="11" t="s">
        <v>44</v>
      </c>
      <c r="C29" s="12">
        <v>3.0</v>
      </c>
      <c r="D29" s="40" t="s">
        <v>20</v>
      </c>
      <c r="E29" s="23">
        <v>1840.0</v>
      </c>
      <c r="F29" s="12">
        <v>0.0</v>
      </c>
      <c r="G29" s="23">
        <v>400.0</v>
      </c>
      <c r="H29" s="24">
        <f t="shared" si="1"/>
        <v>2240</v>
      </c>
    </row>
    <row r="30" ht="15.75" customHeight="1">
      <c r="A30" s="10" t="s">
        <v>75</v>
      </c>
      <c r="B30" s="11" t="s">
        <v>14</v>
      </c>
      <c r="C30" s="12">
        <v>6.5</v>
      </c>
      <c r="D30" s="40" t="s">
        <v>20</v>
      </c>
      <c r="E30" s="12">
        <v>6670.0</v>
      </c>
      <c r="F30" s="12">
        <v>0.0</v>
      </c>
      <c r="G30" s="12">
        <v>850.0</v>
      </c>
      <c r="H30" s="19">
        <f t="shared" si="1"/>
        <v>7520</v>
      </c>
    </row>
    <row r="31" ht="15.75" customHeight="1">
      <c r="A31" s="10" t="s">
        <v>77</v>
      </c>
      <c r="B31" s="11" t="s">
        <v>29</v>
      </c>
      <c r="C31" s="12">
        <v>4.5</v>
      </c>
      <c r="D31" s="40" t="s">
        <v>20</v>
      </c>
      <c r="E31" s="12">
        <v>2880.0</v>
      </c>
      <c r="F31" s="12">
        <v>0.0</v>
      </c>
      <c r="G31" s="12">
        <v>600.0</v>
      </c>
      <c r="H31" s="19">
        <f t="shared" si="1"/>
        <v>3480</v>
      </c>
    </row>
    <row r="32" ht="15.75" customHeight="1">
      <c r="A32" s="10" t="s">
        <v>78</v>
      </c>
      <c r="B32" s="11" t="s">
        <v>33</v>
      </c>
      <c r="C32" s="12">
        <v>2.0</v>
      </c>
      <c r="D32" s="40" t="s">
        <v>20</v>
      </c>
      <c r="E32" s="12">
        <v>1920.0</v>
      </c>
      <c r="F32" s="12">
        <v>0.0</v>
      </c>
      <c r="G32" s="12">
        <v>100.0</v>
      </c>
      <c r="H32" s="19">
        <f t="shared" si="1"/>
        <v>2020</v>
      </c>
    </row>
    <row r="33" ht="15.75" customHeight="1">
      <c r="A33" s="48" t="s">
        <v>42</v>
      </c>
      <c r="B33" s="49"/>
      <c r="C33" s="41">
        <f>SUM(C1:C32)</f>
        <v>117</v>
      </c>
      <c r="D33" s="49"/>
      <c r="E33" s="50">
        <f t="shared" ref="E33:H33" si="2">SUM(E1:E32)</f>
        <v>97760</v>
      </c>
      <c r="F33" s="50">
        <f t="shared" si="2"/>
        <v>600</v>
      </c>
      <c r="G33" s="50">
        <f t="shared" si="2"/>
        <v>12700</v>
      </c>
      <c r="H33" s="50">
        <f t="shared" si="2"/>
        <v>111060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2" width="13.0"/>
    <col customWidth="1" min="3" max="3" width="12.63"/>
    <col customWidth="1" min="4" max="4" width="23.88"/>
    <col customWidth="1" min="5" max="8" width="12.63"/>
  </cols>
  <sheetData>
    <row r="1" ht="15.75" customHeight="1">
      <c r="A1" s="8" t="s">
        <v>0</v>
      </c>
      <c r="B1" s="6" t="s">
        <v>1</v>
      </c>
      <c r="C1" s="6" t="s">
        <v>15</v>
      </c>
      <c r="D1" s="6" t="s">
        <v>16</v>
      </c>
      <c r="E1" s="6" t="s">
        <v>17</v>
      </c>
      <c r="F1" s="6" t="s">
        <v>18</v>
      </c>
      <c r="G1" s="6" t="s">
        <v>19</v>
      </c>
      <c r="H1" s="13" t="s">
        <v>11</v>
      </c>
    </row>
    <row r="2" ht="15.75" customHeight="1">
      <c r="A2" s="14"/>
      <c r="B2" s="16" t="s">
        <v>21</v>
      </c>
      <c r="C2" s="18">
        <v>17920.0</v>
      </c>
      <c r="D2" s="18">
        <v>2371.2</v>
      </c>
      <c r="E2" s="20">
        <f t="shared" ref="E2:E3" si="1">C2-D2</f>
        <v>15548.8</v>
      </c>
      <c r="F2" s="18">
        <v>15.45</v>
      </c>
      <c r="G2" s="18">
        <v>77.28</v>
      </c>
      <c r="H2" s="22">
        <v>15776.04</v>
      </c>
    </row>
    <row r="3" ht="15.75" customHeight="1">
      <c r="A3" s="25"/>
      <c r="B3" s="16" t="s">
        <v>36</v>
      </c>
      <c r="C3" s="26">
        <v>10190.0</v>
      </c>
      <c r="D3" s="26">
        <v>1331.2</v>
      </c>
      <c r="E3" s="20">
        <f t="shared" si="1"/>
        <v>8858.8</v>
      </c>
      <c r="F3" s="26">
        <v>8.67</v>
      </c>
      <c r="G3" s="26">
        <v>43.39</v>
      </c>
      <c r="H3" s="26">
        <v>8856.76</v>
      </c>
    </row>
    <row r="4" ht="15.75" customHeight="1">
      <c r="A4" s="25"/>
      <c r="B4" s="29" t="s">
        <v>42</v>
      </c>
      <c r="C4" s="34">
        <f>SUM(C2:C3)</f>
        <v>28110</v>
      </c>
      <c r="D4" s="35"/>
      <c r="E4" s="34">
        <f>SUM(E2:E3)</f>
        <v>24407.6</v>
      </c>
      <c r="F4" s="35"/>
      <c r="G4" s="35"/>
      <c r="H4" s="34">
        <f>SUM(H2:H3)</f>
        <v>24632.8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hyperlinks>
    <hyperlink r:id="rId1" ref="A1"/>
  </hyperlinks>
  <printOptions/>
  <pageMargins bottom="0.75" footer="0.0" header="0.0" left="0.7" right="0.7" top="0.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2" width="13.25"/>
    <col customWidth="1" min="3" max="4" width="14.0"/>
    <col customWidth="1" min="5" max="5" width="23.88"/>
    <col customWidth="1" min="6" max="7" width="12.63"/>
    <col customWidth="1" min="8" max="8" width="6.88"/>
    <col customWidth="1" min="9" max="10" width="14.13"/>
  </cols>
  <sheetData>
    <row r="1" ht="15.75" customHeight="1">
      <c r="A1" s="17" t="s">
        <v>0</v>
      </c>
      <c r="B1" s="13" t="s">
        <v>1</v>
      </c>
      <c r="C1" s="13" t="s">
        <v>22</v>
      </c>
      <c r="D1" s="13" t="s">
        <v>23</v>
      </c>
      <c r="E1" s="13" t="s">
        <v>24</v>
      </c>
      <c r="F1" s="13" t="s">
        <v>17</v>
      </c>
      <c r="G1" s="13" t="s">
        <v>25</v>
      </c>
      <c r="H1" s="13" t="s">
        <v>26</v>
      </c>
      <c r="I1" s="13" t="s">
        <v>27</v>
      </c>
    </row>
    <row r="2" ht="15.75" customHeight="1">
      <c r="A2" s="16"/>
      <c r="B2" s="16" t="s">
        <v>30</v>
      </c>
      <c r="C2" s="22">
        <v>4200.0</v>
      </c>
      <c r="D2" s="22">
        <v>294.0</v>
      </c>
      <c r="E2" s="22">
        <v>52.92</v>
      </c>
      <c r="F2" s="20">
        <f t="shared" ref="F2:F3" si="1">C2-D2-E2</f>
        <v>3853.08</v>
      </c>
      <c r="G2" s="22">
        <v>14.2</v>
      </c>
      <c r="H2" s="22">
        <v>2.84</v>
      </c>
      <c r="I2" s="22">
        <v>2476.04</v>
      </c>
    </row>
    <row r="3" ht="15.75" customHeight="1">
      <c r="A3" s="30"/>
      <c r="B3" s="32" t="s">
        <v>36</v>
      </c>
      <c r="C3" s="33">
        <v>800.0</v>
      </c>
      <c r="D3" s="33">
        <v>56.0</v>
      </c>
      <c r="E3" s="33">
        <v>10.08</v>
      </c>
      <c r="F3" s="36">
        <f t="shared" si="1"/>
        <v>733.92</v>
      </c>
      <c r="G3" s="33">
        <v>0.8</v>
      </c>
      <c r="H3" s="33">
        <v>4.0</v>
      </c>
      <c r="I3" s="33">
        <v>729.12</v>
      </c>
    </row>
    <row r="4" ht="15.75" customHeight="1">
      <c r="A4" s="37"/>
      <c r="B4" s="39" t="s">
        <v>42</v>
      </c>
      <c r="C4" s="41">
        <f>SUM(C2:C3)</f>
        <v>5000</v>
      </c>
      <c r="D4" s="42"/>
      <c r="E4" s="43"/>
      <c r="F4" s="41">
        <f>SUM(F2:F3)</f>
        <v>4587</v>
      </c>
      <c r="G4" s="43"/>
      <c r="H4" s="43"/>
      <c r="I4" s="41">
        <f>SUM(I2:I3)</f>
        <v>3205.16</v>
      </c>
    </row>
    <row r="5" ht="15.75" customHeight="1">
      <c r="F5" s="44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hyperlinks>
    <hyperlink r:id="rId1" ref="A1"/>
  </hyperlinks>
  <printOptions/>
  <pageMargins bottom="0.75" footer="0.0" header="0.0" left="0.7" right="0.7" top="0.75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 outlineLevelRow="1"/>
  <cols>
    <col customWidth="1" min="3" max="3" width="18.25"/>
    <col customWidth="1" min="4" max="4" width="14.38"/>
    <col customWidth="1" min="5" max="6" width="14.13"/>
    <col customWidth="1" min="9" max="9" width="14.13"/>
  </cols>
  <sheetData>
    <row r="1">
      <c r="A1" s="56" t="s">
        <v>0</v>
      </c>
      <c r="B1" s="13" t="s">
        <v>1</v>
      </c>
      <c r="C1" s="13" t="s">
        <v>96</v>
      </c>
      <c r="D1" s="13" t="s">
        <v>23</v>
      </c>
      <c r="E1" s="59" t="s">
        <v>98</v>
      </c>
      <c r="F1" s="13" t="s">
        <v>17</v>
      </c>
      <c r="G1" s="60" t="s">
        <v>19</v>
      </c>
      <c r="H1" s="60" t="s">
        <v>18</v>
      </c>
      <c r="I1" s="13" t="s">
        <v>27</v>
      </c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</row>
    <row r="2">
      <c r="A2" s="65"/>
      <c r="B2" s="16" t="s">
        <v>107</v>
      </c>
      <c r="C2" s="22">
        <v>9600.0</v>
      </c>
      <c r="D2" s="22">
        <v>230.4</v>
      </c>
      <c r="E2" s="18">
        <v>41.46</v>
      </c>
      <c r="F2" s="20">
        <f t="shared" ref="F2:F3" si="1">C2-D2-E2</f>
        <v>9328.14</v>
      </c>
      <c r="G2" s="22">
        <v>45.6</v>
      </c>
      <c r="H2" s="22">
        <v>9.0</v>
      </c>
      <c r="I2" s="22">
        <v>8793.4</v>
      </c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ht="15.75" customHeight="1">
      <c r="A3" s="25"/>
      <c r="B3" s="16" t="s">
        <v>114</v>
      </c>
      <c r="C3" s="26">
        <v>2800.0</v>
      </c>
      <c r="D3" s="26">
        <v>56.0</v>
      </c>
      <c r="E3" s="76">
        <v>10.08</v>
      </c>
      <c r="F3" s="20">
        <f t="shared" si="1"/>
        <v>2733.92</v>
      </c>
      <c r="G3" s="26">
        <v>14.0</v>
      </c>
      <c r="H3" s="26">
        <v>2.8</v>
      </c>
      <c r="I3" s="26">
        <v>2717.28</v>
      </c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</row>
    <row r="4">
      <c r="A4" s="25"/>
      <c r="B4" s="29" t="s">
        <v>42</v>
      </c>
      <c r="C4" s="50">
        <f>SUM(C2:C3)</f>
        <v>12400</v>
      </c>
      <c r="D4" s="35"/>
      <c r="E4" s="80"/>
      <c r="F4" s="34">
        <f>SUM(F2:F3)</f>
        <v>12062.06</v>
      </c>
      <c r="G4" s="35"/>
      <c r="H4" s="35"/>
      <c r="I4" s="50">
        <f>SUM(I2:I3)</f>
        <v>11510.68</v>
      </c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</row>
    <row r="5">
      <c r="A5" s="62"/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</row>
    <row r="6">
      <c r="A6" s="62"/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>
      <c r="A7" s="62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</row>
    <row r="8">
      <c r="A8" s="62"/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</row>
    <row r="9">
      <c r="A9" s="62"/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</row>
    <row r="10">
      <c r="A10" s="62"/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</row>
    <row r="11">
      <c r="A11" s="62"/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</row>
    <row r="12">
      <c r="A12" s="62"/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</row>
    <row r="13">
      <c r="A13" s="62"/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</row>
    <row r="14">
      <c r="A14" s="62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</row>
    <row r="15">
      <c r="A15" s="62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</row>
    <row r="16">
      <c r="A16" s="62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</row>
    <row r="17">
      <c r="A17" s="62"/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</row>
    <row r="18">
      <c r="A18" s="62"/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</row>
    <row r="19">
      <c r="A19" s="62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>
      <c r="A20" s="62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>
      <c r="A21" s="62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</row>
    <row r="23">
      <c r="A23" s="62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</row>
    <row r="24">
      <c r="A24" s="62"/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</row>
    <row r="25">
      <c r="A25" s="62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</row>
    <row r="26">
      <c r="A26" s="62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</row>
    <row r="27">
      <c r="A27" s="62"/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</row>
    <row r="28">
      <c r="A28" s="62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</row>
    <row r="29">
      <c r="A29" s="62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>
      <c r="A30" s="62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</row>
    <row r="31">
      <c r="A31" s="62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</row>
    <row r="32">
      <c r="A32" s="6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</row>
    <row r="33">
      <c r="A33" s="62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</row>
    <row r="34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</row>
    <row r="35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</row>
    <row r="36">
      <c r="A36" s="62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</row>
    <row r="37">
      <c r="A37" s="62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</row>
    <row r="38">
      <c r="A38" s="62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</row>
    <row r="39">
      <c r="A39" s="62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</row>
    <row r="40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</row>
    <row r="41">
      <c r="A41" s="62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</row>
    <row r="42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</row>
    <row r="43">
      <c r="A43" s="62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</row>
    <row r="44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</row>
    <row r="45">
      <c r="A45" s="62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</row>
    <row r="46">
      <c r="A46" s="62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</row>
    <row r="47">
      <c r="A47" s="62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</row>
    <row r="48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</row>
    <row r="49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</row>
    <row r="50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</row>
    <row r="51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</row>
    <row r="52">
      <c r="A52" s="62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</row>
    <row r="53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</row>
    <row r="54">
      <c r="A54" s="62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</row>
    <row r="55">
      <c r="A55" s="62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</row>
    <row r="56">
      <c r="A56" s="62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</row>
    <row r="57">
      <c r="A57" s="62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</row>
    <row r="58">
      <c r="A58" s="62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</row>
    <row r="59">
      <c r="A59" s="62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</row>
    <row r="60">
      <c r="A60" s="62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</row>
    <row r="61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</row>
    <row r="62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</row>
    <row r="63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</row>
    <row r="64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</row>
    <row r="65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</row>
    <row r="66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</row>
    <row r="67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</row>
    <row r="68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</row>
    <row r="69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</row>
    <row r="70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</row>
    <row r="71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</row>
    <row r="72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</row>
    <row r="73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</row>
    <row r="74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</row>
    <row r="75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</row>
    <row r="76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</row>
    <row r="77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</row>
    <row r="78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</row>
    <row r="79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</row>
    <row r="80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</row>
    <row r="81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</row>
    <row r="82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</row>
    <row r="83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</row>
    <row r="84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</row>
    <row r="85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</row>
    <row r="86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</row>
    <row r="87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</row>
    <row r="88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</row>
    <row r="89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</row>
    <row r="90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</row>
    <row r="91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</row>
    <row r="92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</row>
    <row r="93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</row>
    <row r="94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</row>
    <row r="95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</row>
    <row r="96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</row>
    <row r="97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</row>
    <row r="98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</row>
    <row r="99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</row>
    <row r="100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</row>
    <row r="101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</row>
    <row r="102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</row>
    <row r="103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</row>
    <row r="104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</row>
    <row r="105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</row>
    <row r="106">
      <c r="A106" s="62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</row>
    <row r="107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</row>
    <row r="108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</row>
    <row r="109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</row>
    <row r="110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</row>
    <row r="111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</row>
    <row r="112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</row>
    <row r="113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</row>
    <row r="114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</row>
    <row r="115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</row>
    <row r="116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</row>
    <row r="117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</row>
    <row r="118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</row>
    <row r="119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</row>
    <row r="120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</row>
    <row r="121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</row>
    <row r="122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</row>
    <row r="123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</row>
    <row r="124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</row>
    <row r="125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</row>
    <row r="126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</row>
    <row r="127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</row>
    <row r="128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</row>
    <row r="129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</row>
    <row r="130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</row>
    <row r="131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</row>
    <row r="132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</row>
    <row r="133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</row>
    <row r="134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</row>
    <row r="135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</row>
    <row r="136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</row>
    <row r="137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</row>
    <row r="138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</row>
    <row r="139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</row>
    <row r="140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</row>
    <row r="141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</row>
    <row r="142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</row>
    <row r="143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</row>
    <row r="144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</row>
    <row r="145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</row>
    <row r="146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</row>
    <row r="147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</row>
    <row r="148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</row>
    <row r="149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</row>
    <row r="150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</row>
    <row r="151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</row>
    <row r="152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</row>
    <row r="153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</row>
    <row r="154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</row>
    <row r="155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</row>
    <row r="156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</row>
    <row r="157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</row>
    <row r="158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</row>
    <row r="159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</row>
    <row r="160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</row>
    <row r="161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</row>
    <row r="162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</row>
    <row r="163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</row>
    <row r="164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</row>
    <row r="165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</row>
    <row r="166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</row>
    <row r="167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</row>
    <row r="168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</row>
    <row r="169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</row>
    <row r="170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</row>
    <row r="171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</row>
    <row r="172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</row>
    <row r="173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</row>
    <row r="174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</row>
    <row r="175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</row>
    <row r="176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</row>
    <row r="177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</row>
    <row r="178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</row>
    <row r="179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</row>
    <row r="180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</row>
    <row r="181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</row>
    <row r="182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</row>
    <row r="183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</row>
    <row r="184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</row>
    <row r="185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</row>
    <row r="186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</row>
    <row r="187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</row>
    <row r="188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</row>
    <row r="189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</row>
    <row r="190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</row>
    <row r="191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</row>
    <row r="192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</row>
    <row r="193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</row>
    <row r="194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</row>
    <row r="195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</row>
    <row r="196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</row>
    <row r="197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</row>
    <row r="198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</row>
    <row r="199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</row>
    <row r="200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</row>
    <row r="201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</row>
    <row r="202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</row>
    <row r="203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</row>
    <row r="204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</row>
    <row r="205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</row>
    <row r="206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</row>
    <row r="207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</row>
    <row r="208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</row>
    <row r="209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</row>
    <row r="210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</row>
    <row r="211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</row>
    <row r="212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</row>
    <row r="213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</row>
    <row r="214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</row>
    <row r="215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</row>
    <row r="216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</row>
    <row r="217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</row>
    <row r="218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</row>
    <row r="219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</row>
    <row r="220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</row>
    <row r="221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</row>
    <row r="222">
      <c r="A222" s="62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</row>
    <row r="223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</row>
    <row r="276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</row>
    <row r="277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</row>
    <row r="278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</row>
    <row r="279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</row>
    <row r="280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</row>
    <row r="281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</row>
    <row r="282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</row>
    <row r="283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</row>
    <row r="284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</row>
    <row r="285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</row>
    <row r="286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</row>
    <row r="287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</row>
    <row r="288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</row>
    <row r="289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</row>
    <row r="290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</row>
    <row r="291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</row>
    <row r="292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</row>
    <row r="293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</row>
    <row r="294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</row>
    <row r="295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</row>
    <row r="296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</row>
    <row r="297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</row>
    <row r="298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</row>
    <row r="299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</row>
    <row r="300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</row>
    <row r="301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</row>
    <row r="302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</row>
    <row r="303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</row>
    <row r="304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</row>
    <row r="305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</row>
    <row r="306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</row>
    <row r="307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</row>
    <row r="308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</row>
    <row r="309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</row>
    <row r="310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</row>
    <row r="311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</row>
    <row r="312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</row>
    <row r="313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</row>
    <row r="314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</row>
    <row r="315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</row>
    <row r="316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</row>
    <row r="317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</row>
    <row r="318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</row>
    <row r="319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</row>
    <row r="320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</row>
    <row r="321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</row>
    <row r="322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</row>
    <row r="323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</row>
    <row r="324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</row>
    <row r="325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</row>
    <row r="326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</row>
    <row r="327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</row>
    <row r="328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</row>
    <row r="329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</row>
    <row r="330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</row>
    <row r="331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</row>
    <row r="332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</row>
    <row r="333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</row>
    <row r="334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</row>
    <row r="335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</row>
    <row r="336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</row>
    <row r="337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</row>
    <row r="338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</row>
    <row r="339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</row>
    <row r="340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</row>
    <row r="341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</row>
    <row r="342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</row>
    <row r="343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</row>
    <row r="344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</row>
    <row r="345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</row>
    <row r="346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</row>
    <row r="347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</row>
    <row r="348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</row>
    <row r="349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</row>
    <row r="350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</row>
    <row r="351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</row>
    <row r="352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</row>
    <row r="353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</row>
    <row r="354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</row>
    <row r="355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</row>
    <row r="356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</row>
    <row r="357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</row>
    <row r="358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</row>
    <row r="359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</row>
    <row r="360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</row>
    <row r="361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</row>
    <row r="362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</row>
    <row r="363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</row>
    <row r="364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</row>
    <row r="365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</row>
    <row r="366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</row>
    <row r="367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</row>
    <row r="368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</row>
    <row r="369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</row>
    <row r="370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</row>
    <row r="371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</row>
    <row r="372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</row>
    <row r="373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</row>
    <row r="374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</row>
    <row r="375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</row>
    <row r="376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</row>
    <row r="377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</row>
    <row r="378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</row>
    <row r="379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</row>
    <row r="380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</row>
    <row r="381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</row>
    <row r="382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</row>
    <row r="383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</row>
    <row r="384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</row>
    <row r="385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</row>
    <row r="386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</row>
    <row r="387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</row>
    <row r="388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</row>
    <row r="389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</row>
    <row r="390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</row>
    <row r="391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</row>
    <row r="392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</row>
    <row r="393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</row>
    <row r="394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</row>
    <row r="395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</row>
    <row r="396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</row>
    <row r="397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</row>
    <row r="398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</row>
    <row r="399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</row>
    <row r="400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</row>
    <row r="401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</row>
    <row r="402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</row>
    <row r="403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</row>
    <row r="404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</row>
    <row r="405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</row>
    <row r="406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</row>
    <row r="407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</row>
    <row r="408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</row>
    <row r="409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</row>
    <row r="410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</row>
    <row r="411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</row>
    <row r="412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</row>
    <row r="413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</row>
    <row r="414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</row>
    <row r="415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</row>
    <row r="416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</row>
    <row r="417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</row>
    <row r="418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</row>
    <row r="419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</row>
    <row r="420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</row>
    <row r="421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</row>
    <row r="422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</row>
    <row r="423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</row>
    <row r="424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</row>
    <row r="425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</row>
    <row r="426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</row>
    <row r="427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</row>
    <row r="428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</row>
    <row r="429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</row>
    <row r="430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</row>
    <row r="431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</row>
    <row r="432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</row>
    <row r="433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</row>
    <row r="434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</row>
    <row r="435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</row>
    <row r="436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</row>
    <row r="437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</row>
    <row r="438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</row>
    <row r="439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</row>
    <row r="440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</row>
    <row r="441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</row>
    <row r="442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</row>
    <row r="443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</row>
    <row r="444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</row>
    <row r="445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</row>
    <row r="446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</row>
    <row r="447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</row>
    <row r="448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</row>
    <row r="449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</row>
    <row r="450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</row>
    <row r="451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</row>
    <row r="452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</row>
    <row r="453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</row>
    <row r="454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</row>
    <row r="455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</row>
    <row r="456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</row>
    <row r="457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</row>
    <row r="458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</row>
    <row r="459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</row>
    <row r="460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</row>
    <row r="461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</row>
    <row r="462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</row>
    <row r="463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</row>
    <row r="464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</row>
    <row r="465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</row>
    <row r="466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</row>
    <row r="467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</row>
    <row r="468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</row>
    <row r="469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</row>
    <row r="470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</row>
    <row r="471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</row>
    <row r="472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</row>
    <row r="473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</row>
    <row r="474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</row>
    <row r="475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</row>
    <row r="476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</row>
    <row r="477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</row>
    <row r="478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</row>
    <row r="479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</row>
    <row r="480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</row>
    <row r="481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</row>
    <row r="482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</row>
    <row r="483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</row>
    <row r="484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</row>
    <row r="485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</row>
    <row r="486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</row>
    <row r="487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</row>
    <row r="488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</row>
    <row r="489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</row>
    <row r="490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</row>
    <row r="491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</row>
    <row r="492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</row>
    <row r="493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</row>
    <row r="494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</row>
    <row r="495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</row>
    <row r="496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</row>
    <row r="497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</row>
    <row r="498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</row>
    <row r="499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</row>
    <row r="500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</row>
    <row r="501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</row>
    <row r="502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</row>
    <row r="503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</row>
    <row r="504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</row>
    <row r="505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</row>
    <row r="506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</row>
    <row r="507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</row>
    <row r="508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</row>
    <row r="509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</row>
    <row r="510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</row>
    <row r="511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</row>
    <row r="512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</row>
    <row r="513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</row>
    <row r="514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</row>
    <row r="515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</row>
    <row r="516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</row>
    <row r="517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</row>
    <row r="518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</row>
    <row r="519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</row>
    <row r="520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</row>
    <row r="521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</row>
    <row r="522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</row>
    <row r="523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</row>
    <row r="524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</row>
    <row r="525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</row>
    <row r="526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</row>
    <row r="527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</row>
    <row r="528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</row>
    <row r="529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</row>
    <row r="530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</row>
    <row r="531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</row>
    <row r="532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</row>
    <row r="533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</row>
    <row r="534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</row>
    <row r="535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</row>
    <row r="536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</row>
    <row r="537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</row>
    <row r="538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</row>
    <row r="539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</row>
    <row r="540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</row>
    <row r="541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</row>
    <row r="542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</row>
    <row r="543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</row>
    <row r="544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</row>
    <row r="545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</row>
    <row r="546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</row>
    <row r="547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</row>
    <row r="548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</row>
    <row r="549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</row>
    <row r="550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</row>
    <row r="551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</row>
    <row r="552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</row>
    <row r="553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</row>
    <row r="554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</row>
    <row r="555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</row>
    <row r="556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</row>
    <row r="557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</row>
    <row r="558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</row>
    <row r="559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</row>
    <row r="560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</row>
    <row r="561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</row>
    <row r="562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</row>
    <row r="563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</row>
    <row r="564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</row>
    <row r="565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</row>
    <row r="566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</row>
    <row r="567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</row>
    <row r="568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</row>
    <row r="569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</row>
    <row r="570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</row>
    <row r="571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</row>
    <row r="572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</row>
    <row r="573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</row>
    <row r="574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</row>
    <row r="575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</row>
    <row r="576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</row>
    <row r="577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</row>
    <row r="578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</row>
    <row r="579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</row>
    <row r="580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</row>
    <row r="581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</row>
    <row r="582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</row>
    <row r="583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</row>
    <row r="584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</row>
    <row r="585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</row>
    <row r="586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</row>
    <row r="587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</row>
    <row r="588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</row>
    <row r="589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</row>
    <row r="590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</row>
    <row r="591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</row>
    <row r="592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</row>
    <row r="593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</row>
    <row r="594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</row>
    <row r="595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</row>
    <row r="596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</row>
    <row r="597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</row>
    <row r="598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</row>
    <row r="599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</row>
    <row r="600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</row>
    <row r="601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</row>
    <row r="602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</row>
    <row r="603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</row>
    <row r="604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</row>
    <row r="605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</row>
    <row r="606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</row>
    <row r="607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</row>
    <row r="608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</row>
    <row r="609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</row>
    <row r="610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</row>
    <row r="611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</row>
    <row r="612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</row>
    <row r="613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</row>
    <row r="614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</row>
    <row r="615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</row>
    <row r="616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</row>
    <row r="617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</row>
    <row r="618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</row>
    <row r="619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</row>
    <row r="620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</row>
    <row r="621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</row>
    <row r="622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</row>
    <row r="623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</row>
    <row r="624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</row>
    <row r="625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</row>
    <row r="626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</row>
    <row r="627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</row>
    <row r="628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</row>
    <row r="629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</row>
    <row r="630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</row>
    <row r="631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</row>
    <row r="632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</row>
    <row r="633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</row>
    <row r="634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</row>
    <row r="635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</row>
    <row r="636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</row>
    <row r="637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</row>
    <row r="638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</row>
    <row r="639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</row>
    <row r="640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</row>
    <row r="641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</row>
    <row r="642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</row>
    <row r="643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</row>
    <row r="644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</row>
    <row r="645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</row>
    <row r="646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</row>
    <row r="647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</row>
    <row r="648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</row>
    <row r="649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</row>
    <row r="650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</row>
    <row r="651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</row>
    <row r="652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</row>
    <row r="653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</row>
    <row r="654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</row>
    <row r="655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</row>
    <row r="656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</row>
    <row r="657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</row>
    <row r="658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</row>
    <row r="659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</row>
    <row r="660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</row>
    <row r="661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</row>
    <row r="662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</row>
    <row r="663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</row>
    <row r="664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</row>
    <row r="665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</row>
    <row r="666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</row>
    <row r="667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</row>
    <row r="668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</row>
    <row r="669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</row>
    <row r="670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</row>
    <row r="671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</row>
    <row r="672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</row>
    <row r="673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</row>
    <row r="674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</row>
    <row r="675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</row>
    <row r="676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</row>
    <row r="677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</row>
    <row r="678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</row>
    <row r="679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</row>
    <row r="680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</row>
    <row r="681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</row>
    <row r="682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</row>
    <row r="683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</row>
    <row r="684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</row>
    <row r="685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</row>
    <row r="686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</row>
    <row r="687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</row>
    <row r="688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</row>
    <row r="689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</row>
    <row r="690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</row>
    <row r="691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</row>
    <row r="692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</row>
    <row r="693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</row>
    <row r="694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</row>
    <row r="695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</row>
    <row r="696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</row>
    <row r="697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</row>
    <row r="698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</row>
    <row r="699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</row>
    <row r="700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</row>
    <row r="701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</row>
    <row r="702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</row>
    <row r="703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</row>
    <row r="704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</row>
    <row r="705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</row>
    <row r="706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</row>
    <row r="707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</row>
    <row r="708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</row>
    <row r="709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</row>
    <row r="710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</row>
    <row r="711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</row>
    <row r="712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</row>
    <row r="713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</row>
    <row r="714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</row>
    <row r="715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</row>
    <row r="716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</row>
    <row r="717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</row>
    <row r="718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</row>
    <row r="719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</row>
    <row r="720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</row>
    <row r="721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</row>
    <row r="722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</row>
    <row r="723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</row>
    <row r="724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</row>
    <row r="725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</row>
    <row r="726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</row>
    <row r="727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</row>
    <row r="728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</row>
    <row r="729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</row>
    <row r="730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</row>
    <row r="731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</row>
    <row r="732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</row>
    <row r="733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</row>
    <row r="734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</row>
    <row r="735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</row>
    <row r="736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</row>
    <row r="737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</row>
    <row r="738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</row>
    <row r="739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</row>
    <row r="740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</row>
    <row r="741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</row>
    <row r="742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</row>
    <row r="743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</row>
    <row r="744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</row>
    <row r="745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</row>
    <row r="746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</row>
    <row r="747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</row>
    <row r="748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</row>
    <row r="749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</row>
    <row r="750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</row>
    <row r="751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</row>
    <row r="752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</row>
    <row r="753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</row>
    <row r="754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</row>
    <row r="755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</row>
    <row r="756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</row>
    <row r="757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</row>
    <row r="758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</row>
    <row r="759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</row>
    <row r="760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</row>
    <row r="761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</row>
    <row r="762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</row>
    <row r="763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</row>
    <row r="764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</row>
    <row r="765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</row>
    <row r="766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</row>
    <row r="767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</row>
    <row r="768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</row>
    <row r="769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</row>
    <row r="770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</row>
    <row r="771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</row>
    <row r="772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</row>
    <row r="773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</row>
    <row r="774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</row>
    <row r="775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</row>
    <row r="776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</row>
    <row r="777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</row>
    <row r="778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</row>
    <row r="779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</row>
    <row r="780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</row>
    <row r="781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</row>
    <row r="782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</row>
    <row r="783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</row>
    <row r="784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</row>
    <row r="785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</row>
    <row r="786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</row>
    <row r="787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</row>
    <row r="788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</row>
    <row r="789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</row>
    <row r="790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</row>
    <row r="791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</row>
    <row r="792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</row>
    <row r="793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</row>
    <row r="794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</row>
    <row r="795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</row>
    <row r="796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</row>
    <row r="797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</row>
    <row r="798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</row>
    <row r="799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</row>
    <row r="800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</row>
    <row r="801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</row>
    <row r="802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</row>
    <row r="803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</row>
    <row r="804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</row>
    <row r="805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</row>
    <row r="806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</row>
    <row r="807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</row>
    <row r="808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</row>
    <row r="809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</row>
    <row r="810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</row>
    <row r="811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</row>
    <row r="812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</row>
    <row r="813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</row>
    <row r="814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</row>
    <row r="815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</row>
    <row r="816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</row>
    <row r="817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</row>
    <row r="818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</row>
    <row r="819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</row>
    <row r="820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</row>
    <row r="821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</row>
    <row r="822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</row>
    <row r="823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</row>
    <row r="824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</row>
    <row r="825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</row>
    <row r="826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</row>
    <row r="827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</row>
    <row r="828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</row>
    <row r="829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</row>
    <row r="830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</row>
    <row r="831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</row>
    <row r="832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</row>
    <row r="833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</row>
    <row r="834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</row>
    <row r="835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</row>
    <row r="836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</row>
    <row r="837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</row>
    <row r="838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</row>
    <row r="839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</row>
    <row r="840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</row>
    <row r="841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</row>
    <row r="842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</row>
    <row r="843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</row>
    <row r="844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</row>
    <row r="845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</row>
    <row r="846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</row>
    <row r="847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</row>
    <row r="848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</row>
    <row r="849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</row>
    <row r="850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</row>
    <row r="851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</row>
    <row r="852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</row>
    <row r="853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</row>
    <row r="854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</row>
    <row r="855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</row>
    <row r="856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</row>
    <row r="857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</row>
    <row r="858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</row>
    <row r="859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</row>
    <row r="860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</row>
    <row r="861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</row>
    <row r="862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</row>
    <row r="863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</row>
    <row r="864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</row>
    <row r="865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</row>
    <row r="866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</row>
    <row r="867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</row>
    <row r="868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</row>
    <row r="869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</row>
    <row r="870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</row>
    <row r="871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</row>
    <row r="872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</row>
    <row r="873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</row>
    <row r="874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</row>
    <row r="875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</row>
    <row r="876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</row>
    <row r="877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</row>
    <row r="878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</row>
    <row r="879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</row>
    <row r="880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</row>
    <row r="881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</row>
    <row r="882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</row>
    <row r="883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</row>
    <row r="884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</row>
    <row r="885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</row>
    <row r="886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</row>
    <row r="887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</row>
    <row r="888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</row>
    <row r="889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</row>
    <row r="890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</row>
    <row r="891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</row>
    <row r="892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</row>
    <row r="893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</row>
    <row r="894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</row>
    <row r="895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</row>
    <row r="896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</row>
    <row r="897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</row>
    <row r="898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</row>
    <row r="899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</row>
    <row r="900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</row>
    <row r="901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</row>
    <row r="902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</row>
    <row r="903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</row>
    <row r="904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</row>
    <row r="905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</row>
    <row r="906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</row>
    <row r="907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</row>
    <row r="908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</row>
    <row r="909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</row>
    <row r="910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</row>
    <row r="911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</row>
    <row r="912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</row>
    <row r="913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</row>
    <row r="914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</row>
    <row r="915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</row>
    <row r="916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</row>
    <row r="917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</row>
    <row r="918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</row>
    <row r="919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</row>
    <row r="920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</row>
    <row r="921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</row>
    <row r="922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</row>
    <row r="923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</row>
    <row r="924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</row>
    <row r="925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</row>
    <row r="926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</row>
    <row r="927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</row>
    <row r="928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</row>
    <row r="929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</row>
    <row r="930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</row>
    <row r="931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</row>
    <row r="932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</row>
    <row r="933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</row>
    <row r="934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</row>
    <row r="935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</row>
    <row r="936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</row>
    <row r="937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</row>
    <row r="938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</row>
    <row r="939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</row>
    <row r="940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</row>
    <row r="941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</row>
    <row r="942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</row>
    <row r="943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</row>
    <row r="944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</row>
    <row r="945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</row>
    <row r="946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</row>
    <row r="947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</row>
    <row r="948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</row>
    <row r="949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</row>
    <row r="950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</row>
    <row r="951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</row>
    <row r="952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</row>
    <row r="953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</row>
    <row r="954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</row>
    <row r="955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</row>
    <row r="956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</row>
    <row r="957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</row>
    <row r="958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</row>
    <row r="959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</row>
    <row r="960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</row>
    <row r="961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</row>
    <row r="962">
      <c r="A962" s="62"/>
      <c r="B962" s="62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</row>
    <row r="963">
      <c r="A963" s="62"/>
      <c r="B963" s="62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</row>
    <row r="964">
      <c r="A964" s="62"/>
      <c r="B964" s="62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</row>
    <row r="965">
      <c r="A965" s="62"/>
      <c r="B965" s="62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</row>
    <row r="966">
      <c r="A966" s="62"/>
      <c r="B966" s="62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</row>
    <row r="967">
      <c r="A967" s="62"/>
      <c r="B967" s="62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</row>
    <row r="968">
      <c r="A968" s="62"/>
      <c r="B968" s="62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</row>
    <row r="969">
      <c r="A969" s="62"/>
      <c r="B969" s="62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</row>
    <row r="970">
      <c r="A970" s="62"/>
      <c r="B970" s="62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</row>
    <row r="971">
      <c r="A971" s="62"/>
      <c r="B971" s="62"/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</row>
    <row r="972">
      <c r="A972" s="62"/>
      <c r="B972" s="62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</row>
    <row r="973">
      <c r="A973" s="62"/>
      <c r="B973" s="62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</row>
    <row r="974">
      <c r="A974" s="62"/>
      <c r="B974" s="62"/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</row>
    <row r="975">
      <c r="A975" s="62"/>
      <c r="B975" s="62"/>
      <c r="C975" s="62"/>
      <c r="D975" s="62"/>
      <c r="E975" s="6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</row>
    <row r="976">
      <c r="A976" s="62"/>
      <c r="B976" s="62"/>
      <c r="C976" s="62"/>
      <c r="D976" s="62"/>
      <c r="E976" s="62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</row>
    <row r="977">
      <c r="A977" s="62"/>
      <c r="B977" s="62"/>
      <c r="C977" s="62"/>
      <c r="D977" s="62"/>
      <c r="E977" s="62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</row>
    <row r="978">
      <c r="A978" s="62"/>
      <c r="B978" s="62"/>
      <c r="C978" s="62"/>
      <c r="D978" s="62"/>
      <c r="E978" s="62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</row>
    <row r="979">
      <c r="A979" s="62"/>
      <c r="B979" s="62"/>
      <c r="C979" s="62"/>
      <c r="D979" s="62"/>
      <c r="E979" s="62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</row>
    <row r="980">
      <c r="A980" s="62"/>
      <c r="B980" s="62"/>
      <c r="C980" s="62"/>
      <c r="D980" s="62"/>
      <c r="E980" s="62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</row>
    <row r="981">
      <c r="A981" s="62"/>
      <c r="B981" s="62"/>
      <c r="C981" s="62"/>
      <c r="D981" s="62"/>
      <c r="E981" s="62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</row>
    <row r="982">
      <c r="A982" s="62"/>
      <c r="B982" s="62"/>
      <c r="C982" s="62"/>
      <c r="D982" s="62"/>
      <c r="E982" s="62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</row>
    <row r="983">
      <c r="A983" s="62"/>
      <c r="B983" s="62"/>
      <c r="C983" s="62"/>
      <c r="D983" s="62"/>
      <c r="E983" s="6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</row>
    <row r="984">
      <c r="A984" s="62"/>
      <c r="B984" s="62"/>
      <c r="C984" s="62"/>
      <c r="D984" s="62"/>
      <c r="E984" s="6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</row>
    <row r="985">
      <c r="A985" s="62"/>
      <c r="B985" s="62"/>
      <c r="C985" s="62"/>
      <c r="D985" s="62"/>
      <c r="E985" s="62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</row>
    <row r="986">
      <c r="A986" s="62"/>
      <c r="B986" s="62"/>
      <c r="C986" s="62"/>
      <c r="D986" s="62"/>
      <c r="E986" s="62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</row>
    <row r="987">
      <c r="A987" s="62"/>
      <c r="B987" s="62"/>
      <c r="C987" s="62"/>
      <c r="D987" s="62"/>
      <c r="E987" s="62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</row>
    <row r="988">
      <c r="A988" s="62"/>
      <c r="B988" s="62"/>
      <c r="C988" s="62"/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</row>
    <row r="989">
      <c r="A989" s="62"/>
      <c r="B989" s="62"/>
      <c r="C989" s="62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</row>
    <row r="990">
      <c r="A990" s="62"/>
      <c r="B990" s="62"/>
      <c r="C990" s="62"/>
      <c r="D990" s="62"/>
      <c r="E990" s="62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</row>
    <row r="991">
      <c r="A991" s="62"/>
      <c r="B991" s="62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</row>
    <row r="992">
      <c r="A992" s="62"/>
      <c r="B992" s="62"/>
      <c r="C992" s="62"/>
      <c r="D992" s="62"/>
      <c r="E992" s="6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</row>
    <row r="993">
      <c r="A993" s="62"/>
      <c r="B993" s="62"/>
      <c r="C993" s="62"/>
      <c r="D993" s="62"/>
      <c r="E993" s="6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</row>
    <row r="994">
      <c r="A994" s="62"/>
      <c r="B994" s="62"/>
      <c r="C994" s="62"/>
      <c r="D994" s="62"/>
      <c r="E994" s="62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</row>
    <row r="995">
      <c r="A995" s="62"/>
      <c r="B995" s="62"/>
      <c r="C995" s="62"/>
      <c r="D995" s="62"/>
      <c r="E995" s="62"/>
      <c r="F995" s="62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</row>
    <row r="996">
      <c r="A996" s="62"/>
      <c r="B996" s="62"/>
      <c r="C996" s="62"/>
      <c r="D996" s="62"/>
      <c r="E996" s="62"/>
      <c r="F996" s="62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</row>
  </sheetData>
  <hyperlinks>
    <hyperlink r:id="rId1" ref="A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 outlineLevelRow="1"/>
  <cols>
    <col customWidth="1" min="3" max="3" width="14.75"/>
    <col customWidth="1" min="4" max="4" width="14.38"/>
  </cols>
  <sheetData>
    <row r="1">
      <c r="A1" s="58" t="s">
        <v>0</v>
      </c>
      <c r="B1" s="6" t="s">
        <v>1</v>
      </c>
      <c r="C1" s="6" t="s">
        <v>99</v>
      </c>
      <c r="D1" s="6" t="s">
        <v>100</v>
      </c>
      <c r="E1" s="6" t="s">
        <v>17</v>
      </c>
      <c r="F1" s="6" t="s">
        <v>102</v>
      </c>
      <c r="G1" s="6" t="s">
        <v>27</v>
      </c>
    </row>
    <row r="2">
      <c r="A2" s="14"/>
      <c r="B2" s="16" t="s">
        <v>103</v>
      </c>
      <c r="C2" s="64">
        <v>1800.0</v>
      </c>
      <c r="D2" s="36">
        <f>C2*20%</f>
        <v>360</v>
      </c>
      <c r="E2" s="54">
        <f>C2-D2</f>
        <v>1440</v>
      </c>
      <c r="F2" s="36">
        <f>C2*2%</f>
        <v>36</v>
      </c>
      <c r="G2" s="54">
        <f>E2-F2</f>
        <v>1404</v>
      </c>
    </row>
  </sheetData>
  <hyperlinks>
    <hyperlink r:id="rId1" ref="A1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1" width="20.88"/>
    <col customWidth="1" min="2" max="2" width="15.25"/>
    <col customWidth="1" min="3" max="3" width="17.13"/>
    <col customWidth="1" min="4" max="4" width="12.63"/>
    <col customWidth="1" min="5" max="5" width="15.25"/>
    <col customWidth="1" min="6" max="6" width="12.63"/>
  </cols>
  <sheetData>
    <row r="1" ht="15.75" customHeight="1">
      <c r="A1" s="2" t="s">
        <v>90</v>
      </c>
      <c r="B1" s="2" t="s">
        <v>91</v>
      </c>
      <c r="C1" s="2" t="s">
        <v>92</v>
      </c>
      <c r="D1" s="2" t="s">
        <v>93</v>
      </c>
      <c r="E1" s="55" t="s">
        <v>94</v>
      </c>
    </row>
    <row r="2" ht="15.75" customHeight="1">
      <c r="A2" s="57" t="s">
        <v>95</v>
      </c>
      <c r="B2" s="38" t="s">
        <v>97</v>
      </c>
      <c r="C2" s="38" t="s">
        <v>101</v>
      </c>
      <c r="D2" s="61">
        <v>46082.0</v>
      </c>
      <c r="E2" s="63">
        <v>18880.0</v>
      </c>
    </row>
    <row r="3" ht="15.75" customHeight="1">
      <c r="A3" s="38" t="s">
        <v>104</v>
      </c>
      <c r="B3" s="14" t="s">
        <v>105</v>
      </c>
      <c r="C3" s="38" t="s">
        <v>106</v>
      </c>
      <c r="D3" s="66">
        <v>46086.0</v>
      </c>
      <c r="E3" s="22">
        <v>14000.0</v>
      </c>
      <c r="F3" s="62"/>
      <c r="G3" s="62"/>
      <c r="H3" s="67"/>
      <c r="I3" s="68"/>
      <c r="K3" s="62"/>
    </row>
    <row r="4" ht="15.75" customHeight="1">
      <c r="A4" s="38" t="s">
        <v>108</v>
      </c>
      <c r="B4" s="14" t="s">
        <v>105</v>
      </c>
      <c r="C4" s="38" t="s">
        <v>106</v>
      </c>
      <c r="D4" s="66">
        <v>46094.0</v>
      </c>
      <c r="E4" s="36">
        <v>15000.0</v>
      </c>
    </row>
    <row r="5" ht="15.75" customHeight="1">
      <c r="A5" s="14" t="s">
        <v>109</v>
      </c>
      <c r="B5" s="14" t="s">
        <v>105</v>
      </c>
      <c r="C5" s="69" t="s">
        <v>106</v>
      </c>
      <c r="D5" s="66">
        <v>46110.0</v>
      </c>
      <c r="E5" s="36">
        <v>15000.0</v>
      </c>
    </row>
    <row r="6" ht="15.75" customHeight="1">
      <c r="A6" s="70" t="s">
        <v>42</v>
      </c>
      <c r="B6" s="71"/>
      <c r="C6" s="71"/>
      <c r="D6" s="71"/>
      <c r="E6" s="73">
        <f>SUM(E2:E5)</f>
        <v>62880</v>
      </c>
    </row>
    <row r="7" ht="15.75" customHeight="1"/>
    <row r="8" ht="15.75" customHeight="1">
      <c r="A8" s="62"/>
      <c r="B8" s="62"/>
      <c r="C8" s="62"/>
      <c r="D8" s="62"/>
      <c r="E8" s="74"/>
      <c r="F8" s="74"/>
      <c r="G8" s="75"/>
      <c r="H8" s="68"/>
      <c r="I8" s="77"/>
      <c r="J8" s="62"/>
    </row>
    <row r="9" ht="15.75" customHeight="1">
      <c r="A9" s="62"/>
      <c r="B9" s="62"/>
      <c r="C9" s="62"/>
      <c r="D9" s="62"/>
      <c r="E9" s="74"/>
      <c r="F9" s="74"/>
      <c r="G9" s="75"/>
      <c r="H9" s="68"/>
      <c r="I9" s="77"/>
      <c r="J9" s="62"/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dataValidations>
    <dataValidation type="list" allowBlank="1" showErrorMessage="1" sqref="C2:C4">
      <formula1>"Kickoff Pack (7),Pro Pack (30),Rally Pack (15),Grand slam (90),Collab,Custom"</formula1>
    </dataValidation>
    <dataValidation type="list" allowBlank="1" showErrorMessage="1" sqref="C5">
      <formula1>"Kickoff Pack (7),Pro Pack (30),Rally Pack (15),Grand slam (90),Collab/custom,Coaching"</formula1>
    </dataValidation>
    <dataValidation type="list" allowBlank="1" showErrorMessage="1" sqref="B2:B5">
      <formula1>"Pickleball,Padel,Box Cricket,Pickle &amp; Box"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 outlineLevelRow="1"/>
  <cols>
    <col customWidth="1" min="1" max="1" width="6.0"/>
    <col customWidth="1" min="2" max="2" width="10.25"/>
    <col customWidth="1" min="4" max="4" width="14.25"/>
    <col customWidth="1" min="5" max="5" width="13.63"/>
    <col customWidth="1" min="6" max="6" width="15.25"/>
  </cols>
  <sheetData>
    <row r="1">
      <c r="A1" s="72" t="s">
        <v>1</v>
      </c>
      <c r="B1" s="72" t="s">
        <v>110</v>
      </c>
      <c r="C1" s="72" t="s">
        <v>111</v>
      </c>
      <c r="D1" s="6" t="s">
        <v>91</v>
      </c>
      <c r="E1" s="72" t="s">
        <v>112</v>
      </c>
      <c r="F1" s="6" t="s">
        <v>94</v>
      </c>
    </row>
    <row r="2">
      <c r="A2" s="38" t="s">
        <v>113</v>
      </c>
      <c r="B2" s="28" t="s">
        <v>115</v>
      </c>
      <c r="C2" s="14" t="s">
        <v>116</v>
      </c>
      <c r="D2" s="57" t="s">
        <v>117</v>
      </c>
      <c r="E2" s="38" t="s">
        <v>118</v>
      </c>
      <c r="F2" s="22">
        <v>5120.0</v>
      </c>
    </row>
    <row r="3">
      <c r="A3" s="78" t="s">
        <v>42</v>
      </c>
      <c r="B3" s="79"/>
      <c r="C3" s="79"/>
      <c r="D3" s="79"/>
      <c r="E3" s="79"/>
      <c r="F3" s="50">
        <v>5520.0</v>
      </c>
      <c r="G3" s="77"/>
      <c r="H3" s="62"/>
      <c r="I3" s="62"/>
      <c r="J3" s="62"/>
      <c r="K3" s="62"/>
    </row>
  </sheetData>
  <drawing r:id="rId1"/>
</worksheet>
</file>