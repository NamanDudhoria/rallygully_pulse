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</sheets>
  <definedNames/>
  <calcPr/>
</workbook>
</file>

<file path=xl/sharedStrings.xml><?xml version="1.0" encoding="utf-8"?>
<sst xmlns="http://schemas.openxmlformats.org/spreadsheetml/2006/main" count="103" uniqueCount="67">
  <si>
    <t>Date: 12th - 31st Dec</t>
  </si>
  <si>
    <t>Link</t>
  </si>
  <si>
    <t>Particulars</t>
  </si>
  <si>
    <t>Date</t>
  </si>
  <si>
    <r>
      <rPr>
        <rFont val="Arial"/>
        <b/>
        <color rgb="FF1155CC"/>
        <u/>
      </rPr>
      <t>Link</t>
    </r>
    <r>
      <rPr>
        <rFont val="Arial"/>
        <b/>
      </rPr>
      <t xml:space="preserve"> </t>
    </r>
  </si>
  <si>
    <t>Amount</t>
  </si>
  <si>
    <t>Offline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</si>
  <si>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</si>
  <si>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</si>
  <si>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</si>
  <si>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</si>
  <si>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</si>
  <si>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</si>
  <si>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</si>
  <si>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Saturday</t>
  </si>
  <si>
    <t>Rentals</t>
  </si>
  <si>
    <t>Paid to Hudle</t>
  </si>
  <si>
    <t>Paid to Playo (₹)</t>
  </si>
  <si>
    <t>Commisions (Including GST)</t>
  </si>
  <si>
    <t>Commissions (₹)</t>
  </si>
  <si>
    <t>GST (₹)</t>
  </si>
  <si>
    <t>Net Revenue</t>
  </si>
  <si>
    <t>TDS</t>
  </si>
  <si>
    <t>TCS</t>
  </si>
  <si>
    <t>TDS (₹)</t>
  </si>
  <si>
    <t>F&amp;B</t>
  </si>
  <si>
    <t>TCS (₹)</t>
  </si>
  <si>
    <t>Final Amount (₹)</t>
  </si>
  <si>
    <t>Sunday</t>
  </si>
  <si>
    <t>Product Sales</t>
  </si>
  <si>
    <t>Bookings</t>
  </si>
  <si>
    <t>1 - 31 Dec</t>
  </si>
  <si>
    <t>Online: Third Party Platform</t>
  </si>
  <si>
    <t>Monday</t>
  </si>
  <si>
    <t>1 - 16 Dec</t>
  </si>
  <si>
    <t>Tuesday</t>
  </si>
  <si>
    <t>Wednesday</t>
  </si>
  <si>
    <t>Hudle</t>
  </si>
  <si>
    <t>Thursday</t>
  </si>
  <si>
    <t>Friday</t>
  </si>
  <si>
    <t>Playo</t>
  </si>
  <si>
    <t>District</t>
  </si>
  <si>
    <t>Khelomore</t>
  </si>
  <si>
    <t>Community</t>
  </si>
  <si>
    <t>16 - 23 Dec</t>
  </si>
  <si>
    <t>Courtly (Organized by RallyGully)</t>
  </si>
  <si>
    <t>Sportomic (Organized by RallyGully)</t>
  </si>
  <si>
    <t>23 - 31 Dec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</si>
  <si>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</si>
  <si>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</si>
  <si>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</si>
  <si>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</si>
  <si>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</si>
  <si>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</t>
  </si>
  <si>
    <t>Total</t>
  </si>
  <si>
    <t>Total Gross Revenue</t>
  </si>
  <si>
    <t>Total Net Revenue (Post Commissions)</t>
  </si>
  <si>
    <t>Total Revenue post GST</t>
  </si>
  <si>
    <t>Investor's Share (40%)</t>
  </si>
  <si>
    <t>Paid to District</t>
  </si>
  <si>
    <t>GST on Commission</t>
  </si>
  <si>
    <t>Paid to Khelomore (₹)</t>
  </si>
  <si>
    <t>Paid to Sportomic (₹)</t>
  </si>
  <si>
    <t>Paid to Misfits (₹)</t>
  </si>
  <si>
    <t>1 - 31st Dec</t>
  </si>
  <si>
    <t>Post Comission (20%)</t>
  </si>
  <si>
    <t xml:space="preserve">TDS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</si>
</sst>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3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rgb="FF000000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2" fontId="4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0" fillId="2" fontId="5" numFmtId="0" xfId="0" applyAlignment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3" fillId="0" fontId="3" numFmtId="165" xfId="0" applyAlignment="1" applyBorder="1" applyFont="1" applyNumberFormat="1">
      <alignment horizontal="right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2" fontId="1" numFmtId="166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readingOrder="0" vertical="bottom"/>
    </xf>
    <xf borderId="3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3" fillId="0" fontId="7" numFmtId="166" xfId="0" applyAlignment="1" applyBorder="1" applyFont="1" applyNumberFormat="1">
      <alignment readingOrder="0" shrinkToFit="0" vertical="bottom" wrapText="0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3" fillId="0" fontId="8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3" fillId="0" fontId="3" numFmtId="167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3" fillId="0" fontId="8" numFmtId="166" xfId="0" applyAlignment="1" applyBorder="1" applyFont="1" applyNumberFormat="1">
      <alignment horizontal="right" vertical="bottom"/>
    </xf>
    <xf borderId="3" fillId="0" fontId="8" numFmtId="166" xfId="0" applyAlignment="1" applyBorder="1" applyFont="1" applyNumberFormat="1">
      <alignment vertical="bottom"/>
    </xf>
    <xf borderId="3" fillId="0" fontId="1" numFmtId="0" xfId="0" applyAlignment="1" applyBorder="1" applyFont="1">
      <alignment readingOrder="0" vertical="bottom"/>
    </xf>
    <xf borderId="3" fillId="0" fontId="8" numFmtId="166" xfId="0" applyAlignment="1" applyBorder="1" applyFont="1" applyNumberFormat="1">
      <alignment readingOrder="0" vertical="bottom"/>
    </xf>
    <xf borderId="3" fillId="0" fontId="1" numFmtId="4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vertical="bottom"/>
    </xf>
    <xf borderId="3" fillId="0" fontId="3" numFmtId="4" xfId="0" applyAlignment="1" applyBorder="1" applyFont="1" applyNumberFormat="1">
      <alignment vertical="bottom"/>
    </xf>
    <xf borderId="3" fillId="0" fontId="3" numFmtId="166" xfId="0" applyAlignment="1" applyBorder="1" applyFont="1" applyNumberFormat="1">
      <alignment readingOrder="0" vertical="bottom"/>
    </xf>
    <xf borderId="3" fillId="0" fontId="1" numFmtId="167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3" fillId="0" fontId="1" numFmtId="165" xfId="0" applyAlignment="1" applyBorder="1" applyFont="1" applyNumberFormat="1">
      <alignment horizontal="right" readingOrder="0" vertical="bottom"/>
    </xf>
    <xf borderId="3" fillId="0" fontId="3" numFmtId="166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3" fillId="0" fontId="3" numFmtId="166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2" fontId="3" numFmtId="9" xfId="0" applyAlignment="1" applyFill="1" applyFont="1" applyNumberFormat="1">
      <alignment vertical="bottom"/>
    </xf>
    <xf borderId="3" fillId="0" fontId="1" numFmtId="167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readingOrder="0" shrinkToFit="0" vertical="bottom" wrapText="1"/>
    </xf>
    <xf borderId="0" fillId="3" fontId="3" numFmtId="164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3" fillId="0" fontId="1" numFmtId="3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0" fillId="0" fontId="9" numFmtId="0" xfId="0" applyFont="1"/>
    <xf borderId="1" fillId="0" fontId="10" numFmtId="0" xfId="0" applyAlignment="1" applyBorder="1" applyFont="1">
      <alignment readingOrder="0"/>
    </xf>
    <xf borderId="3" fillId="0" fontId="10" numFmtId="165" xfId="0" applyBorder="1" applyFont="1" applyNumberFormat="1"/>
    <xf borderId="0" fillId="2" fontId="12" numFmtId="0" xfId="0" applyAlignment="1" applyFill="1" applyFont="1">
      <alignment vertical="bottom"/>
    </xf>
    <xf borderId="0" fillId="2" fontId="11" numFmtId="166" xfId="0" applyAlignment="1" applyFill="1" applyFont="1" applyNumberForma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10" numFmtId="166" xfId="0" applyFont="1" applyNumberFormat="1"/>
    <xf borderId="3" fillId="0" fontId="3" numFmtId="0" xfId="0" applyAlignment="1" applyBorder="1" applyFont="1">
      <alignment horizontal="right" readingOrder="0" vertical="bottom"/>
    </xf>
    <xf borderId="0" fillId="0" fontId="3" numFmtId="166" xfId="0" applyAlignment="1" applyFont="1" applyNumberFormat="1">
      <alignment vertical="bottom"/>
    </xf>
    <xf borderId="3" fillId="0" fontId="1" numFmtId="0" xfId="0" applyAlignment="1" applyBorder="1" applyFont="1">
      <alignment horizontal="right" vertical="bottom"/>
    </xf>
    <xf borderId="3" fillId="2" fontId="1" numFmtId="0" xfId="0" applyAlignment="1" applyBorder="1" applyFill="1" applyFont="1">
      <alignment horizontal="center" readingOrder="0" vertical="bottom"/>
    </xf>
    <xf borderId="3" fillId="0" fontId="10" numFmtId="0" xfId="0" applyBorder="1" applyFont="1"/>
    <xf borderId="3" fillId="0" fontId="12" numFmtId="166" xfId="0" applyAlignment="1" applyBorder="1" applyFont="1" applyNumberFormat="1">
      <alignment horizontal="right" vertical="bottom"/>
    </xf>
    <xf borderId="3" fillId="0" fontId="10" numFmtId="164" xfId="0" applyAlignment="1" applyBorder="1" applyFont="1" applyNumberFormat="1">
      <alignment readingOrder="0"/>
    </xf>
    <xf borderId="3" fillId="0" fontId="10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3" fillId="0" fontId="9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2</v>
      </c>
      <c r="C3" s="3" t="s">
        <v>5</v>
      </c>
    </row>
    <row r="4">
      <c r="B4" s="5" t="s">
        <v>6</v>
      </c>
      <c r="C4" s="15">
        <f>SUM(C5,C6,C7,C8)</f>
        <v>10137</v>
      </c>
    </row>
    <row r="5" outlineLevel="1">
      <c r="B5" s="17" t="s">
        <v>15</v>
      </c>
      <c r="C5" s="20">
        <f>'Offline &amp; RG Community'!G21</f>
        <v>3850</v>
      </c>
    </row>
    <row r="6" outlineLevel="1">
      <c r="B6" s="17" t="s">
        <v>25</v>
      </c>
      <c r="C6" s="21">
        <v>0.0</v>
      </c>
    </row>
    <row r="7" outlineLevel="1">
      <c r="B7" s="17" t="s">
        <v>29</v>
      </c>
      <c r="C7" s="21">
        <v>0.0</v>
      </c>
    </row>
    <row r="8" outlineLevel="1">
      <c r="B8" s="17" t="s">
        <v>30</v>
      </c>
      <c r="C8" s="21">
        <f>'Offline &amp; RG Community'!E21</f>
        <v>6287</v>
      </c>
    </row>
    <row r="9">
      <c r="B9" s="5" t="s">
        <v>32</v>
      </c>
      <c r="C9" s="15">
        <f>SUM(C10:C13)</f>
        <v>7600</v>
      </c>
    </row>
    <row r="10" outlineLevel="1">
      <c r="B10" s="17" t="s">
        <v>37</v>
      </c>
      <c r="C10" s="20">
        <f>Hudle!C6</f>
        <v>3100</v>
      </c>
    </row>
    <row r="11" outlineLevel="1">
      <c r="B11" s="17" t="s">
        <v>40</v>
      </c>
      <c r="C11" s="20">
        <f>Playo!C3</f>
        <v>3600</v>
      </c>
    </row>
    <row r="12" outlineLevel="1">
      <c r="B12" s="17" t="s">
        <v>41</v>
      </c>
      <c r="C12" s="21">
        <f>District!C4</f>
        <v>900</v>
      </c>
    </row>
    <row r="13" outlineLevel="1">
      <c r="B13" s="17" t="s">
        <v>42</v>
      </c>
      <c r="C13" s="21">
        <v>0.0</v>
      </c>
    </row>
    <row r="14">
      <c r="B14" s="38" t="s">
        <v>43</v>
      </c>
      <c r="C14" s="15">
        <f>SUM(C16,C15, C17,C18)</f>
        <v>3900</v>
      </c>
    </row>
    <row r="15" outlineLevel="1">
      <c r="B15" s="26" t="s">
        <v>45</v>
      </c>
      <c r="C15" s="21">
        <v>0.0</v>
      </c>
    </row>
    <row r="16" outlineLevel="1">
      <c r="B16" s="26" t="s">
        <v>46</v>
      </c>
      <c r="C16" s="20">
        <f>Sportomic!C6</f>
        <v>3100</v>
      </c>
    </row>
    <row r="17" outlineLevel="1">
      <c r="B17" s="26" t="s">
        <v>48</v>
      </c>
      <c r="C17" s="21">
        <f>'Offline &amp; RG Community'!F21</f>
        <v>800</v>
      </c>
    </row>
    <row r="18" outlineLevel="1">
      <c r="B18" s="17" t="s">
        <v>49</v>
      </c>
      <c r="C18" s="20">
        <f>Misfits!C6</f>
        <v>0</v>
      </c>
    </row>
    <row r="19">
      <c r="B19" s="5" t="s">
        <v>50</v>
      </c>
      <c r="C19" s="46">
        <v>0.0</v>
      </c>
    </row>
    <row r="20">
      <c r="B20" s="17" t="s">
        <v>51</v>
      </c>
      <c r="C20" s="21">
        <v>0.0</v>
      </c>
    </row>
    <row r="21">
      <c r="B21" s="17" t="s">
        <v>52</v>
      </c>
      <c r="C21" s="21">
        <v>0.0</v>
      </c>
    </row>
    <row r="22">
      <c r="B22" s="48" t="s">
        <v>53</v>
      </c>
      <c r="C22" s="51">
        <v>0.0</v>
      </c>
    </row>
    <row r="23">
      <c r="B23" s="5" t="s">
        <v>55</v>
      </c>
      <c r="C23" s="15">
        <f>sum(C4,C9,C14,C19,C20,C21,C22)</f>
        <v>21637</v>
      </c>
    </row>
    <row r="24">
      <c r="B24" s="54" t="s">
        <v>56</v>
      </c>
      <c r="C24" s="58">
        <f>'Offline &amp; RG Community'!H21 +Hudle!E6 +District!F4 +Sportomic!C6 + Playo!F3</f>
        <v>20915.44</v>
      </c>
    </row>
    <row r="25">
      <c r="B25" s="5" t="s">
        <v>57</v>
      </c>
      <c r="C25" s="15">
        <f>C24/1.18</f>
        <v>17724.94915</v>
      </c>
    </row>
    <row r="26">
      <c r="B26" s="61" t="s">
        <v>58</v>
      </c>
      <c r="C26" s="62">
        <f>C25*40%</f>
        <v>7089.979661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4" t="s">
        <v>3</v>
      </c>
      <c r="B1" s="6" t="s">
        <v>7</v>
      </c>
      <c r="C1" s="6" t="s">
        <v>8</v>
      </c>
      <c r="D1" s="7" t="s">
        <v>9</v>
      </c>
      <c r="E1" s="8" t="s">
        <v>10</v>
      </c>
      <c r="F1" s="6" t="s">
        <v>11</v>
      </c>
      <c r="G1" s="8" t="s">
        <v>12</v>
      </c>
      <c r="H1" s="9" t="s">
        <v>13</v>
      </c>
    </row>
    <row r="2">
      <c r="A2" s="10">
        <v>46004.0</v>
      </c>
      <c r="B2" s="11" t="s">
        <v>14</v>
      </c>
      <c r="C2" s="12">
        <v>1.0</v>
      </c>
      <c r="D2" s="13">
        <v>0.5</v>
      </c>
      <c r="E2" s="14">
        <v>450.0</v>
      </c>
      <c r="F2" s="12">
        <v>0.0</v>
      </c>
      <c r="G2" s="12">
        <v>300.0</v>
      </c>
      <c r="H2" s="14">
        <f t="shared" ref="H2:H20" si="1">sum(E2:G2)</f>
        <v>750</v>
      </c>
    </row>
    <row r="3">
      <c r="A3" s="10">
        <v>46005.0</v>
      </c>
      <c r="B3" s="11" t="s">
        <v>28</v>
      </c>
      <c r="C3" s="23">
        <v>4.0</v>
      </c>
      <c r="D3" s="13">
        <v>0.5</v>
      </c>
      <c r="E3" s="25">
        <v>1800.0</v>
      </c>
      <c r="F3" s="27">
        <v>0.0</v>
      </c>
      <c r="G3" s="14">
        <v>0.0</v>
      </c>
      <c r="H3" s="14">
        <f t="shared" si="1"/>
        <v>1800</v>
      </c>
    </row>
    <row r="4">
      <c r="A4" s="10">
        <v>46006.0</v>
      </c>
      <c r="B4" s="11" t="s">
        <v>33</v>
      </c>
      <c r="C4" s="27">
        <v>0.0</v>
      </c>
      <c r="D4" s="13">
        <v>0.5</v>
      </c>
      <c r="E4" s="14">
        <v>0.0</v>
      </c>
      <c r="F4" s="27">
        <v>0.0</v>
      </c>
      <c r="G4" s="14">
        <v>0.0</v>
      </c>
      <c r="H4" s="14">
        <f t="shared" si="1"/>
        <v>0</v>
      </c>
    </row>
    <row r="5">
      <c r="A5" s="10">
        <v>46007.0</v>
      </c>
      <c r="B5" s="11" t="s">
        <v>35</v>
      </c>
      <c r="C5" s="27">
        <v>0.0</v>
      </c>
      <c r="D5" s="13">
        <v>0.5</v>
      </c>
      <c r="E5" s="14">
        <v>0.0</v>
      </c>
      <c r="F5" s="27">
        <v>0.0</v>
      </c>
      <c r="G5" s="14">
        <v>0.0</v>
      </c>
      <c r="H5" s="14">
        <f t="shared" si="1"/>
        <v>0</v>
      </c>
    </row>
    <row r="6">
      <c r="A6" s="10">
        <v>46008.0</v>
      </c>
      <c r="B6" s="11" t="s">
        <v>36</v>
      </c>
      <c r="C6" s="27">
        <v>0.0</v>
      </c>
      <c r="D6" s="13">
        <v>0.5</v>
      </c>
      <c r="E6" s="14">
        <v>0.0</v>
      </c>
      <c r="F6" s="27">
        <v>0.0</v>
      </c>
      <c r="G6" s="14">
        <v>0.0</v>
      </c>
      <c r="H6" s="14">
        <f t="shared" si="1"/>
        <v>0</v>
      </c>
    </row>
    <row r="7">
      <c r="A7" s="10">
        <v>46009.0</v>
      </c>
      <c r="B7" s="11" t="s">
        <v>38</v>
      </c>
      <c r="C7" s="27">
        <v>0.0</v>
      </c>
      <c r="D7" s="13">
        <v>0.5</v>
      </c>
      <c r="E7" s="27">
        <v>0.0</v>
      </c>
      <c r="F7" s="27">
        <v>0.0</v>
      </c>
      <c r="G7" s="27">
        <v>0.0</v>
      </c>
      <c r="H7" s="14">
        <f t="shared" si="1"/>
        <v>0</v>
      </c>
    </row>
    <row r="8">
      <c r="A8" s="10">
        <v>46010.0</v>
      </c>
      <c r="B8" s="11" t="s">
        <v>39</v>
      </c>
      <c r="C8" s="27">
        <v>0.0</v>
      </c>
      <c r="D8" s="13">
        <v>0.5</v>
      </c>
      <c r="E8" s="14">
        <v>0.0</v>
      </c>
      <c r="F8" s="27">
        <v>0.0</v>
      </c>
      <c r="G8" s="14">
        <v>0.0</v>
      </c>
      <c r="H8" s="14">
        <f t="shared" si="1"/>
        <v>0</v>
      </c>
    </row>
    <row r="9">
      <c r="A9" s="10">
        <v>46011.0</v>
      </c>
      <c r="B9" s="11" t="s">
        <v>14</v>
      </c>
      <c r="C9" s="32">
        <v>0.0</v>
      </c>
      <c r="D9" s="13">
        <v>0.5</v>
      </c>
      <c r="E9" s="34">
        <v>0.0</v>
      </c>
      <c r="F9" s="32">
        <v>0.0</v>
      </c>
      <c r="G9" s="34">
        <v>0.0</v>
      </c>
      <c r="H9" s="14">
        <f t="shared" si="1"/>
        <v>0</v>
      </c>
    </row>
    <row r="10">
      <c r="A10" s="10">
        <v>46012.0</v>
      </c>
      <c r="B10" s="11" t="s">
        <v>28</v>
      </c>
      <c r="C10" s="12">
        <v>0.0</v>
      </c>
      <c r="D10" s="13">
        <v>0.5</v>
      </c>
      <c r="E10" s="14">
        <v>0.0</v>
      </c>
      <c r="F10" s="12">
        <v>0.0</v>
      </c>
      <c r="G10" s="14">
        <v>100.0</v>
      </c>
      <c r="H10" s="14">
        <f t="shared" si="1"/>
        <v>100</v>
      </c>
    </row>
    <row r="11">
      <c r="A11" s="10">
        <v>46013.0</v>
      </c>
      <c r="B11" s="11" t="s">
        <v>33</v>
      </c>
      <c r="C11" s="12">
        <v>0.0</v>
      </c>
      <c r="D11" s="13">
        <v>0.5</v>
      </c>
      <c r="E11" s="14">
        <v>0.0</v>
      </c>
      <c r="F11" s="12">
        <v>0.0</v>
      </c>
      <c r="G11" s="12">
        <v>0.0</v>
      </c>
      <c r="H11" s="14">
        <f t="shared" si="1"/>
        <v>0</v>
      </c>
    </row>
    <row r="12">
      <c r="A12" s="10">
        <v>46014.0</v>
      </c>
      <c r="B12" s="11" t="s">
        <v>35</v>
      </c>
      <c r="C12" s="27">
        <v>2.0</v>
      </c>
      <c r="D12" s="13">
        <v>0.5</v>
      </c>
      <c r="E12" s="27">
        <v>2012.0</v>
      </c>
      <c r="F12" s="27">
        <v>450.0</v>
      </c>
      <c r="G12" s="14">
        <v>400.0</v>
      </c>
      <c r="H12" s="14">
        <f t="shared" si="1"/>
        <v>2862</v>
      </c>
    </row>
    <row r="13">
      <c r="A13" s="10">
        <v>46015.0</v>
      </c>
      <c r="B13" s="11" t="s">
        <v>36</v>
      </c>
      <c r="C13" s="27">
        <v>0.0</v>
      </c>
      <c r="D13" s="13">
        <v>0.5</v>
      </c>
      <c r="E13" s="14">
        <v>0.0</v>
      </c>
      <c r="F13" s="27">
        <v>0.0</v>
      </c>
      <c r="G13" s="14">
        <v>600.0</v>
      </c>
      <c r="H13" s="14">
        <f t="shared" si="1"/>
        <v>600</v>
      </c>
    </row>
    <row r="14">
      <c r="A14" s="10">
        <v>46016.0</v>
      </c>
      <c r="B14" s="11" t="s">
        <v>38</v>
      </c>
      <c r="C14" s="27">
        <v>0.0</v>
      </c>
      <c r="D14" s="13">
        <v>0.5</v>
      </c>
      <c r="E14" s="27">
        <v>0.0</v>
      </c>
      <c r="F14" s="27">
        <v>0.0</v>
      </c>
      <c r="G14" s="27">
        <v>200.0</v>
      </c>
      <c r="H14" s="14">
        <f t="shared" si="1"/>
        <v>200</v>
      </c>
    </row>
    <row r="15">
      <c r="A15" s="10">
        <v>46017.0</v>
      </c>
      <c r="B15" s="11" t="s">
        <v>39</v>
      </c>
      <c r="C15" s="32">
        <v>1.5</v>
      </c>
      <c r="D15" s="13">
        <v>0.5</v>
      </c>
      <c r="E15" s="32">
        <v>675.0</v>
      </c>
      <c r="F15" s="32">
        <v>0.0</v>
      </c>
      <c r="G15" s="32">
        <v>800.0</v>
      </c>
      <c r="H15" s="14">
        <f t="shared" si="1"/>
        <v>1475</v>
      </c>
    </row>
    <row r="16">
      <c r="A16" s="10">
        <v>46018.0</v>
      </c>
      <c r="B16" s="11" t="s">
        <v>14</v>
      </c>
      <c r="C16" s="27">
        <v>1.0</v>
      </c>
      <c r="D16" s="13">
        <v>0.5</v>
      </c>
      <c r="E16" s="27">
        <v>450.0</v>
      </c>
      <c r="F16" s="27">
        <v>0.0</v>
      </c>
      <c r="G16" s="27">
        <v>200.0</v>
      </c>
      <c r="H16" s="14">
        <f t="shared" si="1"/>
        <v>650</v>
      </c>
    </row>
    <row r="17">
      <c r="A17" s="10">
        <v>46019.0</v>
      </c>
      <c r="B17" s="11" t="s">
        <v>28</v>
      </c>
      <c r="C17" s="27">
        <v>0.0</v>
      </c>
      <c r="D17" s="13">
        <v>0.5</v>
      </c>
      <c r="E17" s="27">
        <v>0.0</v>
      </c>
      <c r="F17" s="27">
        <v>350.0</v>
      </c>
      <c r="G17" s="27">
        <v>450.0</v>
      </c>
      <c r="H17" s="14">
        <f t="shared" si="1"/>
        <v>800</v>
      </c>
    </row>
    <row r="18">
      <c r="A18" s="10">
        <v>46020.0</v>
      </c>
      <c r="B18" s="11" t="s">
        <v>33</v>
      </c>
      <c r="C18" s="27">
        <v>1.0</v>
      </c>
      <c r="D18" s="13">
        <v>0.5</v>
      </c>
      <c r="E18" s="27">
        <v>450.0</v>
      </c>
      <c r="F18" s="27">
        <v>0.0</v>
      </c>
      <c r="G18" s="27">
        <v>400.0</v>
      </c>
      <c r="H18" s="14">
        <f t="shared" si="1"/>
        <v>850</v>
      </c>
    </row>
    <row r="19">
      <c r="A19" s="10">
        <v>46021.0</v>
      </c>
      <c r="B19" s="11" t="s">
        <v>35</v>
      </c>
      <c r="C19" s="32">
        <v>1.0</v>
      </c>
      <c r="D19" s="13">
        <v>0.5</v>
      </c>
      <c r="E19" s="32">
        <v>450.0</v>
      </c>
      <c r="F19" s="32">
        <v>0.0</v>
      </c>
      <c r="G19" s="32">
        <v>400.0</v>
      </c>
      <c r="H19" s="14">
        <f t="shared" si="1"/>
        <v>850</v>
      </c>
    </row>
    <row r="20">
      <c r="A20" s="10">
        <v>46022.0</v>
      </c>
      <c r="B20" s="11" t="s">
        <v>36</v>
      </c>
      <c r="C20" s="27">
        <v>0.0</v>
      </c>
      <c r="D20" s="13">
        <v>0.5</v>
      </c>
      <c r="E20" s="14">
        <v>0.0</v>
      </c>
      <c r="F20" s="27">
        <v>0.0</v>
      </c>
      <c r="G20" s="27">
        <v>0.0</v>
      </c>
      <c r="H20" s="14">
        <f t="shared" si="1"/>
        <v>0</v>
      </c>
    </row>
    <row r="21">
      <c r="A21" s="4" t="s">
        <v>54</v>
      </c>
      <c r="B21" s="49"/>
      <c r="C21" s="6">
        <f>SUM(C2:C20)</f>
        <v>11.5</v>
      </c>
      <c r="D21" s="52"/>
      <c r="E21" s="8">
        <f t="shared" ref="E21:H21" si="2">SUM(E2:E20)</f>
        <v>6287</v>
      </c>
      <c r="F21" s="6">
        <f t="shared" si="2"/>
        <v>800</v>
      </c>
      <c r="G21" s="6">
        <f t="shared" si="2"/>
        <v>3850</v>
      </c>
      <c r="H21" s="8">
        <f t="shared" si="2"/>
        <v>10937</v>
      </c>
    </row>
    <row r="22">
      <c r="A22" s="10"/>
      <c r="B22" s="11"/>
      <c r="C22" s="27"/>
      <c r="D22" s="13"/>
      <c r="E22" s="27"/>
      <c r="F22" s="27"/>
      <c r="G22" s="27"/>
      <c r="H22" s="14"/>
    </row>
    <row r="23">
      <c r="A23" s="10"/>
      <c r="B23" s="11"/>
      <c r="C23" s="27"/>
      <c r="D23" s="13"/>
      <c r="E23" s="27"/>
      <c r="F23" s="27"/>
      <c r="G23" s="27"/>
      <c r="H23" s="14"/>
    </row>
    <row r="24">
      <c r="A24" s="55"/>
      <c r="B24" s="56"/>
      <c r="C24" s="57"/>
      <c r="D24" s="13"/>
      <c r="E24" s="57"/>
      <c r="F24" s="57"/>
      <c r="G24" s="57"/>
      <c r="H24" s="14"/>
    </row>
    <row r="25">
      <c r="A25" s="10"/>
      <c r="B25" s="11"/>
      <c r="C25" s="27"/>
      <c r="D25" s="13"/>
      <c r="E25" s="27"/>
      <c r="F25" s="27"/>
      <c r="G25" s="27"/>
      <c r="H25" s="14"/>
    </row>
    <row r="26">
      <c r="A26" s="10"/>
      <c r="B26" s="11"/>
      <c r="C26" s="27"/>
      <c r="D26" s="13"/>
      <c r="E26" s="27"/>
      <c r="F26" s="27"/>
      <c r="G26" s="27"/>
      <c r="H26" s="14"/>
    </row>
    <row r="27">
      <c r="A27" s="10"/>
      <c r="B27" s="11"/>
      <c r="C27" s="27"/>
      <c r="D27" s="13"/>
      <c r="E27" s="27"/>
      <c r="F27" s="27"/>
      <c r="G27" s="27"/>
      <c r="H27" s="14"/>
    </row>
    <row r="28">
      <c r="A28" s="10"/>
      <c r="B28" s="11"/>
      <c r="C28" s="27"/>
      <c r="D28" s="13"/>
      <c r="E28" s="27"/>
      <c r="F28" s="27"/>
      <c r="G28" s="27"/>
      <c r="H28" s="14"/>
    </row>
    <row r="29">
      <c r="A29" s="10"/>
      <c r="B29" s="11"/>
      <c r="C29" s="27"/>
      <c r="D29" s="13"/>
      <c r="E29" s="27"/>
      <c r="F29" s="27"/>
      <c r="G29" s="27"/>
      <c r="H29" s="14"/>
    </row>
    <row r="30">
      <c r="A30" s="10"/>
      <c r="B30" s="11"/>
      <c r="C30" s="27"/>
      <c r="D30" s="13"/>
      <c r="E30" s="27"/>
      <c r="F30" s="27"/>
      <c r="G30" s="27"/>
      <c r="H30" s="14"/>
    </row>
    <row r="31">
      <c r="A31" s="10"/>
      <c r="B31" s="11"/>
      <c r="C31" s="27"/>
      <c r="D31" s="13"/>
      <c r="E31" s="27"/>
      <c r="F31" s="27"/>
      <c r="G31" s="27"/>
      <c r="H31" s="14"/>
    </row>
    <row r="32">
      <c r="A32" s="10"/>
      <c r="B32" s="11"/>
      <c r="C32" s="27"/>
      <c r="D32" s="13"/>
      <c r="E32" s="27"/>
      <c r="F32" s="27"/>
      <c r="G32" s="27"/>
      <c r="H32" s="14"/>
      <c r="I32" s="60"/>
      <c r="J32" s="60"/>
      <c r="K32" s="60"/>
      <c r="L32" s="60"/>
      <c r="M32" s="60"/>
      <c r="N32" s="60"/>
      <c r="O32" s="60"/>
      <c r="P32" s="6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6" t="s">
        <v>1</v>
      </c>
      <c r="B1" s="19" t="s">
        <v>3</v>
      </c>
      <c r="C1" s="19" t="s">
        <v>16</v>
      </c>
      <c r="D1" s="19" t="s">
        <v>18</v>
      </c>
      <c r="E1" s="19" t="s">
        <v>21</v>
      </c>
      <c r="F1" s="19" t="s">
        <v>22</v>
      </c>
      <c r="G1" s="19" t="s">
        <v>23</v>
      </c>
      <c r="H1" s="22" t="s">
        <v>5</v>
      </c>
      <c r="I1" s="24"/>
    </row>
    <row r="2">
      <c r="A2" s="29"/>
      <c r="B2" s="30" t="s">
        <v>34</v>
      </c>
      <c r="C2" s="31">
        <v>450.0</v>
      </c>
      <c r="D2" s="31">
        <v>58.5</v>
      </c>
      <c r="E2" s="31">
        <f t="shared" ref="E2:E4" si="1">C2 - D2</f>
        <v>391.5</v>
      </c>
      <c r="F2" s="31">
        <v>0.3814</v>
      </c>
      <c r="G2" s="31">
        <v>1.9068</v>
      </c>
      <c r="H2" s="36">
        <v>389.21</v>
      </c>
    </row>
    <row r="3">
      <c r="A3" s="37"/>
      <c r="B3" s="39" t="s">
        <v>44</v>
      </c>
      <c r="C3" s="31">
        <v>450.0</v>
      </c>
      <c r="D3" s="31">
        <v>58.5</v>
      </c>
      <c r="E3" s="31">
        <f t="shared" si="1"/>
        <v>391.5</v>
      </c>
      <c r="F3" s="31">
        <v>0.3814</v>
      </c>
      <c r="G3" s="31">
        <v>1.9068</v>
      </c>
      <c r="H3" s="36">
        <v>389.21</v>
      </c>
    </row>
    <row r="4">
      <c r="A4" s="41"/>
      <c r="B4" s="43" t="s">
        <v>47</v>
      </c>
      <c r="C4" s="43">
        <v>2200.0</v>
      </c>
      <c r="D4" s="43">
        <v>286.0</v>
      </c>
      <c r="E4" s="31">
        <f t="shared" si="1"/>
        <v>1914</v>
      </c>
      <c r="F4" s="43">
        <v>1.86</v>
      </c>
      <c r="G4" s="43">
        <v>9.32</v>
      </c>
      <c r="H4" s="43">
        <v>1902.81</v>
      </c>
    </row>
    <row r="5">
      <c r="A5" s="45"/>
      <c r="B5" s="43"/>
      <c r="C5" s="47"/>
      <c r="D5" s="43"/>
      <c r="E5" s="50"/>
      <c r="F5" s="43"/>
      <c r="G5" s="43"/>
      <c r="H5" s="47"/>
    </row>
    <row r="6">
      <c r="A6" s="35"/>
      <c r="B6" s="17"/>
      <c r="C6" s="53">
        <f>SUM(C2:C5)</f>
        <v>3100</v>
      </c>
      <c r="D6" s="44">
        <f>SUM(D2:D4)</f>
        <v>403</v>
      </c>
      <c r="E6" s="53">
        <f>SUM(E2:E5)</f>
        <v>2697</v>
      </c>
      <c r="F6" s="17"/>
      <c r="G6" s="17"/>
      <c r="H6" s="59">
        <f>SUM(H2:H5)</f>
        <v>2681.23</v>
      </c>
    </row>
    <row r="7">
      <c r="E7" s="53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8" t="s">
        <v>4</v>
      </c>
      <c r="B1" s="19" t="s">
        <v>3</v>
      </c>
      <c r="C1" s="19" t="s">
        <v>17</v>
      </c>
      <c r="D1" s="19" t="s">
        <v>19</v>
      </c>
      <c r="E1" s="19" t="s">
        <v>20</v>
      </c>
      <c r="F1" s="19" t="s">
        <v>21</v>
      </c>
      <c r="G1" s="19" t="s">
        <v>24</v>
      </c>
      <c r="H1" s="19" t="s">
        <v>26</v>
      </c>
      <c r="I1" s="19" t="s">
        <v>27</v>
      </c>
    </row>
    <row r="2">
      <c r="A2" s="11"/>
      <c r="B2" s="26" t="s">
        <v>31</v>
      </c>
      <c r="C2" s="28">
        <v>3600.0</v>
      </c>
      <c r="D2" s="12">
        <v>252.0</v>
      </c>
      <c r="E2" s="12">
        <v>45.36</v>
      </c>
      <c r="F2" s="33">
        <f>C2 -D2-E2</f>
        <v>3302.64</v>
      </c>
      <c r="G2" s="12">
        <v>3.6</v>
      </c>
      <c r="H2" s="12">
        <v>18.0</v>
      </c>
      <c r="I2" s="12">
        <v>3281.04</v>
      </c>
    </row>
    <row r="3">
      <c r="A3" s="35"/>
      <c r="B3" s="17"/>
      <c r="C3" s="40">
        <f>SUM(C2)</f>
        <v>3600</v>
      </c>
      <c r="D3" s="42"/>
      <c r="E3" s="17"/>
      <c r="F3" s="44">
        <f>SUM(F2)</f>
        <v>3302.64</v>
      </c>
      <c r="G3" s="17"/>
      <c r="H3" s="17"/>
      <c r="I3" s="40">
        <f>SUM(I2)</f>
        <v>3281.04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5" width="16.0"/>
    <col customWidth="1" min="9" max="9" width="14.13"/>
  </cols>
  <sheetData>
    <row r="1">
      <c r="A1" s="18" t="s">
        <v>1</v>
      </c>
      <c r="B1" s="19" t="s">
        <v>3</v>
      </c>
      <c r="C1" s="19" t="s">
        <v>59</v>
      </c>
      <c r="D1" s="19" t="s">
        <v>19</v>
      </c>
      <c r="E1" s="63" t="s">
        <v>60</v>
      </c>
      <c r="F1" s="65" t="s">
        <v>21</v>
      </c>
      <c r="G1" s="66" t="s">
        <v>23</v>
      </c>
      <c r="H1" s="66" t="s">
        <v>22</v>
      </c>
      <c r="I1" s="19" t="s">
        <v>27</v>
      </c>
    </row>
    <row r="2">
      <c r="A2" s="35"/>
      <c r="B2" s="26" t="s">
        <v>31</v>
      </c>
      <c r="C2" s="68">
        <v>900.0</v>
      </c>
      <c r="D2" s="26">
        <v>18.0</v>
      </c>
      <c r="E2" s="26">
        <v>3.2</v>
      </c>
      <c r="F2" s="33">
        <f>C2 -D2-E2</f>
        <v>878.8</v>
      </c>
      <c r="G2" s="26">
        <v>0.9</v>
      </c>
      <c r="H2" s="26">
        <v>4.5</v>
      </c>
      <c r="I2" s="26">
        <v>877.36</v>
      </c>
    </row>
    <row r="3">
      <c r="A3" s="35"/>
      <c r="B3" s="17"/>
      <c r="C3" s="42"/>
      <c r="D3" s="42"/>
      <c r="E3" s="17"/>
      <c r="F3" s="17"/>
      <c r="G3" s="17"/>
      <c r="H3" s="17"/>
      <c r="I3" s="17"/>
    </row>
    <row r="4">
      <c r="A4" s="35"/>
      <c r="B4" s="17" t="s">
        <v>54</v>
      </c>
      <c r="C4" s="70">
        <f>SUM(C2)</f>
        <v>900</v>
      </c>
      <c r="D4" s="17"/>
      <c r="E4" s="17"/>
      <c r="F4" s="53">
        <f>SUM(F2)</f>
        <v>878.8</v>
      </c>
      <c r="G4" s="17"/>
      <c r="H4" s="17"/>
      <c r="I4" s="70">
        <f>SUM(I2)</f>
        <v>877.36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64" t="s">
        <v>1</v>
      </c>
      <c r="B1" s="22" t="s">
        <v>3</v>
      </c>
      <c r="C1" s="22" t="s">
        <v>61</v>
      </c>
      <c r="D1" s="22" t="s">
        <v>19</v>
      </c>
      <c r="E1" s="22" t="s">
        <v>27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>
      <c r="A2" s="45"/>
      <c r="B2" s="43" t="s">
        <v>31</v>
      </c>
      <c r="C2" s="43">
        <v>0.0</v>
      </c>
      <c r="D2" s="43"/>
      <c r="E2" s="43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>
      <c r="A3" s="45"/>
      <c r="B3" s="43"/>
      <c r="C3" s="43"/>
      <c r="D3" s="43"/>
      <c r="E3" s="43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>
      <c r="A4" s="69"/>
      <c r="B4" s="41"/>
      <c r="C4" s="73">
        <f t="shared" ref="C4:E4" si="1">SUM(C2:C3)</f>
        <v>0</v>
      </c>
      <c r="D4" s="41">
        <f t="shared" si="1"/>
        <v>0</v>
      </c>
      <c r="E4" s="73">
        <f t="shared" si="1"/>
        <v>0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16" t="s">
        <v>1</v>
      </c>
      <c r="B1" s="19" t="s">
        <v>3</v>
      </c>
      <c r="C1" s="19" t="s">
        <v>63</v>
      </c>
      <c r="D1" s="71" t="s">
        <v>65</v>
      </c>
      <c r="E1" s="71" t="s">
        <v>66</v>
      </c>
      <c r="F1" s="19" t="s">
        <v>27</v>
      </c>
      <c r="G1" s="72"/>
    </row>
    <row r="2">
      <c r="A2" s="26"/>
      <c r="B2" s="26" t="s">
        <v>64</v>
      </c>
      <c r="C2" s="46">
        <v>0.0</v>
      </c>
      <c r="D2" s="26"/>
      <c r="E2" s="26"/>
      <c r="F2" s="46"/>
      <c r="G2" s="72"/>
    </row>
    <row r="3">
      <c r="A3" s="72"/>
      <c r="B3" s="74"/>
      <c r="C3" s="75"/>
      <c r="D3" s="72"/>
      <c r="E3" s="72"/>
      <c r="F3" s="15"/>
      <c r="G3" s="72"/>
    </row>
    <row r="4">
      <c r="A4" s="72"/>
      <c r="B4" s="74"/>
      <c r="C4" s="75"/>
      <c r="D4" s="72"/>
      <c r="E4" s="72"/>
      <c r="F4" s="72"/>
      <c r="G4" s="72"/>
    </row>
    <row r="5">
      <c r="A5" s="76"/>
      <c r="B5" s="76"/>
      <c r="C5" s="68"/>
      <c r="D5" s="77"/>
      <c r="E5" s="77"/>
      <c r="F5" s="77"/>
      <c r="G5" s="77"/>
      <c r="H5" s="35"/>
      <c r="I5" s="35"/>
      <c r="J5" s="35"/>
      <c r="K5" s="35"/>
    </row>
    <row r="6">
      <c r="A6" s="72"/>
      <c r="B6" s="72"/>
      <c r="C6" s="78">
        <f>SUM(C2)</f>
        <v>0</v>
      </c>
      <c r="D6" s="72"/>
      <c r="E6" s="72"/>
      <c r="F6" s="72"/>
      <c r="G6" s="72"/>
    </row>
    <row r="9">
      <c r="A9" s="10"/>
      <c r="B9" s="35"/>
      <c r="C9" s="27"/>
      <c r="D9" s="27"/>
      <c r="E9" s="27"/>
      <c r="F9" s="35"/>
    </row>
    <row r="10">
      <c r="A10" s="10"/>
      <c r="B10" s="35"/>
      <c r="C10" s="27"/>
      <c r="D10" s="27"/>
      <c r="E10" s="27"/>
      <c r="F10" s="35"/>
    </row>
    <row r="11">
      <c r="A11" s="10"/>
      <c r="B11" s="35"/>
      <c r="C11" s="27"/>
      <c r="D11" s="27"/>
      <c r="E11" s="27"/>
      <c r="F11" s="35"/>
    </row>
    <row r="12">
      <c r="A12" s="10"/>
      <c r="B12" s="35"/>
      <c r="C12" s="27"/>
      <c r="D12" s="27"/>
      <c r="E12" s="27"/>
      <c r="F12" s="35"/>
    </row>
    <row r="13">
      <c r="A13" s="10"/>
      <c r="B13" s="35"/>
      <c r="C13" s="27"/>
      <c r="D13" s="27"/>
      <c r="E13" s="27"/>
      <c r="F13" s="35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</cols>
  <sheetData>
    <row r="1">
      <c r="A1" s="16" t="s">
        <v>1</v>
      </c>
      <c r="B1" s="19" t="s">
        <v>3</v>
      </c>
      <c r="C1" s="71" t="s">
        <v>62</v>
      </c>
      <c r="D1" s="72"/>
    </row>
    <row r="2">
      <c r="A2" s="26"/>
      <c r="B2" s="26" t="s">
        <v>64</v>
      </c>
      <c r="C2" s="46">
        <v>3100.0</v>
      </c>
      <c r="D2" s="72"/>
    </row>
    <row r="3">
      <c r="A3" s="72"/>
      <c r="B3" s="74"/>
      <c r="C3" s="75"/>
      <c r="D3" s="72"/>
    </row>
    <row r="4">
      <c r="A4" s="72"/>
      <c r="B4" s="74"/>
      <c r="C4" s="75"/>
      <c r="D4" s="72"/>
    </row>
    <row r="5">
      <c r="A5" s="76"/>
      <c r="B5" s="76"/>
      <c r="C5" s="68"/>
      <c r="D5" s="77"/>
      <c r="E5" s="35"/>
      <c r="F5" s="35"/>
      <c r="G5" s="35"/>
      <c r="H5" s="35"/>
    </row>
    <row r="6">
      <c r="A6" s="72"/>
      <c r="B6" s="72"/>
      <c r="C6" s="78">
        <f>SUM(C2)</f>
        <v>3100</v>
      </c>
      <c r="D6" s="72"/>
    </row>
    <row r="9">
      <c r="A9" s="10"/>
      <c r="B9" s="35"/>
      <c r="C9" s="27"/>
      <c r="D9" s="35"/>
    </row>
    <row r="10">
      <c r="A10" s="10"/>
      <c r="B10" s="35"/>
      <c r="C10" s="27"/>
      <c r="D10" s="35"/>
    </row>
    <row r="11">
      <c r="A11" s="10"/>
      <c r="B11" s="35"/>
      <c r="C11" s="27"/>
      <c r="D11" s="35"/>
    </row>
    <row r="12">
      <c r="A12" s="10"/>
      <c r="B12" s="35"/>
      <c r="C12" s="27"/>
      <c r="D12" s="35"/>
    </row>
    <row r="13">
      <c r="A13" s="10"/>
      <c r="B13" s="35"/>
      <c r="C13" s="27"/>
    </row>
  </sheetData>
  <hyperlinks>
    <hyperlink r:id="rId1" ref="A1"/>
  </hyperlinks>
  <drawing r:id="rId2"/>
</worksheet>
</file>