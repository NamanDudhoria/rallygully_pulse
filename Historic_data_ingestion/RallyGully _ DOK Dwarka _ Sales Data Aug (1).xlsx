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Academy" sheetId="4" r:id="rId8"/>
  </sheets>
  <definedNames/>
  <calcPr/>
</workbook>
</file>

<file path=xl/sharedStrings.xml><?xml version="1.0" encoding="utf-8"?>
<sst xmlns="http://schemas.openxmlformats.org/spreadsheetml/2006/main" count="96" uniqueCount="67">
  <si>
    <t>Link</t>
  </si>
  <si>
    <t>Date</t>
  </si>
  <si>
    <t>1 - 31 Aug</t>
  </si>
  <si>
    <t>Month</t>
  </si>
  <si>
    <t>Day</t>
  </si>
  <si>
    <t>Offline booking hours</t>
  </si>
  <si>
    <t>Coaching</t>
  </si>
  <si>
    <t>Particulars</t>
  </si>
  <si>
    <t>Sports Type</t>
  </si>
  <si>
    <t>Type</t>
  </si>
  <si>
    <t>Amount Collected</t>
  </si>
  <si>
    <t>Booking Revenue</t>
  </si>
  <si>
    <t>Amount</t>
  </si>
  <si>
    <t>Aug</t>
  </si>
  <si>
    <t>Community Revenue</t>
  </si>
  <si>
    <t xml:space="preserve">Paddle Rental </t>
  </si>
  <si>
    <t>F&amp;B</t>
  </si>
  <si>
    <t>Total Revenue</t>
  </si>
  <si>
    <t>Basketball Coaching</t>
  </si>
  <si>
    <t>Payment Gateway</t>
  </si>
  <si>
    <t>Basketball</t>
  </si>
  <si>
    <t>3 days in week</t>
  </si>
  <si>
    <t>Net Revenue</t>
  </si>
  <si>
    <t>Pickleball</t>
  </si>
  <si>
    <t>Pay &amp; Play</t>
  </si>
  <si>
    <t>Saturday</t>
  </si>
  <si>
    <t xml:space="preserve">Online </t>
  </si>
  <si>
    <t>Paid to District</t>
  </si>
  <si>
    <t>Commissions (₹)</t>
  </si>
  <si>
    <t>GST on Commission</t>
  </si>
  <si>
    <t>TCS</t>
  </si>
  <si>
    <t>District</t>
  </si>
  <si>
    <t>TDS</t>
  </si>
  <si>
    <t>Final Amount (₹)</t>
  </si>
  <si>
    <t>Hudle</t>
  </si>
  <si>
    <t>Playo</t>
  </si>
  <si>
    <t>Khelomore</t>
  </si>
  <si>
    <t>Zplys</t>
  </si>
  <si>
    <t>Offline</t>
  </si>
  <si>
    <t>Bookings</t>
  </si>
  <si>
    <t>Sunday</t>
  </si>
  <si>
    <t>Memberships</t>
  </si>
  <si>
    <t>Community</t>
  </si>
  <si>
    <t>Pickup games</t>
  </si>
  <si>
    <t>Monday</t>
  </si>
  <si>
    <t>Total</t>
  </si>
  <si>
    <t>Social Events/Tournaments</t>
  </si>
  <si>
    <t>Community Partnership</t>
  </si>
  <si>
    <t>Academy</t>
  </si>
  <si>
    <t>Tuesday</t>
  </si>
  <si>
    <t>(Note for CA Team: Please note that RallyGully hasn't received the 18000 rental for basketball rental service provided) - GST payment would have to be made by Drive &amp; Kick Team</t>
  </si>
  <si>
    <t>Wednesday</t>
  </si>
  <si>
    <t>Events &amp; Partnership</t>
  </si>
  <si>
    <t>Corporate events</t>
  </si>
  <si>
    <t>Thursday</t>
  </si>
  <si>
    <t>All B2B partnerships</t>
  </si>
  <si>
    <t>Commerce</t>
  </si>
  <si>
    <t>Product rental</t>
  </si>
  <si>
    <t>Friday</t>
  </si>
  <si>
    <t>Product sales</t>
  </si>
  <si>
    <t>Other Income</t>
  </si>
  <si>
    <t>Total Gross Revenue</t>
  </si>
  <si>
    <t>GST (B)</t>
  </si>
  <si>
    <t>Commissions, Payment gateway &amp; Event Expense(C)</t>
  </si>
  <si>
    <t>Net Revenue (A-B-C)</t>
  </si>
  <si>
    <t>Drive &amp; Kick Share (Final share after incorporting 18k already received by Drive Kick)</t>
  </si>
  <si>
    <t>RallyGully's Share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</si>
</sst>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d mmm"/>
    <numFmt numFmtId="167" formatCode="[&gt;9999999][$₹]##\,##\,##\,##0.00;[&gt;99999][$₹]##\,##\,##0.00;[$₹]##,##0.00"/>
    <numFmt numFmtId="168" formatCode="[&gt;9999999][$₹]##\,##\,##\,##0;[&gt;99999][$₹]##\,##\,##0;[$₹]##,##0"/>
    <numFmt numFmtId="169" formatCode="d mmmm"/>
    <numFmt numFmtId="170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0" xfId="0" applyAlignment="1" applyBorder="1" applyFill="1" applyFon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4" numFmtId="0" xfId="0" applyAlignment="1" applyBorder="1" applyFill="1" applyFont="1">
      <alignment vertical="bottom"/>
    </xf>
    <xf borderId="1" fillId="0" fontId="4" numFmtId="166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3" fontId="4" numFmtId="169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5" numFmtId="170" xfId="0" applyAlignment="1" applyBorder="1" applyFill="1" applyFont="1" applyNumberFormat="1">
      <alignment horizontal="center" readingOrder="0" vertical="bottom"/>
    </xf>
    <xf borderId="1" fillId="0" fontId="2" numFmtId="168" xfId="0" applyAlignment="1" applyBorder="1" applyFont="1" applyNumberFormat="1">
      <alignment horizontal="right" vertical="bottom"/>
    </xf>
    <xf borderId="1" fillId="2" fontId="2" numFmtId="170" xfId="0" applyAlignment="1" applyBorder="1" applyFill="1" applyFont="1" applyNumberFormat="1">
      <alignment horizontal="center" vertical="bottom"/>
    </xf>
    <xf borderId="1" fillId="2" fontId="6" numFmtId="170" xfId="0" applyAlignment="1" applyBorder="1" applyFill="1" applyFont="1" applyNumberFormat="1">
      <alignment vertical="bottom"/>
    </xf>
    <xf borderId="1" fillId="0" fontId="4" numFmtId="168" xfId="0" applyAlignment="1" applyBorder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70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4" numFmtId="167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2" fontId="2" numFmtId="170" xfId="0" applyAlignment="1" applyBorder="1" applyFill="1" applyFont="1" applyNumberFormat="1">
      <alignment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2" fontId="2" numFmtId="170" xfId="0" applyAlignment="1" applyBorder="1" applyFill="1" applyFont="1" applyNumberFormat="1">
      <alignment horizontal="right" vertical="bottom"/>
    </xf>
    <xf borderId="0" fillId="0" fontId="7" numFmtId="0" xfId="0" applyAlignment="1" applyFont="1">
      <alignment readingOrder="0"/>
    </xf>
    <xf borderId="1" fillId="2" fontId="2" numFmtId="167" xfId="0" applyAlignment="1" applyBorder="1" applyFill="1" applyFont="1" applyNumberFormat="1">
      <alignment horizontal="right" vertical="bottom"/>
    </xf>
    <xf borderId="1" fillId="2" fontId="4" numFmtId="170" xfId="0" applyAlignment="1" applyBorder="1" applyFill="1" applyFont="1" applyNumberFormat="1">
      <alignment vertical="bottom"/>
    </xf>
    <xf borderId="1" fillId="0" fontId="4" numFmtId="168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0" fontId="2" numFmtId="168" xfId="0" applyAlignment="1" applyBorder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0" fillId="0" fontId="7" numFmtId="164" xfId="0" applyFont="1" applyNumberFormat="1"/>
    <xf borderId="1" fillId="0" fontId="4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horizontal="right" shrinkToFit="0" vertical="bottom" wrapText="1"/>
    </xf>
    <xf borderId="1" fillId="3" fontId="4" numFmtId="164" xfId="0" applyAlignment="1" applyBorder="1" applyFill="1" applyFont="1" applyNumberFormat="1">
      <alignment horizontal="right"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  <col customWidth="1" min="4" max="4" width="133.75"/>
  </cols>
  <sheetData>
    <row r="1">
      <c r="A1" s="1"/>
    </row>
    <row r="2">
      <c r="B2" s="3" t="s">
        <v>2</v>
      </c>
      <c r="C2" s="4"/>
    </row>
    <row r="3">
      <c r="B3" s="7" t="s">
        <v>7</v>
      </c>
      <c r="C3" s="7" t="s">
        <v>12</v>
      </c>
      <c r="E3" s="8"/>
    </row>
    <row r="4">
      <c r="B4" s="13"/>
      <c r="C4" s="16" t="s">
        <v>23</v>
      </c>
      <c r="E4" s="8"/>
    </row>
    <row r="5">
      <c r="B5" s="10" t="s">
        <v>24</v>
      </c>
      <c r="C5" s="22">
        <f>sum(C6,C12)</f>
        <v>41255</v>
      </c>
      <c r="E5" s="8"/>
    </row>
    <row r="6">
      <c r="B6" s="10" t="s">
        <v>26</v>
      </c>
      <c r="C6" s="22">
        <f>sum(C7:C11)</f>
        <v>32924</v>
      </c>
      <c r="E6" s="8"/>
    </row>
    <row r="7" outlineLevel="1">
      <c r="B7" s="11" t="s">
        <v>31</v>
      </c>
      <c r="C7" s="25">
        <f>District!C3</f>
        <v>32924</v>
      </c>
      <c r="E7" s="8"/>
    </row>
    <row r="8" outlineLevel="1">
      <c r="B8" s="11" t="s">
        <v>34</v>
      </c>
      <c r="C8" s="26">
        <v>0.0</v>
      </c>
      <c r="E8" s="8"/>
    </row>
    <row r="9" outlineLevel="1">
      <c r="B9" s="11" t="s">
        <v>35</v>
      </c>
      <c r="C9" s="26">
        <v>0.0</v>
      </c>
      <c r="E9" s="8"/>
    </row>
    <row r="10" outlineLevel="1">
      <c r="B10" s="29" t="s">
        <v>36</v>
      </c>
      <c r="C10" s="26">
        <v>0.0</v>
      </c>
      <c r="E10" s="31"/>
    </row>
    <row r="11" outlineLevel="1">
      <c r="B11" s="11" t="s">
        <v>37</v>
      </c>
      <c r="C11" s="26">
        <v>0.0</v>
      </c>
      <c r="E11" s="31"/>
    </row>
    <row r="12">
      <c r="B12" s="33" t="s">
        <v>38</v>
      </c>
      <c r="C12" s="22">
        <f>sum(C13:C14)</f>
        <v>8331</v>
      </c>
    </row>
    <row r="13" outlineLevel="1">
      <c r="B13" s="11" t="s">
        <v>39</v>
      </c>
      <c r="C13" s="25">
        <f>'Offline &amp; RG Community'!D33</f>
        <v>8331</v>
      </c>
    </row>
    <row r="14" outlineLevel="1">
      <c r="B14" s="35" t="s">
        <v>41</v>
      </c>
      <c r="C14" s="26">
        <v>0.0</v>
      </c>
      <c r="E14" s="8"/>
    </row>
    <row r="15">
      <c r="B15" s="33" t="s">
        <v>42</v>
      </c>
      <c r="C15" s="22">
        <f>sum(C16:C18)</f>
        <v>1476</v>
      </c>
      <c r="E15" s="8"/>
    </row>
    <row r="16" outlineLevel="1">
      <c r="B16" s="29" t="s">
        <v>43</v>
      </c>
      <c r="C16" s="25">
        <f>'Offline &amp; RG Community'!E33</f>
        <v>1476</v>
      </c>
      <c r="E16" s="8"/>
    </row>
    <row r="17" outlineLevel="1">
      <c r="B17" s="29" t="s">
        <v>46</v>
      </c>
      <c r="C17" s="26">
        <v>0.0</v>
      </c>
    </row>
    <row r="18">
      <c r="B18" s="9" t="s">
        <v>47</v>
      </c>
      <c r="C18" s="38">
        <v>0.0</v>
      </c>
      <c r="E18" s="8"/>
    </row>
    <row r="19">
      <c r="B19" s="33" t="s">
        <v>48</v>
      </c>
      <c r="C19" s="22">
        <f>Academy!E2</f>
        <v>18000</v>
      </c>
      <c r="D19" s="40" t="s">
        <v>50</v>
      </c>
      <c r="E19" s="8"/>
    </row>
    <row r="20">
      <c r="B20" s="10" t="s">
        <v>52</v>
      </c>
      <c r="C20" s="22">
        <f>sum(C21,C22)</f>
        <v>0</v>
      </c>
    </row>
    <row r="21" outlineLevel="1">
      <c r="B21" s="11" t="s">
        <v>53</v>
      </c>
      <c r="C21" s="43">
        <v>0.0</v>
      </c>
    </row>
    <row r="22" outlineLevel="1">
      <c r="B22" s="29" t="s">
        <v>55</v>
      </c>
      <c r="C22" s="38">
        <v>0.0</v>
      </c>
    </row>
    <row r="23">
      <c r="B23" s="10" t="s">
        <v>56</v>
      </c>
      <c r="C23" s="22">
        <f>sum(C24:C26)</f>
        <v>3500</v>
      </c>
    </row>
    <row r="24" outlineLevel="1">
      <c r="B24" s="11" t="s">
        <v>57</v>
      </c>
      <c r="C24" s="43">
        <f>'Offline &amp; RG Community'!F33</f>
        <v>3500</v>
      </c>
    </row>
    <row r="25" outlineLevel="1">
      <c r="B25" s="11" t="s">
        <v>59</v>
      </c>
      <c r="C25" s="26">
        <v>0.0</v>
      </c>
    </row>
    <row r="26" outlineLevel="1">
      <c r="B26" s="11" t="s">
        <v>16</v>
      </c>
      <c r="C26" s="26">
        <v>0.0</v>
      </c>
    </row>
    <row r="27">
      <c r="B27" s="10" t="s">
        <v>60</v>
      </c>
      <c r="C27" s="45">
        <v>0.0</v>
      </c>
    </row>
    <row r="28">
      <c r="B28" s="37" t="s">
        <v>61</v>
      </c>
      <c r="C28" s="46">
        <f>C5+C15+C19+C20+C23+C27</f>
        <v>64231</v>
      </c>
    </row>
    <row r="29">
      <c r="B29" s="47" t="s">
        <v>62</v>
      </c>
      <c r="C29" s="48">
        <f>C28-(C28/1.18)</f>
        <v>9797.949153</v>
      </c>
      <c r="D29" s="49">
        <f>(C28-18000)*18%</f>
        <v>8321.58</v>
      </c>
    </row>
    <row r="30">
      <c r="B30" s="47" t="s">
        <v>63</v>
      </c>
      <c r="C30" s="20">
        <f>'Offline &amp; RG Community'!I33+District!D2+District!E2</f>
        <v>2950.8725</v>
      </c>
      <c r="D30" s="50">
        <v>2951.0</v>
      </c>
    </row>
    <row r="31">
      <c r="B31" s="51" t="s">
        <v>64</v>
      </c>
      <c r="C31" s="48">
        <f>C28-C29-C30</f>
        <v>51482.17835</v>
      </c>
      <c r="D31" s="49">
        <f>C28-D29-D30</f>
        <v>52958.42</v>
      </c>
    </row>
    <row r="32">
      <c r="B32" s="52" t="s">
        <v>65</v>
      </c>
      <c r="C32" s="53">
        <f>C31-C19</f>
        <v>33482.17835</v>
      </c>
      <c r="D32" s="49">
        <f>D31*70%</f>
        <v>37070.894</v>
      </c>
    </row>
    <row r="33">
      <c r="B33" s="11" t="s">
        <v>66</v>
      </c>
      <c r="C33" s="53">
        <f>C31*30%</f>
        <v>15444.6535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5" width="17.63"/>
    <col customWidth="1" min="6" max="9" width="15.25"/>
  </cols>
  <sheetData>
    <row r="1">
      <c r="A1" s="2" t="s">
        <v>1</v>
      </c>
      <c r="B1" s="2" t="s">
        <v>4</v>
      </c>
      <c r="C1" s="6" t="s">
        <v>5</v>
      </c>
      <c r="D1" s="2" t="s">
        <v>11</v>
      </c>
      <c r="E1" s="2" t="s">
        <v>14</v>
      </c>
      <c r="F1" s="2" t="s">
        <v>15</v>
      </c>
      <c r="G1" s="2" t="s">
        <v>16</v>
      </c>
      <c r="H1" s="2" t="s">
        <v>17</v>
      </c>
      <c r="I1" s="12" t="s">
        <v>19</v>
      </c>
      <c r="J1" s="2" t="s">
        <v>22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7">
        <v>46235.0</v>
      </c>
      <c r="B2" s="18" t="s">
        <v>25</v>
      </c>
      <c r="C2" s="19">
        <v>0.5</v>
      </c>
      <c r="D2" s="20">
        <v>300.0</v>
      </c>
      <c r="E2" s="20">
        <v>0.0</v>
      </c>
      <c r="F2" s="20">
        <v>100.0</v>
      </c>
      <c r="G2" s="20">
        <v>0.0</v>
      </c>
      <c r="H2" s="20">
        <f t="shared" ref="H2:H32" si="1">sum(D2:G2)</f>
        <v>400</v>
      </c>
      <c r="I2" s="27">
        <f t="shared" ref="I2:I32" si="2">H2*1.75%</f>
        <v>7</v>
      </c>
      <c r="J2" s="20">
        <f t="shared" ref="J2:J32" si="3">H2-I2</f>
        <v>393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7">
        <v>46236.0</v>
      </c>
      <c r="B3" s="18" t="s">
        <v>40</v>
      </c>
      <c r="C3" s="19">
        <v>0.0</v>
      </c>
      <c r="D3" s="20">
        <v>0.0</v>
      </c>
      <c r="E3" s="20">
        <v>396.0</v>
      </c>
      <c r="F3" s="20">
        <v>0.0</v>
      </c>
      <c r="G3" s="20">
        <v>0.0</v>
      </c>
      <c r="H3" s="20">
        <f t="shared" si="1"/>
        <v>396</v>
      </c>
      <c r="I3" s="27">
        <f t="shared" si="2"/>
        <v>6.93</v>
      </c>
      <c r="J3" s="20">
        <f t="shared" si="3"/>
        <v>389.07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7">
        <v>46237.0</v>
      </c>
      <c r="B4" s="18" t="s">
        <v>44</v>
      </c>
      <c r="C4" s="36">
        <v>0.0</v>
      </c>
      <c r="D4" s="20">
        <v>0.0</v>
      </c>
      <c r="E4" s="20">
        <v>0.0</v>
      </c>
      <c r="F4" s="20">
        <v>0.0</v>
      </c>
      <c r="G4" s="20">
        <v>0.0</v>
      </c>
      <c r="H4" s="20">
        <f t="shared" si="1"/>
        <v>0</v>
      </c>
      <c r="I4" s="27">
        <f t="shared" si="2"/>
        <v>0</v>
      </c>
      <c r="J4" s="20">
        <f t="shared" si="3"/>
        <v>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7">
        <v>46238.0</v>
      </c>
      <c r="B5" s="18" t="s">
        <v>49</v>
      </c>
      <c r="C5" s="36">
        <v>0.0</v>
      </c>
      <c r="D5" s="20">
        <v>0.0</v>
      </c>
      <c r="E5" s="20">
        <v>0.0</v>
      </c>
      <c r="F5" s="20">
        <v>0.0</v>
      </c>
      <c r="G5" s="20">
        <v>0.0</v>
      </c>
      <c r="H5" s="20">
        <f t="shared" si="1"/>
        <v>0</v>
      </c>
      <c r="I5" s="27">
        <f t="shared" si="2"/>
        <v>0</v>
      </c>
      <c r="J5" s="20">
        <f t="shared" si="3"/>
        <v>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7">
        <v>46239.0</v>
      </c>
      <c r="B6" s="18" t="s">
        <v>51</v>
      </c>
      <c r="C6" s="36">
        <v>0.0</v>
      </c>
      <c r="D6" s="20">
        <v>0.0</v>
      </c>
      <c r="E6" s="20">
        <v>0.0</v>
      </c>
      <c r="F6" s="20">
        <v>0.0</v>
      </c>
      <c r="G6" s="20">
        <v>0.0</v>
      </c>
      <c r="H6" s="20">
        <f t="shared" si="1"/>
        <v>0</v>
      </c>
      <c r="I6" s="27">
        <f t="shared" si="2"/>
        <v>0</v>
      </c>
      <c r="J6" s="20">
        <f t="shared" si="3"/>
        <v>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7">
        <v>46240.0</v>
      </c>
      <c r="B7" s="18" t="s">
        <v>54</v>
      </c>
      <c r="C7" s="36">
        <v>0.0</v>
      </c>
      <c r="D7" s="20">
        <v>0.0</v>
      </c>
      <c r="E7" s="20">
        <v>0.0</v>
      </c>
      <c r="F7" s="44">
        <v>0.0</v>
      </c>
      <c r="G7" s="20">
        <v>0.0</v>
      </c>
      <c r="H7" s="20">
        <f t="shared" si="1"/>
        <v>0</v>
      </c>
      <c r="I7" s="27">
        <f t="shared" si="2"/>
        <v>0</v>
      </c>
      <c r="J7" s="20">
        <f t="shared" si="3"/>
        <v>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7">
        <v>46241.0</v>
      </c>
      <c r="B8" s="18" t="s">
        <v>58</v>
      </c>
      <c r="C8" s="36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f t="shared" si="1"/>
        <v>0</v>
      </c>
      <c r="I8" s="27">
        <f t="shared" si="2"/>
        <v>0</v>
      </c>
      <c r="J8" s="20">
        <f t="shared" si="3"/>
        <v>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7">
        <v>46242.0</v>
      </c>
      <c r="B9" s="18" t="s">
        <v>25</v>
      </c>
      <c r="C9" s="36">
        <v>1.5</v>
      </c>
      <c r="D9" s="20">
        <v>1047.0</v>
      </c>
      <c r="E9" s="20">
        <v>600.0</v>
      </c>
      <c r="F9" s="44">
        <v>0.0</v>
      </c>
      <c r="G9" s="20">
        <v>0.0</v>
      </c>
      <c r="H9" s="20">
        <f t="shared" si="1"/>
        <v>1647</v>
      </c>
      <c r="I9" s="27">
        <f t="shared" si="2"/>
        <v>28.8225</v>
      </c>
      <c r="J9" s="20">
        <f t="shared" si="3"/>
        <v>1618.1775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7">
        <v>46243.0</v>
      </c>
      <c r="B10" s="18" t="s">
        <v>40</v>
      </c>
      <c r="C10" s="36">
        <v>2.0</v>
      </c>
      <c r="D10" s="20">
        <v>1400.0</v>
      </c>
      <c r="E10" s="20">
        <v>0.0</v>
      </c>
      <c r="F10" s="20">
        <v>550.0</v>
      </c>
      <c r="G10" s="20">
        <v>0.0</v>
      </c>
      <c r="H10" s="20">
        <f t="shared" si="1"/>
        <v>1950</v>
      </c>
      <c r="I10" s="27">
        <f t="shared" si="2"/>
        <v>34.125</v>
      </c>
      <c r="J10" s="20">
        <f t="shared" si="3"/>
        <v>1915.875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7">
        <v>46244.0</v>
      </c>
      <c r="B11" s="18" t="s">
        <v>44</v>
      </c>
      <c r="C11" s="36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f t="shared" si="1"/>
        <v>0</v>
      </c>
      <c r="I11" s="27">
        <f t="shared" si="2"/>
        <v>0</v>
      </c>
      <c r="J11" s="20">
        <f t="shared" si="3"/>
        <v>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7">
        <v>46245.0</v>
      </c>
      <c r="B12" s="18" t="s">
        <v>49</v>
      </c>
      <c r="C12" s="36">
        <v>1.5</v>
      </c>
      <c r="D12" s="20">
        <v>1047.0</v>
      </c>
      <c r="E12" s="20">
        <v>0.0</v>
      </c>
      <c r="F12" s="20">
        <v>275.0</v>
      </c>
      <c r="G12" s="20">
        <v>0.0</v>
      </c>
      <c r="H12" s="20">
        <f t="shared" si="1"/>
        <v>1322</v>
      </c>
      <c r="I12" s="27">
        <f t="shared" si="2"/>
        <v>23.135</v>
      </c>
      <c r="J12" s="20">
        <f t="shared" si="3"/>
        <v>1298.865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7">
        <v>46246.0</v>
      </c>
      <c r="B13" s="18" t="s">
        <v>51</v>
      </c>
      <c r="C13" s="36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f t="shared" si="1"/>
        <v>0</v>
      </c>
      <c r="I13" s="27">
        <f t="shared" si="2"/>
        <v>0</v>
      </c>
      <c r="J13" s="20">
        <f t="shared" si="3"/>
        <v>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7">
        <v>46247.0</v>
      </c>
      <c r="B14" s="18" t="s">
        <v>54</v>
      </c>
      <c r="C14" s="36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f t="shared" si="1"/>
        <v>0</v>
      </c>
      <c r="I14" s="27">
        <f t="shared" si="2"/>
        <v>0</v>
      </c>
      <c r="J14" s="20">
        <f t="shared" si="3"/>
        <v>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7">
        <v>46248.0</v>
      </c>
      <c r="B15" s="18" t="s">
        <v>58</v>
      </c>
      <c r="C15" s="36">
        <v>0.5</v>
      </c>
      <c r="D15" s="20">
        <v>349.0</v>
      </c>
      <c r="E15" s="20">
        <v>0.0</v>
      </c>
      <c r="F15" s="20">
        <v>250.0</v>
      </c>
      <c r="G15" s="20">
        <v>0.0</v>
      </c>
      <c r="H15" s="20">
        <f t="shared" si="1"/>
        <v>599</v>
      </c>
      <c r="I15" s="27">
        <f t="shared" si="2"/>
        <v>10.4825</v>
      </c>
      <c r="J15" s="20">
        <f t="shared" si="3"/>
        <v>588.5175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7">
        <v>46249.0</v>
      </c>
      <c r="B16" s="18" t="s">
        <v>25</v>
      </c>
      <c r="C16" s="36">
        <v>2.0</v>
      </c>
      <c r="D16" s="20">
        <v>698.0</v>
      </c>
      <c r="E16" s="20">
        <v>480.0</v>
      </c>
      <c r="F16" s="20">
        <v>600.0</v>
      </c>
      <c r="G16" s="20">
        <v>0.0</v>
      </c>
      <c r="H16" s="20">
        <f t="shared" si="1"/>
        <v>1778</v>
      </c>
      <c r="I16" s="27">
        <f t="shared" si="2"/>
        <v>31.115</v>
      </c>
      <c r="J16" s="20">
        <f t="shared" si="3"/>
        <v>1746.885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7">
        <v>46250.0</v>
      </c>
      <c r="B17" s="18" t="s">
        <v>40</v>
      </c>
      <c r="C17" s="36">
        <v>0.0</v>
      </c>
      <c r="D17" s="44">
        <v>0.0</v>
      </c>
      <c r="E17" s="20">
        <v>0.0</v>
      </c>
      <c r="F17" s="20">
        <v>0.0</v>
      </c>
      <c r="G17" s="20">
        <v>0.0</v>
      </c>
      <c r="H17" s="20">
        <f t="shared" si="1"/>
        <v>0</v>
      </c>
      <c r="I17" s="27">
        <f t="shared" si="2"/>
        <v>0</v>
      </c>
      <c r="J17" s="20">
        <f t="shared" si="3"/>
        <v>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7">
        <v>46251.0</v>
      </c>
      <c r="B18" s="18" t="s">
        <v>44</v>
      </c>
      <c r="C18" s="36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f t="shared" si="1"/>
        <v>0</v>
      </c>
      <c r="I18" s="27">
        <f t="shared" si="2"/>
        <v>0</v>
      </c>
      <c r="J18" s="20">
        <f t="shared" si="3"/>
        <v>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7">
        <v>46252.0</v>
      </c>
      <c r="B19" s="18" t="s">
        <v>49</v>
      </c>
      <c r="C19" s="36">
        <v>1.0</v>
      </c>
      <c r="D19" s="20">
        <v>698.0</v>
      </c>
      <c r="E19" s="20">
        <v>0.0</v>
      </c>
      <c r="F19" s="20">
        <v>200.0</v>
      </c>
      <c r="G19" s="20">
        <v>0.0</v>
      </c>
      <c r="H19" s="20">
        <f t="shared" si="1"/>
        <v>898</v>
      </c>
      <c r="I19" s="27">
        <f t="shared" si="2"/>
        <v>15.715</v>
      </c>
      <c r="J19" s="20">
        <f t="shared" si="3"/>
        <v>882.285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7">
        <v>46253.0</v>
      </c>
      <c r="B20" s="18" t="s">
        <v>51</v>
      </c>
      <c r="C20" s="36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f t="shared" si="1"/>
        <v>0</v>
      </c>
      <c r="I20" s="27">
        <f t="shared" si="2"/>
        <v>0</v>
      </c>
      <c r="J20" s="20">
        <f t="shared" si="3"/>
        <v>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7">
        <v>46254.0</v>
      </c>
      <c r="B21" s="18" t="s">
        <v>54</v>
      </c>
      <c r="C21" s="36">
        <v>1.5</v>
      </c>
      <c r="D21" s="20">
        <v>1047.0</v>
      </c>
      <c r="E21" s="20">
        <v>0.0</v>
      </c>
      <c r="F21" s="20">
        <v>300.0</v>
      </c>
      <c r="G21" s="20">
        <v>0.0</v>
      </c>
      <c r="H21" s="20">
        <f t="shared" si="1"/>
        <v>1347</v>
      </c>
      <c r="I21" s="27">
        <f t="shared" si="2"/>
        <v>23.5725</v>
      </c>
      <c r="J21" s="20">
        <f t="shared" si="3"/>
        <v>1323.4275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7">
        <v>46255.0</v>
      </c>
      <c r="B22" s="18" t="s">
        <v>58</v>
      </c>
      <c r="C22" s="36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f t="shared" si="1"/>
        <v>0</v>
      </c>
      <c r="I22" s="27">
        <f t="shared" si="2"/>
        <v>0</v>
      </c>
      <c r="J22" s="20">
        <f t="shared" si="3"/>
        <v>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7">
        <v>46256.0</v>
      </c>
      <c r="B23" s="18" t="s">
        <v>25</v>
      </c>
      <c r="C23" s="36">
        <v>2.0</v>
      </c>
      <c r="D23" s="20">
        <v>1396.0</v>
      </c>
      <c r="E23" s="20">
        <v>0.0</v>
      </c>
      <c r="F23" s="20">
        <v>450.0</v>
      </c>
      <c r="G23" s="20">
        <v>0.0</v>
      </c>
      <c r="H23" s="20">
        <f t="shared" si="1"/>
        <v>1846</v>
      </c>
      <c r="I23" s="27">
        <f t="shared" si="2"/>
        <v>32.305</v>
      </c>
      <c r="J23" s="20">
        <f t="shared" si="3"/>
        <v>1813.695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7">
        <v>46257.0</v>
      </c>
      <c r="B24" s="18" t="s">
        <v>40</v>
      </c>
      <c r="C24" s="36">
        <v>0.0</v>
      </c>
      <c r="D24" s="20">
        <v>0.0</v>
      </c>
      <c r="E24" s="20">
        <v>0.0</v>
      </c>
      <c r="F24" s="20">
        <v>200.0</v>
      </c>
      <c r="G24" s="20">
        <v>0.0</v>
      </c>
      <c r="H24" s="20">
        <f t="shared" si="1"/>
        <v>200</v>
      </c>
      <c r="I24" s="27">
        <f t="shared" si="2"/>
        <v>3.5</v>
      </c>
      <c r="J24" s="20">
        <f t="shared" si="3"/>
        <v>196.5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7">
        <v>46258.0</v>
      </c>
      <c r="B25" s="18" t="s">
        <v>44</v>
      </c>
      <c r="C25" s="36">
        <v>0.0</v>
      </c>
      <c r="D25" s="20">
        <v>0.0</v>
      </c>
      <c r="E25" s="20">
        <v>0.0</v>
      </c>
      <c r="F25" s="20">
        <v>200.0</v>
      </c>
      <c r="G25" s="20">
        <v>0.0</v>
      </c>
      <c r="H25" s="20">
        <f t="shared" si="1"/>
        <v>200</v>
      </c>
      <c r="I25" s="27">
        <f t="shared" si="2"/>
        <v>3.5</v>
      </c>
      <c r="J25" s="20">
        <f t="shared" si="3"/>
        <v>196.5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7">
        <v>46259.0</v>
      </c>
      <c r="B26" s="18" t="s">
        <v>49</v>
      </c>
      <c r="C26" s="36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f t="shared" si="1"/>
        <v>0</v>
      </c>
      <c r="I26" s="27">
        <f t="shared" si="2"/>
        <v>0</v>
      </c>
      <c r="J26" s="20">
        <f t="shared" si="3"/>
        <v>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7">
        <v>46260.0</v>
      </c>
      <c r="B27" s="18" t="s">
        <v>51</v>
      </c>
      <c r="C27" s="36">
        <v>0.0</v>
      </c>
      <c r="D27" s="20">
        <v>0.0</v>
      </c>
      <c r="E27" s="20">
        <v>0.0</v>
      </c>
      <c r="F27" s="20">
        <v>100.0</v>
      </c>
      <c r="G27" s="20">
        <v>0.0</v>
      </c>
      <c r="H27" s="20">
        <f t="shared" si="1"/>
        <v>100</v>
      </c>
      <c r="I27" s="27">
        <f t="shared" si="2"/>
        <v>1.75</v>
      </c>
      <c r="J27" s="20">
        <f t="shared" si="3"/>
        <v>98.25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7">
        <v>46261.0</v>
      </c>
      <c r="B28" s="18" t="s">
        <v>54</v>
      </c>
      <c r="C28" s="36">
        <v>0.5</v>
      </c>
      <c r="D28" s="20">
        <v>349.0</v>
      </c>
      <c r="E28" s="20">
        <v>0.0</v>
      </c>
      <c r="F28" s="20">
        <v>200.0</v>
      </c>
      <c r="G28" s="20">
        <v>0.0</v>
      </c>
      <c r="H28" s="20">
        <f t="shared" si="1"/>
        <v>549</v>
      </c>
      <c r="I28" s="27">
        <f t="shared" si="2"/>
        <v>9.6075</v>
      </c>
      <c r="J28" s="20">
        <f t="shared" si="3"/>
        <v>539.3925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7">
        <v>46262.0</v>
      </c>
      <c r="B29" s="18" t="s">
        <v>58</v>
      </c>
      <c r="C29" s="36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f t="shared" si="1"/>
        <v>0</v>
      </c>
      <c r="I29" s="27">
        <f t="shared" si="2"/>
        <v>0</v>
      </c>
      <c r="J29" s="20">
        <f t="shared" si="3"/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7">
        <v>46263.0</v>
      </c>
      <c r="B30" s="18" t="s">
        <v>25</v>
      </c>
      <c r="C30" s="36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f t="shared" si="1"/>
        <v>0</v>
      </c>
      <c r="I30" s="27">
        <f t="shared" si="2"/>
        <v>0</v>
      </c>
      <c r="J30" s="20">
        <f t="shared" si="3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7">
        <v>46264.0</v>
      </c>
      <c r="B31" s="18" t="s">
        <v>40</v>
      </c>
      <c r="C31" s="19">
        <v>0.0</v>
      </c>
      <c r="D31" s="54">
        <v>0.0</v>
      </c>
      <c r="E31" s="54">
        <v>0.0</v>
      </c>
      <c r="F31" s="54">
        <v>75.0</v>
      </c>
      <c r="G31" s="54">
        <v>0.0</v>
      </c>
      <c r="H31" s="20">
        <f t="shared" si="1"/>
        <v>75</v>
      </c>
      <c r="I31" s="27">
        <f t="shared" si="2"/>
        <v>1.3125</v>
      </c>
      <c r="J31" s="20">
        <f t="shared" si="3"/>
        <v>73.6875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7">
        <v>46265.0</v>
      </c>
      <c r="B32" s="18" t="s">
        <v>44</v>
      </c>
      <c r="C32" s="19">
        <v>0.0</v>
      </c>
      <c r="D32" s="54">
        <v>0.0</v>
      </c>
      <c r="E32" s="54">
        <v>0.0</v>
      </c>
      <c r="F32" s="54">
        <v>0.0</v>
      </c>
      <c r="G32" s="54">
        <v>0.0</v>
      </c>
      <c r="H32" s="20">
        <f t="shared" si="1"/>
        <v>0</v>
      </c>
      <c r="I32" s="27">
        <f t="shared" si="2"/>
        <v>0</v>
      </c>
      <c r="J32" s="20">
        <f t="shared" si="3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55" t="s">
        <v>45</v>
      </c>
      <c r="B33" s="56"/>
      <c r="C33" s="46">
        <f t="shared" ref="C33:I33" si="4">SUM(C2:C32)</f>
        <v>13</v>
      </c>
      <c r="D33" s="46">
        <f t="shared" si="4"/>
        <v>8331</v>
      </c>
      <c r="E33" s="46">
        <f t="shared" si="4"/>
        <v>1476</v>
      </c>
      <c r="F33" s="46">
        <f t="shared" si="4"/>
        <v>3500</v>
      </c>
      <c r="G33" s="46">
        <f t="shared" si="4"/>
        <v>0</v>
      </c>
      <c r="H33" s="46">
        <f t="shared" si="4"/>
        <v>13307</v>
      </c>
      <c r="I33" s="46">
        <f t="shared" si="4"/>
        <v>232.8725</v>
      </c>
      <c r="J33" s="46">
        <f>SUM(J1:J32)</f>
        <v>13074.1275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21" t="s">
        <v>0</v>
      </c>
      <c r="B1" s="23" t="s">
        <v>1</v>
      </c>
      <c r="C1" s="23" t="s">
        <v>27</v>
      </c>
      <c r="D1" s="23" t="s">
        <v>28</v>
      </c>
      <c r="E1" s="24" t="s">
        <v>29</v>
      </c>
      <c r="F1" s="23" t="s">
        <v>22</v>
      </c>
      <c r="G1" s="23" t="s">
        <v>30</v>
      </c>
      <c r="H1" s="23" t="s">
        <v>32</v>
      </c>
      <c r="I1" s="23" t="s">
        <v>33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"/>
      <c r="B2" s="28" t="s">
        <v>2</v>
      </c>
      <c r="C2" s="30">
        <v>32924.0</v>
      </c>
      <c r="D2" s="30">
        <v>2304.0</v>
      </c>
      <c r="E2" s="32">
        <v>414.0</v>
      </c>
      <c r="F2" s="34">
        <f>C2-D2-E2</f>
        <v>30206</v>
      </c>
      <c r="G2" s="30">
        <v>164.0</v>
      </c>
      <c r="H2" s="30">
        <v>33.0</v>
      </c>
      <c r="I2" s="30">
        <f>F2-G2-H2</f>
        <v>30009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7" t="s">
        <v>45</v>
      </c>
      <c r="B3" s="37"/>
      <c r="C3" s="39">
        <f t="shared" ref="C3:F3" si="1">SUM(C2)</f>
        <v>32924</v>
      </c>
      <c r="D3" s="39">
        <f t="shared" si="1"/>
        <v>2304</v>
      </c>
      <c r="E3" s="39">
        <f t="shared" si="1"/>
        <v>414</v>
      </c>
      <c r="F3" s="41">
        <f t="shared" si="1"/>
        <v>30206</v>
      </c>
      <c r="G3" s="42"/>
      <c r="H3" s="42"/>
      <c r="I3" s="39">
        <f>SUM(I2)</f>
        <v>30009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7.38"/>
    <col customWidth="1" min="5" max="5" width="15.25"/>
  </cols>
  <sheetData>
    <row r="1">
      <c r="A1" s="5" t="s">
        <v>3</v>
      </c>
      <c r="B1" s="5" t="s">
        <v>6</v>
      </c>
      <c r="C1" s="5" t="s">
        <v>8</v>
      </c>
      <c r="D1" s="5" t="s">
        <v>9</v>
      </c>
      <c r="E1" s="5" t="s">
        <v>10</v>
      </c>
    </row>
    <row r="2">
      <c r="A2" s="9" t="s">
        <v>13</v>
      </c>
      <c r="B2" s="10" t="s">
        <v>18</v>
      </c>
      <c r="C2" s="11" t="s">
        <v>20</v>
      </c>
      <c r="D2" s="14" t="s">
        <v>21</v>
      </c>
      <c r="E2" s="15">
        <v>18000.0</v>
      </c>
    </row>
  </sheetData>
  <drawing r:id="rId1"/>
</worksheet>
</file>