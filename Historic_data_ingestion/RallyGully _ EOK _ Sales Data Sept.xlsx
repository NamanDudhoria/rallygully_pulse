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B2B" sheetId="5" r:id="rId9"/>
    <sheet state="visible" name="Academy" sheetId="6" r:id="rId10"/>
    <sheet state="visible" name="F&amp;B" sheetId="7" r:id="rId11"/>
  </sheets>
  <definedNames/>
  <calcPr/>
</workbook>
</file>

<file path=xl/sharedStrings.xml><?xml version="1.0" encoding="utf-8"?>
<sst xmlns="http://schemas.openxmlformats.org/spreadsheetml/2006/main" count="135" uniqueCount="90">
  <si>
    <t>1 - 30 Sept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</si>
  <si>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</si>
  <si>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</si>
  <si>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</si>
  <si>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</si>
  <si>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</si>
  <si>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</si>
  <si>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</si>
  <si>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</si>
  <si>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</si>
  <si>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</si>
  <si>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</si>
  <si>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</si>
  <si>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</si>
  <si>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</si>
  <si>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</si>
  <si>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</si>
  <si>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Partnerships</t>
  </si>
  <si>
    <t>Academy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</si>
  <si>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</si>
  <si>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</si>
  <si>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</si>
  <si>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</si>
  <si>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</si>
  <si>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</si>
  <si>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</si>
  <si>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</si>
  <si>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</si>
  <si>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</si>
  <si>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</si>
  <si>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</si>
  <si>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</si>
  <si>
    <t>Venue Manager + Cleaner</t>
  </si>
  <si>
    <t>Marketing, Branding &amp; Community</t>
  </si>
  <si>
    <t>Balls Expense</t>
  </si>
  <si>
    <t>Branding Revamp</t>
  </si>
  <si>
    <t>F&amp;B Inventory Cost</t>
  </si>
  <si>
    <t>Total Expenses</t>
  </si>
  <si>
    <t>Net Profit (Revenue - Expenses)</t>
  </si>
  <si>
    <t>School's Profit Share (65%)</t>
  </si>
  <si>
    <t>RallyGully's Profit Share (35%)</t>
  </si>
  <si>
    <t>Date</t>
  </si>
  <si>
    <t>Day</t>
  </si>
  <si>
    <t>Offline booking hours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</si>
  <si>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</si>
  <si>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</si>
  <si>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</si>
  <si>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</si>
  <si>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</si>
  <si>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</si>
  <si>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Tuesday</t>
  </si>
  <si>
    <t>Wednesday</t>
  </si>
  <si>
    <t>Thursday</t>
  </si>
  <si>
    <t>Friday</t>
  </si>
  <si>
    <t>Saturday</t>
  </si>
  <si>
    <t>Sunday</t>
  </si>
  <si>
    <t>Monday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</si>
  <si>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</si>
  <si>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</si>
  <si>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</si>
  <si>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</si>
  <si>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</si>
  <si>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</si>
  <si>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</si>
  <si>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</si>
  <si>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Sport</t>
  </si>
  <si>
    <t>Type</t>
  </si>
  <si>
    <t>Amt</t>
  </si>
  <si>
    <t>Commission</t>
  </si>
  <si>
    <t>Event Expenses</t>
  </si>
  <si>
    <t xml:space="preserve">TDS </t>
  </si>
  <si>
    <t>30 Sept</t>
  </si>
  <si>
    <t>DUPR Shuffle</t>
  </si>
  <si>
    <t>Start Month</t>
  </si>
  <si>
    <t>Partnership Type</t>
  </si>
  <si>
    <t>Name of Brand</t>
  </si>
  <si>
    <t>Deliverables</t>
  </si>
  <si>
    <t>Amount (₹)</t>
  </si>
  <si>
    <t>Sep</t>
  </si>
  <si>
    <t>Product Shoot</t>
  </si>
  <si>
    <t>Savikalpa</t>
  </si>
  <si>
    <t>3 Hours of courts</t>
  </si>
  <si>
    <t>Mastercard Corporate Package</t>
  </si>
  <si>
    <t>Mastercard</t>
  </si>
  <si>
    <t>1 Court Daily</t>
  </si>
  <si>
    <t>Sports</t>
  </si>
  <si>
    <t>Month</t>
  </si>
  <si>
    <t>Sept</t>
  </si>
  <si>
    <t>Paid to brand (75%)</t>
  </si>
  <si>
    <t>Blended Margin (25%)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</si>
</sst>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d m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2" fontId="2" numFmtId="165" xfId="0" applyAlignment="1" applyBorder="1" applyFill="1" applyFont="1" applyNumberForma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readingOrder="0" shrinkToFit="0" vertical="bottom" wrapText="1"/>
    </xf>
    <xf borderId="3" fillId="0" fontId="2" numFmtId="166" xfId="0" applyAlignment="1" applyBorder="1" applyFont="1" applyNumberFormat="1">
      <alignment horizontal="right" vertical="bottom"/>
    </xf>
    <xf borderId="3" fillId="0" fontId="2" numFmtId="166" xfId="0" applyAlignment="1" applyBorder="1" applyFont="1" applyNumberFormat="1">
      <alignment shrinkToFit="0" vertical="bottom" wrapText="1"/>
    </xf>
    <xf borderId="3" fillId="0" fontId="2" numFmtId="166" xfId="0" applyAlignment="1" applyBorder="1" applyFont="1" applyNumberFormat="1">
      <alignment readingOrder="0" vertical="bottom"/>
    </xf>
    <xf borderId="3" fillId="0" fontId="2" numFmtId="166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3" fillId="3" fontId="4" numFmtId="168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3" fillId="3" fontId="4" numFmtId="166" xfId="0" applyAlignment="1" applyBorder="1" applyFill="1" applyFont="1" applyNumberFormat="1">
      <alignment horizontal="right" vertical="bottom"/>
    </xf>
    <xf borderId="3" fillId="2" fontId="2" numFmtId="166" xfId="0" applyAlignment="1" applyBorder="1" applyFill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3" fillId="2" fontId="4" numFmtId="4" xfId="0" applyAlignment="1" applyBorder="1" applyFill="1" applyFont="1" applyNumberFormat="1">
      <alignment vertical="bottom"/>
    </xf>
    <xf borderId="3" fillId="2" fontId="5" numFmtId="165" xfId="0" applyAlignment="1" applyBorder="1" applyFill="1" applyFont="1" applyNumberFormat="1">
      <alignment horizontal="center" readingOrder="0" vertical="bottom"/>
    </xf>
    <xf borderId="0" fillId="2" fontId="6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vertical="bottom"/>
    </xf>
    <xf borderId="3" fillId="2" fontId="2" numFmtId="0" xfId="0" applyAlignment="1" applyBorder="1" applyFill="1" applyFont="1">
      <alignment horizontal="center" readingOrder="0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5" xfId="0" applyAlignment="1" applyBorder="1" applyFill="1" applyFont="1" applyNumberFormat="1">
      <alignment horizontal="center" readingOrder="0" vertical="bottom"/>
    </xf>
    <xf borderId="3" fillId="2" fontId="2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horizontal="right"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0" fontId="4" numFmtId="168" xfId="0" applyAlignment="1" applyBorder="1" applyFont="1" applyNumberFormat="1">
      <alignment horizontal="right" readingOrder="0" vertical="bottom"/>
    </xf>
    <xf borderId="3" fillId="3" fontId="4" numFmtId="164" xfId="0" applyAlignment="1" applyBorder="1" applyFill="1" applyFont="1" applyNumberFormat="1">
      <alignment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2" fontId="2" numFmtId="0" xfId="0" applyAlignment="1" applyBorder="1" applyFill="1" applyFon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0" fontId="7" numFmtId="0" xfId="0" applyAlignment="1" applyBorder="1" applyFont="1">
      <alignment readingOrder="0"/>
    </xf>
    <xf borderId="3" fillId="0" fontId="7" numFmtId="165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138806</v>
      </c>
      <c r="E5" s="5"/>
    </row>
    <row r="6">
      <c r="B6" s="8" t="s">
        <v>5</v>
      </c>
      <c r="C6" s="9">
        <f>sum(C7:C11)</f>
        <v>121236</v>
      </c>
      <c r="E6" s="5"/>
    </row>
    <row r="7" outlineLevel="1">
      <c r="B7" s="10" t="s">
        <v>6</v>
      </c>
      <c r="C7" s="11">
        <f>District!C4</f>
        <v>121236</v>
      </c>
      <c r="E7" s="5"/>
    </row>
    <row r="8" outlineLevel="1">
      <c r="B8" s="10" t="s">
        <v>7</v>
      </c>
      <c r="C8" s="12">
        <v>0.0</v>
      </c>
      <c r="E8" s="5"/>
    </row>
    <row r="9" outlineLevel="1">
      <c r="B9" s="10" t="s">
        <v>8</v>
      </c>
      <c r="C9" s="12">
        <v>0.0</v>
      </c>
      <c r="E9" s="5"/>
    </row>
    <row r="10" outlineLevel="1">
      <c r="B10" s="13" t="s">
        <v>9</v>
      </c>
      <c r="C10" s="12">
        <v>0.0</v>
      </c>
      <c r="E10" s="14"/>
    </row>
    <row r="11" outlineLevel="1">
      <c r="B11" s="10" t="s">
        <v>10</v>
      </c>
      <c r="C11" s="12">
        <v>0.0</v>
      </c>
      <c r="E11" s="14"/>
    </row>
    <row r="12">
      <c r="B12" s="15" t="s">
        <v>11</v>
      </c>
      <c r="C12" s="9">
        <f>sum(C13:C14)</f>
        <v>17570</v>
      </c>
    </row>
    <row r="13" outlineLevel="1">
      <c r="B13" s="10" t="s">
        <v>12</v>
      </c>
      <c r="C13" s="11">
        <f>'Offline &amp; RG Community'!D33</f>
        <v>17570</v>
      </c>
    </row>
    <row r="14" outlineLevel="1">
      <c r="B14" s="16" t="s">
        <v>13</v>
      </c>
      <c r="C14" s="12">
        <v>0.0</v>
      </c>
      <c r="E14" s="5"/>
    </row>
    <row r="15">
      <c r="B15" s="15" t="s">
        <v>14</v>
      </c>
      <c r="C15" s="9">
        <f>sum(C16:C18)</f>
        <v>42490</v>
      </c>
      <c r="E15" s="5"/>
    </row>
    <row r="16" outlineLevel="1">
      <c r="B16" s="13" t="s">
        <v>15</v>
      </c>
      <c r="C16" s="11">
        <f>'Offline &amp; RG Community'!E33</f>
        <v>35500</v>
      </c>
      <c r="E16" s="5"/>
    </row>
    <row r="17" outlineLevel="1">
      <c r="B17" s="13" t="s">
        <v>16</v>
      </c>
      <c r="C17" s="12">
        <f>'Social EventsTournaments'!D4</f>
        <v>6990</v>
      </c>
    </row>
    <row r="18">
      <c r="B18" s="17" t="s">
        <v>17</v>
      </c>
      <c r="C18" s="12">
        <v>0.0</v>
      </c>
      <c r="E18" s="5"/>
    </row>
    <row r="19">
      <c r="B19" s="15" t="s">
        <v>18</v>
      </c>
      <c r="C19" s="9">
        <f>Academy!C2</f>
        <v>3500</v>
      </c>
      <c r="E19" s="5"/>
    </row>
    <row r="20">
      <c r="B20" s="18" t="s">
        <v>19</v>
      </c>
      <c r="C20" s="9">
        <f>sum(C21,C22)</f>
        <v>20970</v>
      </c>
    </row>
    <row r="21" outlineLevel="1">
      <c r="B21" s="10" t="s">
        <v>20</v>
      </c>
      <c r="C21" s="19">
        <v>0.0</v>
      </c>
    </row>
    <row r="22" outlineLevel="1">
      <c r="B22" s="13" t="s">
        <v>21</v>
      </c>
      <c r="C22" s="20">
        <f>B2B!E4</f>
        <v>20970</v>
      </c>
    </row>
    <row r="23">
      <c r="B23" s="8" t="s">
        <v>22</v>
      </c>
      <c r="C23" s="9">
        <f>sum(C24:C26)</f>
        <v>11760</v>
      </c>
    </row>
    <row r="24" outlineLevel="1">
      <c r="B24" s="10" t="s">
        <v>23</v>
      </c>
      <c r="C24" s="19">
        <f>'Offline &amp; RG Community'!F33</f>
        <v>5750</v>
      </c>
    </row>
    <row r="25" outlineLevel="1">
      <c r="B25" s="10" t="s">
        <v>24</v>
      </c>
      <c r="C25" s="12">
        <v>0.0</v>
      </c>
    </row>
    <row r="26" outlineLevel="1">
      <c r="B26" s="10" t="s">
        <v>25</v>
      </c>
      <c r="C26" s="19">
        <f>'F&amp;B'!B32</f>
        <v>6010</v>
      </c>
    </row>
    <row r="27">
      <c r="B27" s="8" t="s">
        <v>26</v>
      </c>
      <c r="C27" s="9">
        <v>0.0</v>
      </c>
    </row>
    <row r="28">
      <c r="B28" s="21" t="s">
        <v>27</v>
      </c>
      <c r="C28" s="22">
        <f>C5+C15+C19+C20+C23+C27</f>
        <v>217526</v>
      </c>
    </row>
    <row r="29">
      <c r="B29" s="23" t="s">
        <v>28</v>
      </c>
      <c r="C29" s="24">
        <f>C28-(C28/1.18)</f>
        <v>33181.9322</v>
      </c>
    </row>
    <row r="30">
      <c r="B30" s="25" t="s">
        <v>29</v>
      </c>
      <c r="C30" s="24">
        <f>C28-C29</f>
        <v>184344.0678</v>
      </c>
    </row>
    <row r="31">
      <c r="B31" s="23" t="s">
        <v>30</v>
      </c>
      <c r="C31" s="24">
        <f>'Offline &amp; RG Community'!H33+District!D4+District!E4+'Social EventsTournaments'!E4+Academy!D2+'F&amp;B'!C32+'F&amp;B'!E32</f>
        <v>14734.775</v>
      </c>
    </row>
    <row r="32">
      <c r="B32" s="26" t="s">
        <v>31</v>
      </c>
      <c r="C32" s="24">
        <f>C28-C29-C31</f>
        <v>169609.2928</v>
      </c>
    </row>
    <row r="33">
      <c r="B33" s="27"/>
      <c r="C33" s="24"/>
    </row>
    <row r="34">
      <c r="B34" s="10" t="s">
        <v>32</v>
      </c>
      <c r="C34" s="20">
        <v>60164.0</v>
      </c>
    </row>
    <row r="35">
      <c r="B35" s="10" t="s">
        <v>33</v>
      </c>
      <c r="C35" s="19">
        <v>15000.0</v>
      </c>
    </row>
    <row r="36">
      <c r="B36" s="10" t="s">
        <v>34</v>
      </c>
      <c r="C36" s="19">
        <v>9500.0</v>
      </c>
    </row>
    <row r="37">
      <c r="B37" s="17" t="s">
        <v>35</v>
      </c>
      <c r="C37" s="20">
        <v>12595.0</v>
      </c>
    </row>
    <row r="38">
      <c r="B38" s="17" t="s">
        <v>36</v>
      </c>
      <c r="C38" s="20">
        <v>3024.0</v>
      </c>
    </row>
    <row r="39">
      <c r="B39" s="8" t="s">
        <v>37</v>
      </c>
      <c r="C39" s="9">
        <f>C34+C35+C36+C37+C38</f>
        <v>100283</v>
      </c>
    </row>
    <row r="40">
      <c r="B40" s="8" t="s">
        <v>38</v>
      </c>
      <c r="C40" s="9">
        <f>C32-C39</f>
        <v>69326.2928</v>
      </c>
    </row>
    <row r="41">
      <c r="B41" s="10"/>
      <c r="C41" s="11"/>
    </row>
    <row r="42">
      <c r="B42" s="8" t="s">
        <v>39</v>
      </c>
      <c r="C42" s="9">
        <f>C40*65%</f>
        <v>45062.09032</v>
      </c>
    </row>
    <row r="43">
      <c r="B43" s="8" t="s">
        <v>40</v>
      </c>
      <c r="C43" s="9">
        <f>C40*35%</f>
        <v>24264.20248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5.13"/>
    <col customWidth="1" min="5" max="5" width="17.63"/>
    <col customWidth="1" min="6" max="6" width="12.5"/>
    <col customWidth="1" min="7" max="8" width="15.25"/>
    <col customWidth="1" min="9" max="9" width="11.13"/>
  </cols>
  <sheetData>
    <row r="1">
      <c r="A1" s="28" t="s">
        <v>41</v>
      </c>
      <c r="B1" s="28" t="s">
        <v>42</v>
      </c>
      <c r="C1" s="29" t="s">
        <v>43</v>
      </c>
      <c r="D1" s="28" t="s">
        <v>44</v>
      </c>
      <c r="E1" s="28" t="s">
        <v>45</v>
      </c>
      <c r="F1" s="28" t="s">
        <v>46</v>
      </c>
      <c r="G1" s="28" t="s">
        <v>47</v>
      </c>
      <c r="H1" s="30" t="s">
        <v>48</v>
      </c>
      <c r="I1" s="31" t="s">
        <v>49</v>
      </c>
    </row>
    <row r="2">
      <c r="A2" s="32">
        <v>46266.0</v>
      </c>
      <c r="B2" s="33" t="s">
        <v>50</v>
      </c>
      <c r="C2" s="34">
        <v>1.0</v>
      </c>
      <c r="D2" s="35">
        <v>900.0</v>
      </c>
      <c r="E2" s="35">
        <v>0.0</v>
      </c>
      <c r="F2" s="35">
        <v>400.0</v>
      </c>
      <c r="G2" s="35">
        <f t="shared" ref="G2:G32" si="1">SUM(D2:F2)</f>
        <v>1300</v>
      </c>
      <c r="H2" s="36">
        <f t="shared" ref="H2:H32" si="2">G2*1.75%</f>
        <v>22.75</v>
      </c>
      <c r="I2" s="35">
        <f t="shared" ref="I2:I32" si="3">G2-H2</f>
        <v>1277.25</v>
      </c>
    </row>
    <row r="3">
      <c r="A3" s="32">
        <v>46267.0</v>
      </c>
      <c r="B3" s="33" t="s">
        <v>51</v>
      </c>
      <c r="C3" s="34">
        <v>0.0</v>
      </c>
      <c r="D3" s="35">
        <v>0.0</v>
      </c>
      <c r="E3" s="35">
        <v>0.0</v>
      </c>
      <c r="F3" s="35">
        <v>500.0</v>
      </c>
      <c r="G3" s="35">
        <f t="shared" si="1"/>
        <v>500</v>
      </c>
      <c r="H3" s="36">
        <f t="shared" si="2"/>
        <v>8.75</v>
      </c>
      <c r="I3" s="35">
        <f t="shared" si="3"/>
        <v>491.25</v>
      </c>
    </row>
    <row r="4">
      <c r="A4" s="32">
        <v>46268.0</v>
      </c>
      <c r="B4" s="33" t="s">
        <v>52</v>
      </c>
      <c r="C4" s="37">
        <v>0.0</v>
      </c>
      <c r="D4" s="35">
        <v>0.0</v>
      </c>
      <c r="E4" s="35">
        <v>0.0</v>
      </c>
      <c r="F4" s="35">
        <v>700.0</v>
      </c>
      <c r="G4" s="35">
        <f t="shared" si="1"/>
        <v>700</v>
      </c>
      <c r="H4" s="36">
        <f t="shared" si="2"/>
        <v>12.25</v>
      </c>
      <c r="I4" s="35">
        <f t="shared" si="3"/>
        <v>687.75</v>
      </c>
    </row>
    <row r="5">
      <c r="A5" s="32">
        <v>46269.0</v>
      </c>
      <c r="B5" s="33" t="s">
        <v>53</v>
      </c>
      <c r="C5" s="37">
        <v>0.0</v>
      </c>
      <c r="D5" s="35">
        <v>0.0</v>
      </c>
      <c r="E5" s="35">
        <v>0.0</v>
      </c>
      <c r="F5" s="35">
        <v>0.0</v>
      </c>
      <c r="G5" s="35">
        <f t="shared" si="1"/>
        <v>0</v>
      </c>
      <c r="H5" s="36">
        <f t="shared" si="2"/>
        <v>0</v>
      </c>
      <c r="I5" s="35">
        <f t="shared" si="3"/>
        <v>0</v>
      </c>
    </row>
    <row r="6">
      <c r="A6" s="32">
        <v>46270.0</v>
      </c>
      <c r="B6" s="33" t="s">
        <v>54</v>
      </c>
      <c r="C6" s="37">
        <v>1.0</v>
      </c>
      <c r="D6" s="35">
        <v>1200.0</v>
      </c>
      <c r="E6" s="35">
        <v>0.0</v>
      </c>
      <c r="F6" s="35">
        <v>0.0</v>
      </c>
      <c r="G6" s="35">
        <f t="shared" si="1"/>
        <v>1200</v>
      </c>
      <c r="H6" s="36">
        <f t="shared" si="2"/>
        <v>21</v>
      </c>
      <c r="I6" s="35">
        <f t="shared" si="3"/>
        <v>1179</v>
      </c>
    </row>
    <row r="7">
      <c r="A7" s="32">
        <v>46271.0</v>
      </c>
      <c r="B7" s="33" t="s">
        <v>55</v>
      </c>
      <c r="C7" s="37">
        <v>0.0</v>
      </c>
      <c r="D7" s="35">
        <v>0.0</v>
      </c>
      <c r="E7" s="35">
        <v>0.0</v>
      </c>
      <c r="F7" s="38">
        <v>0.0</v>
      </c>
      <c r="G7" s="35">
        <f t="shared" si="1"/>
        <v>0</v>
      </c>
      <c r="H7" s="36">
        <f t="shared" si="2"/>
        <v>0</v>
      </c>
      <c r="I7" s="35">
        <f t="shared" si="3"/>
        <v>0</v>
      </c>
    </row>
    <row r="8">
      <c r="A8" s="32">
        <v>46272.0</v>
      </c>
      <c r="B8" s="33" t="s">
        <v>56</v>
      </c>
      <c r="C8" s="37">
        <v>0.5</v>
      </c>
      <c r="D8" s="35">
        <v>600.0</v>
      </c>
      <c r="E8" s="35">
        <v>2400.0</v>
      </c>
      <c r="F8" s="35">
        <v>0.0</v>
      </c>
      <c r="G8" s="35">
        <f t="shared" si="1"/>
        <v>3000</v>
      </c>
      <c r="H8" s="36">
        <f t="shared" si="2"/>
        <v>52.5</v>
      </c>
      <c r="I8" s="35">
        <f t="shared" si="3"/>
        <v>2947.5</v>
      </c>
    </row>
    <row r="9">
      <c r="A9" s="32">
        <v>46273.0</v>
      </c>
      <c r="B9" s="33" t="s">
        <v>50</v>
      </c>
      <c r="C9" s="37">
        <v>0.0</v>
      </c>
      <c r="D9" s="35">
        <v>0.0</v>
      </c>
      <c r="E9" s="35">
        <v>3300.0</v>
      </c>
      <c r="F9" s="38">
        <v>350.0</v>
      </c>
      <c r="G9" s="35">
        <f t="shared" si="1"/>
        <v>3650</v>
      </c>
      <c r="H9" s="36">
        <f t="shared" si="2"/>
        <v>63.875</v>
      </c>
      <c r="I9" s="35">
        <f t="shared" si="3"/>
        <v>3586.125</v>
      </c>
    </row>
    <row r="10">
      <c r="A10" s="32">
        <v>46274.0</v>
      </c>
      <c r="B10" s="33" t="s">
        <v>51</v>
      </c>
      <c r="C10" s="37">
        <v>0.0</v>
      </c>
      <c r="D10" s="35">
        <v>0.0</v>
      </c>
      <c r="E10" s="35">
        <v>2400.0</v>
      </c>
      <c r="F10" s="35">
        <v>300.0</v>
      </c>
      <c r="G10" s="35">
        <f t="shared" si="1"/>
        <v>2700</v>
      </c>
      <c r="H10" s="36">
        <f t="shared" si="2"/>
        <v>47.25</v>
      </c>
      <c r="I10" s="35">
        <f t="shared" si="3"/>
        <v>2652.75</v>
      </c>
    </row>
    <row r="11">
      <c r="A11" s="32">
        <v>46275.0</v>
      </c>
      <c r="B11" s="33" t="s">
        <v>52</v>
      </c>
      <c r="C11" s="37">
        <v>0.0</v>
      </c>
      <c r="D11" s="35">
        <v>0.0</v>
      </c>
      <c r="E11" s="35">
        <v>300.0</v>
      </c>
      <c r="F11" s="35">
        <v>0.0</v>
      </c>
      <c r="G11" s="35">
        <f t="shared" si="1"/>
        <v>300</v>
      </c>
      <c r="H11" s="36">
        <f t="shared" si="2"/>
        <v>5.25</v>
      </c>
      <c r="I11" s="35">
        <f t="shared" si="3"/>
        <v>294.75</v>
      </c>
    </row>
    <row r="12">
      <c r="A12" s="32">
        <v>46276.0</v>
      </c>
      <c r="B12" s="33" t="s">
        <v>53</v>
      </c>
      <c r="C12" s="37">
        <v>0.0</v>
      </c>
      <c r="D12" s="35">
        <v>0.0</v>
      </c>
      <c r="E12" s="35">
        <v>2700.0</v>
      </c>
      <c r="F12" s="35">
        <v>400.0</v>
      </c>
      <c r="G12" s="35">
        <f t="shared" si="1"/>
        <v>3100</v>
      </c>
      <c r="H12" s="36">
        <f t="shared" si="2"/>
        <v>54.25</v>
      </c>
      <c r="I12" s="35">
        <f t="shared" si="3"/>
        <v>3045.75</v>
      </c>
    </row>
    <row r="13">
      <c r="A13" s="32">
        <v>46277.0</v>
      </c>
      <c r="B13" s="33" t="s">
        <v>54</v>
      </c>
      <c r="C13" s="37">
        <v>0.0</v>
      </c>
      <c r="D13" s="35">
        <v>0.0</v>
      </c>
      <c r="E13" s="35">
        <v>1200.0</v>
      </c>
      <c r="F13" s="35">
        <v>0.0</v>
      </c>
      <c r="G13" s="35">
        <f t="shared" si="1"/>
        <v>1200</v>
      </c>
      <c r="H13" s="36">
        <f t="shared" si="2"/>
        <v>21</v>
      </c>
      <c r="I13" s="35">
        <f t="shared" si="3"/>
        <v>1179</v>
      </c>
    </row>
    <row r="14">
      <c r="A14" s="32">
        <v>46278.0</v>
      </c>
      <c r="B14" s="33" t="s">
        <v>55</v>
      </c>
      <c r="C14" s="37">
        <v>0.5</v>
      </c>
      <c r="D14" s="35">
        <v>600.0</v>
      </c>
      <c r="E14" s="35">
        <v>2100.0</v>
      </c>
      <c r="F14" s="35">
        <v>750.0</v>
      </c>
      <c r="G14" s="35">
        <f t="shared" si="1"/>
        <v>3450</v>
      </c>
      <c r="H14" s="36">
        <f t="shared" si="2"/>
        <v>60.375</v>
      </c>
      <c r="I14" s="35">
        <f t="shared" si="3"/>
        <v>3389.625</v>
      </c>
    </row>
    <row r="15">
      <c r="A15" s="32">
        <v>46279.0</v>
      </c>
      <c r="B15" s="33" t="s">
        <v>56</v>
      </c>
      <c r="C15" s="37">
        <v>0.0</v>
      </c>
      <c r="D15" s="35">
        <v>0.0</v>
      </c>
      <c r="E15" s="35">
        <v>900.0</v>
      </c>
      <c r="F15" s="35">
        <v>200.0</v>
      </c>
      <c r="G15" s="35">
        <f t="shared" si="1"/>
        <v>1100</v>
      </c>
      <c r="H15" s="36">
        <f t="shared" si="2"/>
        <v>19.25</v>
      </c>
      <c r="I15" s="35">
        <f t="shared" si="3"/>
        <v>1080.75</v>
      </c>
    </row>
    <row r="16">
      <c r="A16" s="32">
        <v>46280.0</v>
      </c>
      <c r="B16" s="33" t="s">
        <v>50</v>
      </c>
      <c r="C16" s="37">
        <v>1.5</v>
      </c>
      <c r="D16" s="35">
        <v>1620.0</v>
      </c>
      <c r="E16" s="35">
        <v>900.0</v>
      </c>
      <c r="F16" s="35">
        <v>150.0</v>
      </c>
      <c r="G16" s="35">
        <f t="shared" si="1"/>
        <v>2670</v>
      </c>
      <c r="H16" s="36">
        <f t="shared" si="2"/>
        <v>46.725</v>
      </c>
      <c r="I16" s="35">
        <f t="shared" si="3"/>
        <v>2623.275</v>
      </c>
    </row>
    <row r="17">
      <c r="A17" s="32">
        <v>46281.0</v>
      </c>
      <c r="B17" s="33" t="s">
        <v>51</v>
      </c>
      <c r="C17" s="37">
        <v>1.5</v>
      </c>
      <c r="D17" s="39">
        <v>1620.0</v>
      </c>
      <c r="E17" s="35">
        <v>1200.0</v>
      </c>
      <c r="F17" s="35">
        <v>400.0</v>
      </c>
      <c r="G17" s="35">
        <f t="shared" si="1"/>
        <v>3220</v>
      </c>
      <c r="H17" s="36">
        <f t="shared" si="2"/>
        <v>56.35</v>
      </c>
      <c r="I17" s="35">
        <f t="shared" si="3"/>
        <v>3163.65</v>
      </c>
    </row>
    <row r="18">
      <c r="A18" s="32">
        <v>46282.0</v>
      </c>
      <c r="B18" s="33" t="s">
        <v>52</v>
      </c>
      <c r="C18" s="37">
        <v>4.5</v>
      </c>
      <c r="D18" s="35">
        <v>4430.0</v>
      </c>
      <c r="E18" s="35">
        <v>1800.0</v>
      </c>
      <c r="F18" s="35">
        <v>100.0</v>
      </c>
      <c r="G18" s="35">
        <f t="shared" si="1"/>
        <v>6330</v>
      </c>
      <c r="H18" s="36">
        <f t="shared" si="2"/>
        <v>110.775</v>
      </c>
      <c r="I18" s="35">
        <f t="shared" si="3"/>
        <v>6219.225</v>
      </c>
    </row>
    <row r="19">
      <c r="A19" s="32">
        <v>46283.0</v>
      </c>
      <c r="B19" s="33" t="s">
        <v>53</v>
      </c>
      <c r="C19" s="37">
        <v>3.0</v>
      </c>
      <c r="D19" s="35">
        <v>3600.0</v>
      </c>
      <c r="E19" s="35">
        <v>1200.0</v>
      </c>
      <c r="F19" s="35">
        <v>200.0</v>
      </c>
      <c r="G19" s="35">
        <f t="shared" si="1"/>
        <v>5000</v>
      </c>
      <c r="H19" s="36">
        <f t="shared" si="2"/>
        <v>87.5</v>
      </c>
      <c r="I19" s="35">
        <f t="shared" si="3"/>
        <v>4912.5</v>
      </c>
    </row>
    <row r="20">
      <c r="A20" s="32">
        <v>46284.0</v>
      </c>
      <c r="B20" s="33" t="s">
        <v>54</v>
      </c>
      <c r="C20" s="37">
        <v>0.0</v>
      </c>
      <c r="D20" s="35">
        <v>0.0</v>
      </c>
      <c r="E20" s="35">
        <v>1500.0</v>
      </c>
      <c r="F20" s="35">
        <v>0.0</v>
      </c>
      <c r="G20" s="35">
        <f t="shared" si="1"/>
        <v>1500</v>
      </c>
      <c r="H20" s="36">
        <f t="shared" si="2"/>
        <v>26.25</v>
      </c>
      <c r="I20" s="35">
        <f t="shared" si="3"/>
        <v>1473.75</v>
      </c>
    </row>
    <row r="21">
      <c r="A21" s="32">
        <v>46285.0</v>
      </c>
      <c r="B21" s="33" t="s">
        <v>55</v>
      </c>
      <c r="C21" s="37">
        <v>1.0</v>
      </c>
      <c r="D21" s="35">
        <v>1200.0</v>
      </c>
      <c r="E21" s="35">
        <v>0.0</v>
      </c>
      <c r="F21" s="35">
        <v>0.0</v>
      </c>
      <c r="G21" s="35">
        <f t="shared" si="1"/>
        <v>1200</v>
      </c>
      <c r="H21" s="36">
        <f t="shared" si="2"/>
        <v>21</v>
      </c>
      <c r="I21" s="35">
        <f t="shared" si="3"/>
        <v>1179</v>
      </c>
    </row>
    <row r="22">
      <c r="A22" s="32">
        <v>46286.0</v>
      </c>
      <c r="B22" s="33" t="s">
        <v>56</v>
      </c>
      <c r="C22" s="37">
        <v>0.0</v>
      </c>
      <c r="D22" s="35">
        <v>0.0</v>
      </c>
      <c r="E22" s="35">
        <v>1200.0</v>
      </c>
      <c r="F22" s="35">
        <v>400.0</v>
      </c>
      <c r="G22" s="35">
        <f t="shared" si="1"/>
        <v>1600</v>
      </c>
      <c r="H22" s="36">
        <f t="shared" si="2"/>
        <v>28</v>
      </c>
      <c r="I22" s="35">
        <f t="shared" si="3"/>
        <v>1572</v>
      </c>
    </row>
    <row r="23">
      <c r="A23" s="32">
        <v>46287.0</v>
      </c>
      <c r="B23" s="33" t="s">
        <v>50</v>
      </c>
      <c r="C23" s="37">
        <v>1.0</v>
      </c>
      <c r="D23" s="35">
        <v>900.0</v>
      </c>
      <c r="E23" s="35">
        <v>1500.0</v>
      </c>
      <c r="F23" s="35">
        <v>0.0</v>
      </c>
      <c r="G23" s="35">
        <f t="shared" si="1"/>
        <v>2400</v>
      </c>
      <c r="H23" s="36">
        <f t="shared" si="2"/>
        <v>42</v>
      </c>
      <c r="I23" s="35">
        <f t="shared" si="3"/>
        <v>2358</v>
      </c>
    </row>
    <row r="24">
      <c r="A24" s="32">
        <v>46288.0</v>
      </c>
      <c r="B24" s="33" t="s">
        <v>51</v>
      </c>
      <c r="C24" s="37">
        <v>0.0</v>
      </c>
      <c r="D24" s="35">
        <v>0.0</v>
      </c>
      <c r="E24" s="35">
        <v>0.0</v>
      </c>
      <c r="F24" s="35">
        <v>600.0</v>
      </c>
      <c r="G24" s="35">
        <f t="shared" si="1"/>
        <v>600</v>
      </c>
      <c r="H24" s="36">
        <f t="shared" si="2"/>
        <v>10.5</v>
      </c>
      <c r="I24" s="35">
        <f t="shared" si="3"/>
        <v>589.5</v>
      </c>
    </row>
    <row r="25">
      <c r="A25" s="32">
        <v>46289.0</v>
      </c>
      <c r="B25" s="33" t="s">
        <v>52</v>
      </c>
      <c r="C25" s="37">
        <v>1.0</v>
      </c>
      <c r="D25" s="35">
        <v>900.0</v>
      </c>
      <c r="E25" s="35">
        <v>3900.0</v>
      </c>
      <c r="F25" s="35">
        <v>100.0</v>
      </c>
      <c r="G25" s="35">
        <f t="shared" si="1"/>
        <v>4900</v>
      </c>
      <c r="H25" s="36">
        <f t="shared" si="2"/>
        <v>85.75</v>
      </c>
      <c r="I25" s="35">
        <f t="shared" si="3"/>
        <v>4814.25</v>
      </c>
    </row>
    <row r="26">
      <c r="A26" s="32">
        <v>46290.0</v>
      </c>
      <c r="B26" s="33" t="s">
        <v>53</v>
      </c>
      <c r="C26" s="37">
        <v>0.0</v>
      </c>
      <c r="D26" s="35">
        <v>0.0</v>
      </c>
      <c r="E26" s="35">
        <v>1500.0</v>
      </c>
      <c r="F26" s="35">
        <v>0.0</v>
      </c>
      <c r="G26" s="35">
        <f t="shared" si="1"/>
        <v>1500</v>
      </c>
      <c r="H26" s="36">
        <f t="shared" si="2"/>
        <v>26.25</v>
      </c>
      <c r="I26" s="35">
        <f t="shared" si="3"/>
        <v>1473.75</v>
      </c>
    </row>
    <row r="27">
      <c r="A27" s="32">
        <v>46291.0</v>
      </c>
      <c r="B27" s="33" t="s">
        <v>54</v>
      </c>
      <c r="C27" s="37">
        <v>0.0</v>
      </c>
      <c r="D27" s="35">
        <v>0.0</v>
      </c>
      <c r="E27" s="35">
        <v>900.0</v>
      </c>
      <c r="F27" s="35">
        <v>0.0</v>
      </c>
      <c r="G27" s="35">
        <f t="shared" si="1"/>
        <v>900</v>
      </c>
      <c r="H27" s="36">
        <f t="shared" si="2"/>
        <v>15.75</v>
      </c>
      <c r="I27" s="35">
        <f t="shared" si="3"/>
        <v>884.25</v>
      </c>
    </row>
    <row r="28">
      <c r="A28" s="32">
        <v>46292.0</v>
      </c>
      <c r="B28" s="33" t="s">
        <v>55</v>
      </c>
      <c r="C28" s="37">
        <v>0.0</v>
      </c>
      <c r="D28" s="35">
        <v>0.0</v>
      </c>
      <c r="E28" s="35">
        <v>600.0</v>
      </c>
      <c r="F28" s="35">
        <v>0.0</v>
      </c>
      <c r="G28" s="35">
        <f t="shared" si="1"/>
        <v>600</v>
      </c>
      <c r="H28" s="36">
        <f t="shared" si="2"/>
        <v>10.5</v>
      </c>
      <c r="I28" s="35">
        <f t="shared" si="3"/>
        <v>589.5</v>
      </c>
    </row>
    <row r="29">
      <c r="A29" s="32">
        <v>46293.0</v>
      </c>
      <c r="B29" s="33" t="s">
        <v>56</v>
      </c>
      <c r="C29" s="37">
        <v>0.0</v>
      </c>
      <c r="D29" s="35">
        <v>0.0</v>
      </c>
      <c r="E29" s="35">
        <v>1900.0</v>
      </c>
      <c r="F29" s="35">
        <v>100.0</v>
      </c>
      <c r="G29" s="35">
        <f t="shared" si="1"/>
        <v>2000</v>
      </c>
      <c r="H29" s="36">
        <f t="shared" si="2"/>
        <v>35</v>
      </c>
      <c r="I29" s="35">
        <f t="shared" si="3"/>
        <v>1965</v>
      </c>
    </row>
    <row r="30">
      <c r="A30" s="32">
        <v>46294.0</v>
      </c>
      <c r="B30" s="33" t="s">
        <v>50</v>
      </c>
      <c r="C30" s="37">
        <v>0.0</v>
      </c>
      <c r="D30" s="35">
        <v>0.0</v>
      </c>
      <c r="E30" s="35">
        <v>2100.0</v>
      </c>
      <c r="F30" s="35">
        <v>100.0</v>
      </c>
      <c r="G30" s="35">
        <f t="shared" si="1"/>
        <v>2200</v>
      </c>
      <c r="H30" s="36">
        <f t="shared" si="2"/>
        <v>38.5</v>
      </c>
      <c r="I30" s="35">
        <f t="shared" si="3"/>
        <v>2161.5</v>
      </c>
    </row>
    <row r="31">
      <c r="A31" s="32">
        <v>46295.0</v>
      </c>
      <c r="B31" s="33" t="s">
        <v>51</v>
      </c>
      <c r="C31" s="34">
        <v>0.0</v>
      </c>
      <c r="D31" s="40">
        <v>0.0</v>
      </c>
      <c r="E31" s="40">
        <v>0.0</v>
      </c>
      <c r="F31" s="40">
        <v>0.0</v>
      </c>
      <c r="G31" s="35">
        <f t="shared" si="1"/>
        <v>0</v>
      </c>
      <c r="H31" s="36">
        <f t="shared" si="2"/>
        <v>0</v>
      </c>
      <c r="I31" s="35">
        <f t="shared" si="3"/>
        <v>0</v>
      </c>
    </row>
    <row r="32">
      <c r="A32" s="32">
        <v>46265.0</v>
      </c>
      <c r="B32" s="33" t="s">
        <v>56</v>
      </c>
      <c r="C32" s="34">
        <v>0.0</v>
      </c>
      <c r="D32" s="40">
        <v>0.0</v>
      </c>
      <c r="E32" s="40">
        <v>0.0</v>
      </c>
      <c r="F32" s="40">
        <v>0.0</v>
      </c>
      <c r="G32" s="35">
        <f t="shared" si="1"/>
        <v>0</v>
      </c>
      <c r="H32" s="36">
        <f t="shared" si="2"/>
        <v>0</v>
      </c>
      <c r="I32" s="35">
        <f t="shared" si="3"/>
        <v>0</v>
      </c>
    </row>
    <row r="33">
      <c r="A33" s="41" t="s">
        <v>57</v>
      </c>
      <c r="B33" s="42"/>
      <c r="C33" s="43"/>
      <c r="D33" s="22">
        <f t="shared" ref="D33:I33" si="4">SUM(D2:D32)</f>
        <v>17570</v>
      </c>
      <c r="E33" s="22">
        <f t="shared" si="4"/>
        <v>35500</v>
      </c>
      <c r="F33" s="22">
        <f t="shared" si="4"/>
        <v>5750</v>
      </c>
      <c r="G33" s="22">
        <f t="shared" si="4"/>
        <v>58820</v>
      </c>
      <c r="H33" s="22">
        <f t="shared" si="4"/>
        <v>1029.35</v>
      </c>
      <c r="I33" s="22">
        <f t="shared" si="4"/>
        <v>57790.65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4" t="s">
        <v>58</v>
      </c>
      <c r="B1" s="28" t="s">
        <v>41</v>
      </c>
      <c r="C1" s="28" t="s">
        <v>59</v>
      </c>
      <c r="D1" s="28" t="s">
        <v>60</v>
      </c>
      <c r="E1" s="45" t="s">
        <v>61</v>
      </c>
      <c r="F1" s="28" t="s">
        <v>49</v>
      </c>
      <c r="G1" s="46" t="s">
        <v>62</v>
      </c>
      <c r="H1" s="46" t="s">
        <v>63</v>
      </c>
      <c r="I1" s="28" t="s">
        <v>64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7"/>
      <c r="B2" s="48" t="s">
        <v>0</v>
      </c>
      <c r="C2" s="49">
        <v>121236.0</v>
      </c>
      <c r="D2" s="49">
        <v>7358.0</v>
      </c>
      <c r="E2" s="49">
        <v>1324.0</v>
      </c>
      <c r="F2" s="35">
        <f>C2-D2-E2</f>
        <v>112554</v>
      </c>
      <c r="G2" s="49">
        <v>605.0</v>
      </c>
      <c r="H2" s="49">
        <v>121.0</v>
      </c>
      <c r="I2" s="49">
        <f>F2-G2-H2</f>
        <v>111828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7"/>
      <c r="B3" s="50"/>
      <c r="C3" s="50"/>
      <c r="D3" s="50"/>
      <c r="E3" s="50"/>
      <c r="F3" s="50"/>
      <c r="G3" s="50"/>
      <c r="H3" s="50"/>
      <c r="I3" s="5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7"/>
      <c r="B4" s="41" t="s">
        <v>57</v>
      </c>
      <c r="C4" s="22">
        <f t="shared" ref="C4:F4" si="1">SUM(C2:C3)</f>
        <v>121236</v>
      </c>
      <c r="D4" s="22">
        <f t="shared" si="1"/>
        <v>7358</v>
      </c>
      <c r="E4" s="22">
        <f t="shared" si="1"/>
        <v>1324</v>
      </c>
      <c r="F4" s="22">
        <f t="shared" si="1"/>
        <v>112554</v>
      </c>
      <c r="G4" s="42"/>
      <c r="H4" s="42"/>
      <c r="I4" s="22">
        <f>SUM(I2:I3)</f>
        <v>111828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5" max="5" width="17.75"/>
    <col customWidth="1" min="6" max="7" width="15.25"/>
    <col customWidth="1" min="10" max="10" width="14.13"/>
  </cols>
  <sheetData>
    <row r="1">
      <c r="A1" s="51" t="s">
        <v>41</v>
      </c>
      <c r="B1" s="52" t="s">
        <v>65</v>
      </c>
      <c r="C1" s="53" t="s">
        <v>66</v>
      </c>
      <c r="D1" s="51" t="s">
        <v>67</v>
      </c>
      <c r="E1" s="54" t="s">
        <v>68</v>
      </c>
      <c r="F1" s="28" t="s">
        <v>69</v>
      </c>
      <c r="G1" s="28" t="s">
        <v>48</v>
      </c>
      <c r="H1" s="55" t="s">
        <v>49</v>
      </c>
      <c r="I1" s="55" t="s">
        <v>70</v>
      </c>
      <c r="J1" s="55" t="s">
        <v>64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56" t="s">
        <v>71</v>
      </c>
      <c r="B2" s="12" t="s">
        <v>3</v>
      </c>
      <c r="C2" s="12" t="s">
        <v>72</v>
      </c>
      <c r="D2" s="20">
        <v>6990.0</v>
      </c>
      <c r="E2" s="57">
        <f>D2*5%</f>
        <v>349.5</v>
      </c>
      <c r="F2" s="49">
        <v>0.0</v>
      </c>
      <c r="G2" s="35">
        <v>0.0</v>
      </c>
      <c r="H2" s="19">
        <f>D2-E2-G2</f>
        <v>6640.5</v>
      </c>
      <c r="I2" s="58">
        <f>D2*2%</f>
        <v>139.8</v>
      </c>
      <c r="J2" s="19">
        <f>H2-I2</f>
        <v>6500.7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59"/>
      <c r="B3" s="60"/>
      <c r="C3" s="60"/>
      <c r="D3" s="12"/>
      <c r="E3" s="61"/>
      <c r="F3" s="40"/>
      <c r="G3" s="40"/>
      <c r="H3" s="19"/>
      <c r="I3" s="17"/>
      <c r="J3" s="1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2" t="s">
        <v>57</v>
      </c>
      <c r="B4" s="63"/>
      <c r="C4" s="63"/>
      <c r="D4" s="64">
        <f t="shared" ref="D4:J4" si="1">SUM(D2:D3)</f>
        <v>6990</v>
      </c>
      <c r="E4" s="64">
        <f t="shared" si="1"/>
        <v>349.5</v>
      </c>
      <c r="F4" s="64">
        <f t="shared" si="1"/>
        <v>0</v>
      </c>
      <c r="G4" s="64">
        <f t="shared" si="1"/>
        <v>0</v>
      </c>
      <c r="H4" s="64">
        <f t="shared" si="1"/>
        <v>6640.5</v>
      </c>
      <c r="I4" s="64">
        <f t="shared" si="1"/>
        <v>139.8</v>
      </c>
      <c r="J4" s="64">
        <f t="shared" si="1"/>
        <v>6500.7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4" max="4" width="13.63"/>
  </cols>
  <sheetData>
    <row r="1">
      <c r="A1" s="52" t="s">
        <v>73</v>
      </c>
      <c r="B1" s="52" t="s">
        <v>74</v>
      </c>
      <c r="C1" s="52" t="s">
        <v>75</v>
      </c>
      <c r="D1" s="52" t="s">
        <v>76</v>
      </c>
      <c r="E1" s="52" t="s">
        <v>77</v>
      </c>
    </row>
    <row r="2">
      <c r="A2" s="10" t="s">
        <v>78</v>
      </c>
      <c r="B2" s="10" t="s">
        <v>79</v>
      </c>
      <c r="C2" s="10" t="s">
        <v>80</v>
      </c>
      <c r="D2" s="10" t="s">
        <v>81</v>
      </c>
      <c r="E2" s="57">
        <v>4800.0</v>
      </c>
    </row>
    <row r="3">
      <c r="A3" s="10" t="s">
        <v>78</v>
      </c>
      <c r="B3" s="65" t="s">
        <v>82</v>
      </c>
      <c r="C3" s="65" t="s">
        <v>83</v>
      </c>
      <c r="D3" s="65" t="s">
        <v>84</v>
      </c>
      <c r="E3" s="66">
        <v>16170.0</v>
      </c>
    </row>
    <row r="4">
      <c r="A4" s="67" t="s">
        <v>57</v>
      </c>
      <c r="B4" s="68"/>
      <c r="C4" s="68"/>
      <c r="D4" s="68"/>
      <c r="E4" s="69">
        <f>SUM(E2,E3)</f>
        <v>20970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31" t="s">
        <v>85</v>
      </c>
      <c r="B1" s="31" t="s">
        <v>86</v>
      </c>
      <c r="C1" s="31" t="s">
        <v>67</v>
      </c>
      <c r="D1" s="30" t="s">
        <v>48</v>
      </c>
      <c r="E1" s="31" t="s">
        <v>49</v>
      </c>
    </row>
    <row r="2">
      <c r="A2" s="13" t="s">
        <v>3</v>
      </c>
      <c r="B2" s="17" t="s">
        <v>87</v>
      </c>
      <c r="C2" s="61">
        <v>3500.0</v>
      </c>
      <c r="D2" s="35">
        <f>C2*1.75%</f>
        <v>61.25</v>
      </c>
      <c r="E2" s="35">
        <f>C2-D2</f>
        <v>3438.75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8.38"/>
    <col customWidth="1" min="5" max="5" width="15.25"/>
  </cols>
  <sheetData>
    <row r="1">
      <c r="A1" s="28" t="s">
        <v>41</v>
      </c>
      <c r="B1" s="28" t="s">
        <v>25</v>
      </c>
      <c r="C1" s="55" t="s">
        <v>88</v>
      </c>
      <c r="D1" s="31" t="s">
        <v>89</v>
      </c>
      <c r="E1" s="55" t="s">
        <v>48</v>
      </c>
      <c r="F1" s="55" t="s">
        <v>49</v>
      </c>
    </row>
    <row r="2">
      <c r="A2" s="32">
        <v>46266.0</v>
      </c>
      <c r="B2" s="35">
        <v>0.0</v>
      </c>
      <c r="C2" s="35">
        <f t="shared" ref="C2:C31" si="1">B2*75%</f>
        <v>0</v>
      </c>
      <c r="D2" s="35">
        <f t="shared" ref="D2:D31" si="2">B2*25%</f>
        <v>0</v>
      </c>
      <c r="E2" s="36">
        <f t="shared" ref="E2:E31" si="3">B2*1.75%</f>
        <v>0</v>
      </c>
      <c r="F2" s="35">
        <f t="shared" ref="F2:F31" si="4">D2-E2</f>
        <v>0</v>
      </c>
    </row>
    <row r="3">
      <c r="A3" s="32">
        <v>46267.0</v>
      </c>
      <c r="B3" s="35">
        <v>280.0</v>
      </c>
      <c r="C3" s="35">
        <f t="shared" si="1"/>
        <v>210</v>
      </c>
      <c r="D3" s="35">
        <f t="shared" si="2"/>
        <v>70</v>
      </c>
      <c r="E3" s="36">
        <f t="shared" si="3"/>
        <v>4.9</v>
      </c>
      <c r="F3" s="35">
        <f t="shared" si="4"/>
        <v>65.1</v>
      </c>
    </row>
    <row r="4">
      <c r="A4" s="32">
        <v>46268.0</v>
      </c>
      <c r="B4" s="35">
        <v>270.0</v>
      </c>
      <c r="C4" s="35">
        <f t="shared" si="1"/>
        <v>202.5</v>
      </c>
      <c r="D4" s="35">
        <f t="shared" si="2"/>
        <v>67.5</v>
      </c>
      <c r="E4" s="36">
        <f t="shared" si="3"/>
        <v>4.725</v>
      </c>
      <c r="F4" s="35">
        <f t="shared" si="4"/>
        <v>62.775</v>
      </c>
    </row>
    <row r="5">
      <c r="A5" s="32">
        <v>46269.0</v>
      </c>
      <c r="B5" s="35">
        <v>0.0</v>
      </c>
      <c r="C5" s="35">
        <f t="shared" si="1"/>
        <v>0</v>
      </c>
      <c r="D5" s="35">
        <f t="shared" si="2"/>
        <v>0</v>
      </c>
      <c r="E5" s="36">
        <f t="shared" si="3"/>
        <v>0</v>
      </c>
      <c r="F5" s="35">
        <f t="shared" si="4"/>
        <v>0</v>
      </c>
    </row>
    <row r="6">
      <c r="A6" s="32">
        <v>46270.0</v>
      </c>
      <c r="B6" s="35">
        <v>360.0</v>
      </c>
      <c r="C6" s="35">
        <f t="shared" si="1"/>
        <v>270</v>
      </c>
      <c r="D6" s="35">
        <f t="shared" si="2"/>
        <v>90</v>
      </c>
      <c r="E6" s="36">
        <f t="shared" si="3"/>
        <v>6.3</v>
      </c>
      <c r="F6" s="35">
        <f t="shared" si="4"/>
        <v>83.7</v>
      </c>
    </row>
    <row r="7">
      <c r="A7" s="32">
        <v>46271.0</v>
      </c>
      <c r="B7" s="35">
        <v>0.0</v>
      </c>
      <c r="C7" s="35">
        <f t="shared" si="1"/>
        <v>0</v>
      </c>
      <c r="D7" s="35">
        <f t="shared" si="2"/>
        <v>0</v>
      </c>
      <c r="E7" s="36">
        <f t="shared" si="3"/>
        <v>0</v>
      </c>
      <c r="F7" s="35">
        <f t="shared" si="4"/>
        <v>0</v>
      </c>
    </row>
    <row r="8">
      <c r="A8" s="32">
        <v>46272.0</v>
      </c>
      <c r="B8" s="35">
        <v>175.0</v>
      </c>
      <c r="C8" s="35">
        <f t="shared" si="1"/>
        <v>131.25</v>
      </c>
      <c r="D8" s="35">
        <f t="shared" si="2"/>
        <v>43.75</v>
      </c>
      <c r="E8" s="36">
        <f t="shared" si="3"/>
        <v>3.0625</v>
      </c>
      <c r="F8" s="35">
        <f t="shared" si="4"/>
        <v>40.6875</v>
      </c>
    </row>
    <row r="9">
      <c r="A9" s="32">
        <v>46273.0</v>
      </c>
      <c r="B9" s="35">
        <v>735.0</v>
      </c>
      <c r="C9" s="35">
        <f t="shared" si="1"/>
        <v>551.25</v>
      </c>
      <c r="D9" s="35">
        <f t="shared" si="2"/>
        <v>183.75</v>
      </c>
      <c r="E9" s="36">
        <f t="shared" si="3"/>
        <v>12.8625</v>
      </c>
      <c r="F9" s="35">
        <f t="shared" si="4"/>
        <v>170.8875</v>
      </c>
    </row>
    <row r="10">
      <c r="A10" s="32">
        <v>46274.0</v>
      </c>
      <c r="B10" s="35">
        <v>410.0</v>
      </c>
      <c r="C10" s="35">
        <f t="shared" si="1"/>
        <v>307.5</v>
      </c>
      <c r="D10" s="35">
        <f t="shared" si="2"/>
        <v>102.5</v>
      </c>
      <c r="E10" s="36">
        <f t="shared" si="3"/>
        <v>7.175</v>
      </c>
      <c r="F10" s="35">
        <f t="shared" si="4"/>
        <v>95.325</v>
      </c>
    </row>
    <row r="11">
      <c r="A11" s="32">
        <v>46275.0</v>
      </c>
      <c r="B11" s="35">
        <v>105.0</v>
      </c>
      <c r="C11" s="35">
        <f t="shared" si="1"/>
        <v>78.75</v>
      </c>
      <c r="D11" s="35">
        <f t="shared" si="2"/>
        <v>26.25</v>
      </c>
      <c r="E11" s="36">
        <f t="shared" si="3"/>
        <v>1.8375</v>
      </c>
      <c r="F11" s="35">
        <f t="shared" si="4"/>
        <v>24.4125</v>
      </c>
    </row>
    <row r="12">
      <c r="A12" s="32">
        <v>46276.0</v>
      </c>
      <c r="B12" s="35">
        <v>200.0</v>
      </c>
      <c r="C12" s="35">
        <f t="shared" si="1"/>
        <v>150</v>
      </c>
      <c r="D12" s="35">
        <f t="shared" si="2"/>
        <v>50</v>
      </c>
      <c r="E12" s="36">
        <f t="shared" si="3"/>
        <v>3.5</v>
      </c>
      <c r="F12" s="35">
        <f t="shared" si="4"/>
        <v>46.5</v>
      </c>
    </row>
    <row r="13">
      <c r="A13" s="32">
        <v>46277.0</v>
      </c>
      <c r="B13" s="35">
        <v>0.0</v>
      </c>
      <c r="C13" s="35">
        <f t="shared" si="1"/>
        <v>0</v>
      </c>
      <c r="D13" s="35">
        <f t="shared" si="2"/>
        <v>0</v>
      </c>
      <c r="E13" s="36">
        <f t="shared" si="3"/>
        <v>0</v>
      </c>
      <c r="F13" s="35">
        <f t="shared" si="4"/>
        <v>0</v>
      </c>
    </row>
    <row r="14">
      <c r="A14" s="32">
        <v>46278.0</v>
      </c>
      <c r="B14" s="35">
        <v>0.0</v>
      </c>
      <c r="C14" s="35">
        <f t="shared" si="1"/>
        <v>0</v>
      </c>
      <c r="D14" s="35">
        <f t="shared" si="2"/>
        <v>0</v>
      </c>
      <c r="E14" s="36">
        <f t="shared" si="3"/>
        <v>0</v>
      </c>
      <c r="F14" s="35">
        <f t="shared" si="4"/>
        <v>0</v>
      </c>
    </row>
    <row r="15">
      <c r="A15" s="32">
        <v>46279.0</v>
      </c>
      <c r="B15" s="35">
        <v>335.0</v>
      </c>
      <c r="C15" s="35">
        <f t="shared" si="1"/>
        <v>251.25</v>
      </c>
      <c r="D15" s="35">
        <f t="shared" si="2"/>
        <v>83.75</v>
      </c>
      <c r="E15" s="36">
        <f t="shared" si="3"/>
        <v>5.8625</v>
      </c>
      <c r="F15" s="35">
        <f t="shared" si="4"/>
        <v>77.8875</v>
      </c>
    </row>
    <row r="16">
      <c r="A16" s="32">
        <v>46280.0</v>
      </c>
      <c r="B16" s="35">
        <v>385.0</v>
      </c>
      <c r="C16" s="35">
        <f t="shared" si="1"/>
        <v>288.75</v>
      </c>
      <c r="D16" s="35">
        <f t="shared" si="2"/>
        <v>96.25</v>
      </c>
      <c r="E16" s="36">
        <f t="shared" si="3"/>
        <v>6.7375</v>
      </c>
      <c r="F16" s="35">
        <f t="shared" si="4"/>
        <v>89.5125</v>
      </c>
    </row>
    <row r="17">
      <c r="A17" s="32">
        <v>46281.0</v>
      </c>
      <c r="B17" s="35">
        <v>410.0</v>
      </c>
      <c r="C17" s="35">
        <f t="shared" si="1"/>
        <v>307.5</v>
      </c>
      <c r="D17" s="35">
        <f t="shared" si="2"/>
        <v>102.5</v>
      </c>
      <c r="E17" s="36">
        <f t="shared" si="3"/>
        <v>7.175</v>
      </c>
      <c r="F17" s="35">
        <f t="shared" si="4"/>
        <v>95.325</v>
      </c>
    </row>
    <row r="18">
      <c r="A18" s="32">
        <v>46282.0</v>
      </c>
      <c r="B18" s="35">
        <v>565.0</v>
      </c>
      <c r="C18" s="35">
        <f t="shared" si="1"/>
        <v>423.75</v>
      </c>
      <c r="D18" s="35">
        <f t="shared" si="2"/>
        <v>141.25</v>
      </c>
      <c r="E18" s="36">
        <f t="shared" si="3"/>
        <v>9.8875</v>
      </c>
      <c r="F18" s="35">
        <f t="shared" si="4"/>
        <v>131.3625</v>
      </c>
    </row>
    <row r="19">
      <c r="A19" s="32">
        <v>46283.0</v>
      </c>
      <c r="B19" s="35">
        <v>105.0</v>
      </c>
      <c r="C19" s="35">
        <f t="shared" si="1"/>
        <v>78.75</v>
      </c>
      <c r="D19" s="35">
        <f t="shared" si="2"/>
        <v>26.25</v>
      </c>
      <c r="E19" s="36">
        <f t="shared" si="3"/>
        <v>1.8375</v>
      </c>
      <c r="F19" s="35">
        <f t="shared" si="4"/>
        <v>24.4125</v>
      </c>
    </row>
    <row r="20">
      <c r="A20" s="32">
        <v>46284.0</v>
      </c>
      <c r="B20" s="35">
        <v>0.0</v>
      </c>
      <c r="C20" s="35">
        <f t="shared" si="1"/>
        <v>0</v>
      </c>
      <c r="D20" s="35">
        <f t="shared" si="2"/>
        <v>0</v>
      </c>
      <c r="E20" s="36">
        <f t="shared" si="3"/>
        <v>0</v>
      </c>
      <c r="F20" s="35">
        <f t="shared" si="4"/>
        <v>0</v>
      </c>
    </row>
    <row r="21">
      <c r="A21" s="32">
        <v>46285.0</v>
      </c>
      <c r="B21" s="35">
        <v>0.0</v>
      </c>
      <c r="C21" s="35">
        <f t="shared" si="1"/>
        <v>0</v>
      </c>
      <c r="D21" s="35">
        <f t="shared" si="2"/>
        <v>0</v>
      </c>
      <c r="E21" s="36">
        <f t="shared" si="3"/>
        <v>0</v>
      </c>
      <c r="F21" s="35">
        <f t="shared" si="4"/>
        <v>0</v>
      </c>
    </row>
    <row r="22">
      <c r="A22" s="32">
        <v>46286.0</v>
      </c>
      <c r="B22" s="35">
        <v>690.0</v>
      </c>
      <c r="C22" s="35">
        <f t="shared" si="1"/>
        <v>517.5</v>
      </c>
      <c r="D22" s="35">
        <f t="shared" si="2"/>
        <v>172.5</v>
      </c>
      <c r="E22" s="36">
        <f t="shared" si="3"/>
        <v>12.075</v>
      </c>
      <c r="F22" s="35">
        <f t="shared" si="4"/>
        <v>160.425</v>
      </c>
    </row>
    <row r="23">
      <c r="A23" s="32">
        <v>46287.0</v>
      </c>
      <c r="B23" s="35">
        <v>70.0</v>
      </c>
      <c r="C23" s="35">
        <f t="shared" si="1"/>
        <v>52.5</v>
      </c>
      <c r="D23" s="35">
        <f t="shared" si="2"/>
        <v>17.5</v>
      </c>
      <c r="E23" s="36">
        <f t="shared" si="3"/>
        <v>1.225</v>
      </c>
      <c r="F23" s="35">
        <f t="shared" si="4"/>
        <v>16.275</v>
      </c>
    </row>
    <row r="24">
      <c r="A24" s="32">
        <v>46288.0</v>
      </c>
      <c r="B24" s="35">
        <v>0.0</v>
      </c>
      <c r="C24" s="35">
        <f t="shared" si="1"/>
        <v>0</v>
      </c>
      <c r="D24" s="35">
        <f t="shared" si="2"/>
        <v>0</v>
      </c>
      <c r="E24" s="36">
        <f t="shared" si="3"/>
        <v>0</v>
      </c>
      <c r="F24" s="35">
        <f t="shared" si="4"/>
        <v>0</v>
      </c>
    </row>
    <row r="25">
      <c r="A25" s="32">
        <v>46289.0</v>
      </c>
      <c r="B25" s="35">
        <v>70.0</v>
      </c>
      <c r="C25" s="35">
        <f t="shared" si="1"/>
        <v>52.5</v>
      </c>
      <c r="D25" s="35">
        <f t="shared" si="2"/>
        <v>17.5</v>
      </c>
      <c r="E25" s="36">
        <f t="shared" si="3"/>
        <v>1.225</v>
      </c>
      <c r="F25" s="35">
        <f t="shared" si="4"/>
        <v>16.275</v>
      </c>
    </row>
    <row r="26">
      <c r="A26" s="32">
        <v>46290.0</v>
      </c>
      <c r="B26" s="35">
        <v>35.0</v>
      </c>
      <c r="C26" s="35">
        <f t="shared" si="1"/>
        <v>26.25</v>
      </c>
      <c r="D26" s="35">
        <f t="shared" si="2"/>
        <v>8.75</v>
      </c>
      <c r="E26" s="36">
        <f t="shared" si="3"/>
        <v>0.6125</v>
      </c>
      <c r="F26" s="35">
        <f t="shared" si="4"/>
        <v>8.1375</v>
      </c>
    </row>
    <row r="27">
      <c r="A27" s="32">
        <v>46291.0</v>
      </c>
      <c r="B27" s="35">
        <v>0.0</v>
      </c>
      <c r="C27" s="35">
        <f t="shared" si="1"/>
        <v>0</v>
      </c>
      <c r="D27" s="35">
        <f t="shared" si="2"/>
        <v>0</v>
      </c>
      <c r="E27" s="36">
        <f t="shared" si="3"/>
        <v>0</v>
      </c>
      <c r="F27" s="35">
        <f t="shared" si="4"/>
        <v>0</v>
      </c>
    </row>
    <row r="28">
      <c r="A28" s="32">
        <v>46292.0</v>
      </c>
      <c r="B28" s="35">
        <v>0.0</v>
      </c>
      <c r="C28" s="35">
        <f t="shared" si="1"/>
        <v>0</v>
      </c>
      <c r="D28" s="35">
        <f t="shared" si="2"/>
        <v>0</v>
      </c>
      <c r="E28" s="36">
        <f t="shared" si="3"/>
        <v>0</v>
      </c>
      <c r="F28" s="35">
        <f t="shared" si="4"/>
        <v>0</v>
      </c>
    </row>
    <row r="29">
      <c r="A29" s="32">
        <v>46293.0</v>
      </c>
      <c r="B29" s="35">
        <v>200.0</v>
      </c>
      <c r="C29" s="35">
        <f t="shared" si="1"/>
        <v>150</v>
      </c>
      <c r="D29" s="35">
        <f t="shared" si="2"/>
        <v>50</v>
      </c>
      <c r="E29" s="36">
        <f t="shared" si="3"/>
        <v>3.5</v>
      </c>
      <c r="F29" s="35">
        <f t="shared" si="4"/>
        <v>46.5</v>
      </c>
    </row>
    <row r="30">
      <c r="A30" s="32">
        <v>46294.0</v>
      </c>
      <c r="B30" s="35">
        <v>175.0</v>
      </c>
      <c r="C30" s="35">
        <f t="shared" si="1"/>
        <v>131.25</v>
      </c>
      <c r="D30" s="35">
        <f t="shared" si="2"/>
        <v>43.75</v>
      </c>
      <c r="E30" s="36">
        <f t="shared" si="3"/>
        <v>3.0625</v>
      </c>
      <c r="F30" s="35">
        <f t="shared" si="4"/>
        <v>40.6875</v>
      </c>
    </row>
    <row r="31">
      <c r="A31" s="32">
        <v>46295.0</v>
      </c>
      <c r="B31" s="40">
        <v>435.0</v>
      </c>
      <c r="C31" s="35">
        <f t="shared" si="1"/>
        <v>326.25</v>
      </c>
      <c r="D31" s="35">
        <f t="shared" si="2"/>
        <v>108.75</v>
      </c>
      <c r="E31" s="36">
        <f t="shared" si="3"/>
        <v>7.6125</v>
      </c>
      <c r="F31" s="35">
        <f t="shared" si="4"/>
        <v>101.1375</v>
      </c>
    </row>
    <row r="32">
      <c r="A32" s="41" t="s">
        <v>57</v>
      </c>
      <c r="B32" s="22">
        <f t="shared" ref="B32:F32" si="5">SUM(B2:B31)</f>
        <v>6010</v>
      </c>
      <c r="C32" s="22">
        <f t="shared" si="5"/>
        <v>4507.5</v>
      </c>
      <c r="D32" s="22">
        <f t="shared" si="5"/>
        <v>1502.5</v>
      </c>
      <c r="E32" s="22">
        <f t="shared" si="5"/>
        <v>105.175</v>
      </c>
      <c r="F32" s="22">
        <f t="shared" si="5"/>
        <v>1397.325</v>
      </c>
    </row>
  </sheetData>
  <drawing r:id="rId1"/>
</worksheet>
</file>