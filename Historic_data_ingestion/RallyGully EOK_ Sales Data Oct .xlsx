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Memberships" sheetId="8" r:id="rId12"/>
    <sheet state="visible" name="Brand Activation" sheetId="9" r:id="rId13"/>
  </sheets>
  <definedNames/>
  <calcPr/>
</workbook>
</file>

<file path=xl/sharedStrings.xml><?xml version="1.0" encoding="utf-8"?>
<sst xmlns="http://schemas.openxmlformats.org/spreadsheetml/2006/main" count="131" uniqueCount="87">
  <si>
    <t>Date: 1st Oct - 31st Oct</t>
  </si>
  <si>
    <t>Date</t>
  </si>
  <si>
    <t>Day</t>
  </si>
  <si>
    <t>Total Offline (Hours)</t>
  </si>
  <si>
    <t>Particulars</t>
  </si>
  <si>
    <t>Discount Given</t>
  </si>
  <si>
    <t>Amount</t>
  </si>
  <si>
    <t>Offline</t>
  </si>
  <si>
    <t>Revenue</t>
  </si>
  <si>
    <t>Link</t>
  </si>
  <si>
    <t xml:space="preserve">Paddle Rental </t>
  </si>
  <si>
    <t>Total Revenue</t>
  </si>
  <si>
    <t>Wednesday</t>
  </si>
  <si>
    <t>Rentals</t>
  </si>
  <si>
    <t>Thursday</t>
  </si>
  <si>
    <t>F&amp;B</t>
  </si>
  <si>
    <t>Product Sales</t>
  </si>
  <si>
    <t>Rallygully Community games</t>
  </si>
  <si>
    <t>Friday</t>
  </si>
  <si>
    <t>Bookings</t>
  </si>
  <si>
    <t>Saturday</t>
  </si>
  <si>
    <t>Paid to Hudle</t>
  </si>
  <si>
    <t>Commisions (Including GST)</t>
  </si>
  <si>
    <t>Net Revenue</t>
  </si>
  <si>
    <t>Sunday</t>
  </si>
  <si>
    <t>TDS</t>
  </si>
  <si>
    <t>TCS</t>
  </si>
  <si>
    <t>Monday</t>
  </si>
  <si>
    <t>Online: Third Party Platform</t>
  </si>
  <si>
    <t>Tuesday</t>
  </si>
  <si>
    <t>30 Sep - 7 Oct</t>
  </si>
  <si>
    <t>Hudle</t>
  </si>
  <si>
    <t>Playo</t>
  </si>
  <si>
    <t>District</t>
  </si>
  <si>
    <t>Khelomore</t>
  </si>
  <si>
    <t>Misfits Community</t>
  </si>
  <si>
    <t>Paid to Playo (₹)</t>
  </si>
  <si>
    <t>Commissions (₹)</t>
  </si>
  <si>
    <t>GST (₹)</t>
  </si>
  <si>
    <t>Memberships</t>
  </si>
  <si>
    <t>TDS (₹)</t>
  </si>
  <si>
    <t>TCS (₹)</t>
  </si>
  <si>
    <t>7 Oct - 14 Oct</t>
  </si>
  <si>
    <t>Corporate Events</t>
  </si>
  <si>
    <t>Final Amount (₹)</t>
  </si>
  <si>
    <t>Brand Activation</t>
  </si>
  <si>
    <t>14 Oct - 21 Oct</t>
  </si>
  <si>
    <t>29 Sep - 30 Sep</t>
  </si>
  <si>
    <t>Other Income</t>
  </si>
  <si>
    <t xml:space="preserve">21 Oct - 28 Oct </t>
  </si>
  <si>
    <t>Total Gross Revenue</t>
  </si>
  <si>
    <t>28 Oct - 31 Oct</t>
  </si>
  <si>
    <t>Total Net Revenue (Post Commissions)</t>
  </si>
  <si>
    <t>1 Oct - 5 Oct</t>
  </si>
  <si>
    <t>Total Revenue post GST</t>
  </si>
  <si>
    <t>Total</t>
  </si>
  <si>
    <t>October</t>
  </si>
  <si>
    <t>20 Oct - 26 Oct</t>
  </si>
  <si>
    <t>Expenses</t>
  </si>
  <si>
    <t>Venue Manager + Cleaner</t>
  </si>
  <si>
    <t xml:space="preserve">Marketing, Branding &amp; Community </t>
  </si>
  <si>
    <t>Net Profit (Revenue- Expense)</t>
  </si>
  <si>
    <t>School's Profit Share (65%)</t>
  </si>
  <si>
    <t>RallyGully's Profit Share (35%)</t>
  </si>
  <si>
    <t>Paid to District</t>
  </si>
  <si>
    <t>Paid to Khelomore (₹)</t>
  </si>
  <si>
    <t xml:space="preserve">1 - 21 Oct </t>
  </si>
  <si>
    <t xml:space="preserve">22 - 31 Oct </t>
  </si>
  <si>
    <t>Member Name</t>
  </si>
  <si>
    <t>Sports Type</t>
  </si>
  <si>
    <t>Membership Type</t>
  </si>
  <si>
    <t>Start Date</t>
  </si>
  <si>
    <t>Amount Collected</t>
  </si>
  <si>
    <t>Nitin</t>
  </si>
  <si>
    <t>Paid to Misfits (₹)</t>
  </si>
  <si>
    <t>Pickleball</t>
  </si>
  <si>
    <t>Post Comission (20%)</t>
  </si>
  <si>
    <t>Rally Pack (15)</t>
  </si>
  <si>
    <t xml:space="preserve">TDS </t>
  </si>
  <si>
    <t>Date &amp; Day</t>
  </si>
  <si>
    <t>Brand Name</t>
  </si>
  <si>
    <t>Timings</t>
  </si>
  <si>
    <t>Type of collab</t>
  </si>
  <si>
    <t>8 Nov &amp; Saturday</t>
  </si>
  <si>
    <t>Savikalpa</t>
  </si>
  <si>
    <t>5-9 PM</t>
  </si>
  <si>
    <t>On court activation for community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</si>
</sst>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"/>
    <numFmt numFmtId="165" formatCode="[&gt;9999999][$₹]##\,##\,##\,##0;[&gt;99999][$₹]##\,##\,##0;[$₹]##,##0"/>
    <numFmt numFmtId="166" formatCode="[&gt;9999999][$₹]##\,##\,##\,##0.00;[&gt;99999][$₹]##\,##\,##0.00;[$₹]##,##0.0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b/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color rgb="FF000000"/>
      <name val="Arial"/>
    </font>
    <font>
      <b/>
      <u/>
      <color rgb="FF0000FF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vertical="bottom"/>
    </xf>
    <xf borderId="1" fillId="2" fontId="1" numFmtId="9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2" fontId="1" numFmtId="3" xfId="0" applyAlignment="1" applyBorder="1" applyFill="1" applyFont="1" applyNumberFormat="1">
      <alignment horizontal="center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9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0" fillId="2" fontId="5" numFmtId="0" xfId="0" applyAlignment="1" applyFill="1" applyFont="1">
      <alignment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2" fontId="1" numFmtId="0" xfId="0" applyAlignment="1" applyBorder="1" applyFill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horizontal="right" vertical="bottom"/>
    </xf>
    <xf borderId="0" fillId="2" fontId="7" numFmtId="0" xfId="0" applyAlignment="1" applyFill="1" applyFont="1">
      <alignment horizontal="center"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165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1" fillId="0" fontId="1" numFmtId="166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right" vertical="bottom"/>
    </xf>
    <xf borderId="1" fillId="0" fontId="4" numFmtId="166" xfId="0" applyAlignment="1" applyBorder="1" applyFont="1" applyNumberFormat="1">
      <alignment horizontal="right"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4" numFmtId="4" xfId="0" applyAlignment="1" applyBorder="1" applyFont="1" applyNumberFormat="1">
      <alignment readingOrder="0" vertical="bottom"/>
    </xf>
    <xf borderId="1" fillId="2" fontId="4" numFmtId="0" xfId="0" applyAlignment="1" applyBorder="1" applyFill="1" applyFont="1">
      <alignment vertical="bottom"/>
    </xf>
    <xf borderId="0" fillId="0" fontId="9" numFmtId="0" xfId="0" applyAlignment="1" applyFont="1">
      <alignment readingOrder="0"/>
    </xf>
    <xf borderId="0" fillId="0" fontId="4" numFmtId="4" xfId="0" applyAlignment="1" applyFont="1" applyNumberFormat="1">
      <alignment vertical="bottom"/>
    </xf>
    <xf borderId="1" fillId="0" fontId="4" numFmtId="4" xfId="0" applyAlignment="1" applyBorder="1" applyFont="1" applyNumberFormat="1">
      <alignment vertical="bottom"/>
    </xf>
    <xf borderId="1" fillId="0" fontId="1" numFmtId="4" xfId="0" applyAlignment="1" applyBorder="1" applyFont="1" applyNumberFormat="1">
      <alignment horizontal="right" vertical="bottom"/>
    </xf>
    <xf borderId="1" fillId="0" fontId="1" numFmtId="166" xfId="0" applyAlignment="1" applyBorder="1" applyFont="1" applyNumberFormat="1">
      <alignment vertical="bottom"/>
    </xf>
    <xf borderId="1" fillId="2" fontId="1" numFmtId="0" xfId="0" applyAlignment="1" applyBorder="1" applyFill="1" applyFont="1">
      <alignment readingOrder="0" vertical="bottom"/>
    </xf>
    <xf borderId="0" fillId="0" fontId="9" numFmtId="164" xfId="0" applyAlignment="1" applyFont="1" applyNumberFormat="1">
      <alignment readingOrder="0"/>
    </xf>
    <xf borderId="1" fillId="0" fontId="10" numFmtId="0" xfId="0" applyAlignment="1" applyBorder="1" applyFont="1">
      <alignment horizontal="right" vertical="bottom"/>
    </xf>
    <xf borderId="1" fillId="2" fontId="1" numFmtId="0" xfId="0" applyAlignment="1" applyBorder="1" applyFill="1" applyFont="1">
      <alignment horizontal="center" readingOrder="0" vertical="bottom"/>
    </xf>
    <xf borderId="0" fillId="0" fontId="4" numFmtId="164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2" fontId="3" numFmtId="0" xfId="0" applyAlignment="1" applyFill="1" applyFont="1">
      <alignment horizontal="center" readingOrder="0"/>
    </xf>
    <xf borderId="1" fillId="0" fontId="1" numFmtId="165" xfId="0" applyAlignment="1" applyBorder="1" applyFont="1" applyNumberFormat="1">
      <alignment horizontal="right" readingOrder="0" vertical="bottom"/>
    </xf>
    <xf borderId="0" fillId="0" fontId="9" numFmtId="0" xfId="0" applyAlignment="1" applyFont="1">
      <alignment horizontal="right" readingOrder="0"/>
    </xf>
    <xf borderId="0" fillId="0" fontId="9" numFmtId="3" xfId="0" applyAlignment="1" applyFont="1" applyNumberFormat="1">
      <alignment horizontal="right" readingOrder="0"/>
    </xf>
    <xf borderId="1" fillId="0" fontId="4" numFmtId="165" xfId="0" applyAlignment="1" applyBorder="1" applyFont="1" applyNumberFormat="1">
      <alignment readingOrder="0" vertical="bottom"/>
    </xf>
    <xf borderId="1" fillId="0" fontId="4" numFmtId="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KU1ST88wC7Rvh2DmccLuArchm6aZ5NOnNP50kPnRl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ehxdrFefz4thu9FABYNNpgdR2FtazkF17pkMUNvYU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ZiuaQr3AqSPWde5JLHiGxekgGL-TebZjDM00yuw_KY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0</v>
      </c>
      <c r="C2" s="3"/>
      <c r="E2" s="5"/>
    </row>
    <row r="3">
      <c r="B3" s="6" t="s">
        <v>4</v>
      </c>
      <c r="C3" s="6" t="s">
        <v>6</v>
      </c>
    </row>
    <row r="4" collapsed="1">
      <c r="B4" s="8" t="s">
        <v>7</v>
      </c>
      <c r="C4" s="13">
        <f>SUM(C5,C6,C7,C8, C9)</f>
        <v>15260</v>
      </c>
    </row>
    <row r="5" hidden="1" outlineLevel="1">
      <c r="B5" s="8" t="s">
        <v>13</v>
      </c>
      <c r="C5" s="13">
        <f>sum('Offline &amp; RG Community'!F33)</f>
        <v>6550</v>
      </c>
    </row>
    <row r="6" hidden="1" outlineLevel="1">
      <c r="B6" s="8" t="s">
        <v>15</v>
      </c>
      <c r="C6" s="13">
        <v>0.0</v>
      </c>
    </row>
    <row r="7" hidden="1" outlineLevel="1">
      <c r="B7" s="8" t="s">
        <v>16</v>
      </c>
      <c r="C7" s="13">
        <v>0.0</v>
      </c>
    </row>
    <row r="8" hidden="1" outlineLevel="1">
      <c r="B8" s="8" t="s">
        <v>17</v>
      </c>
      <c r="C8" s="16">
        <v>5200.0</v>
      </c>
    </row>
    <row r="9" hidden="1" outlineLevel="1">
      <c r="B9" s="8" t="s">
        <v>19</v>
      </c>
      <c r="C9" s="16">
        <f>'Offline &amp; RG Community'!E33-C8</f>
        <v>3510</v>
      </c>
    </row>
    <row r="10" collapsed="1">
      <c r="B10" s="8" t="s">
        <v>28</v>
      </c>
      <c r="C10" s="13">
        <f>SUM(C11:C15)</f>
        <v>132672.6</v>
      </c>
    </row>
    <row r="11" hidden="1" outlineLevel="1">
      <c r="B11" s="8" t="s">
        <v>31</v>
      </c>
      <c r="C11" s="13">
        <f>Hudle!C7</f>
        <v>115555</v>
      </c>
    </row>
    <row r="12" hidden="1" outlineLevel="1">
      <c r="B12" s="8" t="s">
        <v>32</v>
      </c>
      <c r="C12" s="13">
        <f>Playo!C6</f>
        <v>5917.6</v>
      </c>
    </row>
    <row r="13" hidden="1" outlineLevel="1">
      <c r="B13" s="8" t="s">
        <v>33</v>
      </c>
      <c r="C13" s="13">
        <f>District!B2</f>
        <v>1200</v>
      </c>
    </row>
    <row r="14" hidden="1" outlineLevel="1">
      <c r="B14" s="8" t="s">
        <v>34</v>
      </c>
      <c r="C14" s="13">
        <f>Khelomore!C4</f>
        <v>4800</v>
      </c>
    </row>
    <row r="15" hidden="1" outlineLevel="1">
      <c r="B15" s="8" t="s">
        <v>35</v>
      </c>
      <c r="C15" s="13">
        <f>Misfits!C2</f>
        <v>5200</v>
      </c>
    </row>
    <row r="16">
      <c r="B16" s="8" t="s">
        <v>39</v>
      </c>
      <c r="C16" s="16">
        <f>Memberships!E2</f>
        <v>15300</v>
      </c>
    </row>
    <row r="17">
      <c r="B17" s="8" t="s">
        <v>43</v>
      </c>
      <c r="C17" s="13">
        <v>0.0</v>
      </c>
    </row>
    <row r="18">
      <c r="B18" s="8" t="s">
        <v>45</v>
      </c>
      <c r="C18" s="13">
        <f>'Brand Activation'!C2</f>
        <v>15000</v>
      </c>
    </row>
    <row r="19">
      <c r="B19" s="29" t="s">
        <v>48</v>
      </c>
      <c r="C19" s="30">
        <v>0.0</v>
      </c>
    </row>
    <row r="20">
      <c r="B20" s="32" t="s">
        <v>50</v>
      </c>
      <c r="C20" s="35">
        <f>sum(C4,C10,C16,C17,C18,C19)</f>
        <v>178232.6</v>
      </c>
    </row>
    <row r="21">
      <c r="B21" s="36" t="s">
        <v>52</v>
      </c>
      <c r="C21" s="13">
        <f>sum('Offline &amp; RG Community'!G33,Hudle!E7,Playo!F6,District!F2,Khelomore!E4,Misfits!D2,Memberships!E2,'Brand Activation'!C2)</f>
        <v>161389.26</v>
      </c>
    </row>
    <row r="22">
      <c r="B22" s="32" t="s">
        <v>54</v>
      </c>
      <c r="C22" s="35">
        <f>C21/1.18</f>
        <v>136770.5593</v>
      </c>
    </row>
    <row r="23">
      <c r="B23" s="41" t="s">
        <v>58</v>
      </c>
      <c r="C23" s="35"/>
    </row>
    <row r="24">
      <c r="B24" s="27" t="s">
        <v>59</v>
      </c>
      <c r="C24" s="13">
        <f>5500+25000</f>
        <v>30500</v>
      </c>
    </row>
    <row r="25">
      <c r="B25" s="27" t="s">
        <v>60</v>
      </c>
      <c r="C25" s="16">
        <v>15000.0</v>
      </c>
    </row>
    <row r="26">
      <c r="B26" s="41" t="s">
        <v>55</v>
      </c>
      <c r="C26" s="35">
        <f>C24+C25</f>
        <v>45500</v>
      </c>
    </row>
    <row r="27">
      <c r="B27" s="41" t="s">
        <v>61</v>
      </c>
      <c r="C27" s="35">
        <f>C22-C26</f>
        <v>91270.55932</v>
      </c>
    </row>
    <row r="28">
      <c r="B28" s="41"/>
      <c r="C28" s="35"/>
    </row>
    <row r="29">
      <c r="B29" s="41" t="s">
        <v>62</v>
      </c>
      <c r="C29" s="35">
        <f>C27*65%</f>
        <v>59325.86356</v>
      </c>
    </row>
    <row r="30">
      <c r="B30" s="41" t="s">
        <v>63</v>
      </c>
      <c r="C30" s="35">
        <f>C27*35%</f>
        <v>31944.69576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</cols>
  <sheetData>
    <row r="1">
      <c r="A1" s="1" t="s">
        <v>1</v>
      </c>
      <c r="B1" s="4" t="s">
        <v>2</v>
      </c>
      <c r="C1" s="4" t="s">
        <v>3</v>
      </c>
      <c r="D1" s="7" t="s">
        <v>5</v>
      </c>
      <c r="E1" s="9" t="s">
        <v>8</v>
      </c>
      <c r="F1" s="4" t="s">
        <v>10</v>
      </c>
      <c r="G1" s="9" t="s">
        <v>11</v>
      </c>
    </row>
    <row r="2">
      <c r="A2" s="10">
        <v>45931.0</v>
      </c>
      <c r="B2" s="8" t="s">
        <v>12</v>
      </c>
      <c r="C2" s="11">
        <v>0.0</v>
      </c>
      <c r="D2" s="12">
        <v>0.0</v>
      </c>
      <c r="E2" s="11">
        <v>0.0</v>
      </c>
      <c r="F2" s="11">
        <v>400.0</v>
      </c>
      <c r="G2" s="11">
        <f t="shared" ref="G2:G9" si="1">sum(E2:F2)</f>
        <v>400</v>
      </c>
    </row>
    <row r="3">
      <c r="A3" s="10">
        <v>45932.0</v>
      </c>
      <c r="B3" s="8" t="s">
        <v>14</v>
      </c>
      <c r="C3" s="11">
        <v>0.0</v>
      </c>
      <c r="D3" s="12">
        <v>0.0</v>
      </c>
      <c r="E3" s="14">
        <v>0.0</v>
      </c>
      <c r="F3" s="11">
        <v>400.0</v>
      </c>
      <c r="G3" s="14">
        <f t="shared" si="1"/>
        <v>400</v>
      </c>
    </row>
    <row r="4">
      <c r="A4" s="10">
        <v>45933.0</v>
      </c>
      <c r="B4" s="8" t="s">
        <v>18</v>
      </c>
      <c r="C4" s="11">
        <v>0.0</v>
      </c>
      <c r="D4" s="12">
        <v>0.0</v>
      </c>
      <c r="E4" s="14">
        <v>0.0</v>
      </c>
      <c r="F4" s="11">
        <v>200.0</v>
      </c>
      <c r="G4" s="14">
        <f t="shared" si="1"/>
        <v>200</v>
      </c>
    </row>
    <row r="5">
      <c r="A5" s="10">
        <v>45934.0</v>
      </c>
      <c r="B5" s="8" t="s">
        <v>20</v>
      </c>
      <c r="C5" s="11">
        <v>0.0</v>
      </c>
      <c r="D5" s="12">
        <v>0.0</v>
      </c>
      <c r="E5" s="14">
        <v>0.0</v>
      </c>
      <c r="F5" s="11">
        <v>200.0</v>
      </c>
      <c r="G5" s="14">
        <f t="shared" si="1"/>
        <v>200</v>
      </c>
    </row>
    <row r="6">
      <c r="A6" s="10">
        <v>45935.0</v>
      </c>
      <c r="B6" s="8" t="s">
        <v>24</v>
      </c>
      <c r="C6" s="11">
        <v>0.0</v>
      </c>
      <c r="D6" s="12">
        <v>0.0</v>
      </c>
      <c r="E6" s="11">
        <v>0.0</v>
      </c>
      <c r="F6" s="11">
        <v>800.0</v>
      </c>
      <c r="G6" s="14">
        <f t="shared" si="1"/>
        <v>800</v>
      </c>
    </row>
    <row r="7">
      <c r="A7" s="10">
        <v>45936.0</v>
      </c>
      <c r="B7" s="8" t="s">
        <v>27</v>
      </c>
      <c r="C7" s="11">
        <v>0.0</v>
      </c>
      <c r="D7" s="12">
        <v>0.0</v>
      </c>
      <c r="E7" s="11">
        <v>0.0</v>
      </c>
      <c r="F7" s="11">
        <v>0.0</v>
      </c>
      <c r="G7" s="11">
        <f t="shared" si="1"/>
        <v>0</v>
      </c>
    </row>
    <row r="8">
      <c r="A8" s="10">
        <v>45937.0</v>
      </c>
      <c r="B8" s="8" t="s">
        <v>29</v>
      </c>
      <c r="C8" s="11">
        <v>0.0</v>
      </c>
      <c r="D8" s="12">
        <v>0.0</v>
      </c>
      <c r="E8" s="14">
        <v>0.0</v>
      </c>
      <c r="F8" s="11">
        <v>200.0</v>
      </c>
      <c r="G8" s="14">
        <f t="shared" si="1"/>
        <v>200</v>
      </c>
    </row>
    <row r="9">
      <c r="A9" s="10">
        <v>45938.0</v>
      </c>
      <c r="B9" s="8" t="s">
        <v>12</v>
      </c>
      <c r="C9" s="11">
        <v>0.0</v>
      </c>
      <c r="D9" s="12">
        <v>0.0</v>
      </c>
      <c r="E9" s="14">
        <v>0.0</v>
      </c>
      <c r="F9" s="11">
        <v>0.0</v>
      </c>
      <c r="G9" s="14">
        <f t="shared" si="1"/>
        <v>0</v>
      </c>
      <c r="H9" s="19"/>
      <c r="I9" s="19"/>
    </row>
    <row r="10">
      <c r="A10" s="10">
        <v>45939.0</v>
      </c>
      <c r="B10" s="8" t="s">
        <v>14</v>
      </c>
      <c r="C10" s="21">
        <v>0.0</v>
      </c>
      <c r="D10" s="12">
        <v>0.0</v>
      </c>
      <c r="E10" s="14">
        <v>0.0</v>
      </c>
      <c r="F10" s="21">
        <v>0.0</v>
      </c>
      <c r="G10" s="14">
        <v>0.0</v>
      </c>
      <c r="H10" s="19"/>
      <c r="I10" s="19"/>
    </row>
    <row r="11">
      <c r="A11" s="10">
        <v>45940.0</v>
      </c>
      <c r="B11" s="8" t="s">
        <v>18</v>
      </c>
      <c r="C11" s="21">
        <v>0.0</v>
      </c>
      <c r="D11" s="12">
        <v>0.0</v>
      </c>
      <c r="E11" s="14">
        <v>0.0</v>
      </c>
      <c r="F11" s="21">
        <v>0.0</v>
      </c>
      <c r="G11" s="21">
        <v>0.0</v>
      </c>
      <c r="H11" s="19"/>
      <c r="I11" s="19"/>
    </row>
    <row r="12">
      <c r="A12" s="10">
        <v>45941.0</v>
      </c>
      <c r="B12" s="8" t="s">
        <v>20</v>
      </c>
      <c r="C12" s="11">
        <v>0.0</v>
      </c>
      <c r="D12" s="12">
        <v>0.0</v>
      </c>
      <c r="E12" s="11">
        <v>0.0</v>
      </c>
      <c r="F12" s="11">
        <v>0.0</v>
      </c>
      <c r="G12" s="14">
        <v>0.0</v>
      </c>
      <c r="H12" s="19"/>
      <c r="I12" s="19"/>
    </row>
    <row r="13">
      <c r="A13" s="10">
        <v>45942.0</v>
      </c>
      <c r="B13" s="8" t="s">
        <v>24</v>
      </c>
      <c r="C13" s="11">
        <v>0.0</v>
      </c>
      <c r="D13" s="12">
        <v>0.0</v>
      </c>
      <c r="E13" s="14">
        <v>0.0</v>
      </c>
      <c r="F13" s="11">
        <v>0.0</v>
      </c>
      <c r="G13" s="14">
        <v>0.0</v>
      </c>
      <c r="H13" s="19"/>
      <c r="I13" s="19"/>
    </row>
    <row r="14">
      <c r="A14" s="10">
        <v>45943.0</v>
      </c>
      <c r="B14" s="8" t="s">
        <v>27</v>
      </c>
      <c r="C14" s="11">
        <v>0.0</v>
      </c>
      <c r="D14" s="12">
        <v>0.0</v>
      </c>
      <c r="E14" s="11">
        <v>0.0</v>
      </c>
      <c r="F14" s="11">
        <v>0.0</v>
      </c>
      <c r="G14" s="11">
        <v>0.0</v>
      </c>
      <c r="H14" s="19"/>
      <c r="I14" s="19"/>
    </row>
    <row r="15">
      <c r="A15" s="10">
        <v>45944.0</v>
      </c>
      <c r="B15" s="8" t="s">
        <v>29</v>
      </c>
      <c r="C15" s="11">
        <v>0.0</v>
      </c>
      <c r="D15" s="12">
        <v>0.0</v>
      </c>
      <c r="E15" s="11">
        <v>0.0</v>
      </c>
      <c r="F15" s="11">
        <v>0.0</v>
      </c>
      <c r="G15" s="11">
        <v>0.0</v>
      </c>
      <c r="H15" s="19"/>
      <c r="I15" s="19"/>
    </row>
    <row r="16">
      <c r="A16" s="10">
        <v>45945.0</v>
      </c>
      <c r="B16" s="8" t="s">
        <v>12</v>
      </c>
      <c r="C16" s="11">
        <v>0.0</v>
      </c>
      <c r="D16" s="12">
        <v>0.0</v>
      </c>
      <c r="E16" s="11">
        <v>0.0</v>
      </c>
      <c r="F16" s="11">
        <v>0.0</v>
      </c>
      <c r="G16" s="11">
        <v>0.0</v>
      </c>
      <c r="H16" s="19"/>
      <c r="I16" s="19"/>
    </row>
    <row r="17">
      <c r="A17" s="10">
        <v>45946.0</v>
      </c>
      <c r="B17" s="8" t="s">
        <v>14</v>
      </c>
      <c r="C17" s="11">
        <v>0.0</v>
      </c>
      <c r="D17" s="12">
        <v>0.0</v>
      </c>
      <c r="E17" s="11">
        <v>0.0</v>
      </c>
      <c r="F17" s="11">
        <v>0.0</v>
      </c>
      <c r="G17" s="11">
        <v>0.0</v>
      </c>
      <c r="H17" s="19"/>
      <c r="I17" s="19"/>
    </row>
    <row r="18">
      <c r="A18" s="10">
        <v>45947.0</v>
      </c>
      <c r="B18" s="8" t="s">
        <v>18</v>
      </c>
      <c r="C18" s="11">
        <v>0.0</v>
      </c>
      <c r="D18" s="12">
        <v>0.0</v>
      </c>
      <c r="E18" s="11">
        <v>0.0</v>
      </c>
      <c r="F18" s="11">
        <v>0.0</v>
      </c>
      <c r="G18" s="11">
        <v>0.0</v>
      </c>
    </row>
    <row r="19">
      <c r="A19" s="10">
        <v>45948.0</v>
      </c>
      <c r="B19" s="8" t="s">
        <v>20</v>
      </c>
      <c r="C19" s="11">
        <v>0.0</v>
      </c>
      <c r="D19" s="12">
        <v>0.0</v>
      </c>
      <c r="E19" s="11">
        <v>0.0</v>
      </c>
      <c r="F19" s="11">
        <v>100.0</v>
      </c>
      <c r="G19" s="11">
        <f>SUM(E19:F19)</f>
        <v>100</v>
      </c>
    </row>
    <row r="20">
      <c r="A20" s="10">
        <v>45949.0</v>
      </c>
      <c r="B20" s="8" t="s">
        <v>24</v>
      </c>
      <c r="C20" s="11">
        <v>1.0</v>
      </c>
      <c r="D20" s="12">
        <v>0.0</v>
      </c>
      <c r="E20" s="11">
        <v>250.0</v>
      </c>
      <c r="F20" s="11">
        <v>0.0</v>
      </c>
      <c r="G20" s="24">
        <v>250.0</v>
      </c>
    </row>
    <row r="21">
      <c r="A21" s="10">
        <v>45950.0</v>
      </c>
      <c r="B21" s="8" t="s">
        <v>27</v>
      </c>
      <c r="C21" s="11">
        <v>0.0</v>
      </c>
      <c r="D21" s="12">
        <v>0.0</v>
      </c>
      <c r="E21" s="11">
        <v>0.0</v>
      </c>
      <c r="F21" s="11">
        <v>0.0</v>
      </c>
      <c r="G21" s="11">
        <f t="shared" ref="G21:G28" si="2">SUM(E21:F21)</f>
        <v>0</v>
      </c>
    </row>
    <row r="22">
      <c r="A22" s="10">
        <v>45951.0</v>
      </c>
      <c r="B22" s="8" t="s">
        <v>29</v>
      </c>
      <c r="C22" s="11">
        <v>0.0</v>
      </c>
      <c r="D22" s="12">
        <v>0.0</v>
      </c>
      <c r="E22" s="11">
        <v>0.0</v>
      </c>
      <c r="F22" s="11">
        <v>600.0</v>
      </c>
      <c r="G22" s="11">
        <f t="shared" si="2"/>
        <v>600</v>
      </c>
    </row>
    <row r="23">
      <c r="A23" s="10">
        <v>45952.0</v>
      </c>
      <c r="B23" s="8" t="s">
        <v>12</v>
      </c>
      <c r="C23" s="11">
        <v>0.0</v>
      </c>
      <c r="D23" s="12">
        <v>0.0</v>
      </c>
      <c r="E23" s="11">
        <v>0.0</v>
      </c>
      <c r="F23" s="11">
        <v>200.0</v>
      </c>
      <c r="G23" s="11">
        <f t="shared" si="2"/>
        <v>200</v>
      </c>
    </row>
    <row r="24">
      <c r="A24" s="10">
        <v>45953.0</v>
      </c>
      <c r="B24" s="8" t="s">
        <v>14</v>
      </c>
      <c r="C24" s="11">
        <v>0.0</v>
      </c>
      <c r="D24" s="12">
        <v>0.0</v>
      </c>
      <c r="E24" s="11">
        <v>0.0</v>
      </c>
      <c r="F24" s="11">
        <v>400.0</v>
      </c>
      <c r="G24" s="11">
        <f t="shared" si="2"/>
        <v>400</v>
      </c>
    </row>
    <row r="25">
      <c r="A25" s="10">
        <v>45954.0</v>
      </c>
      <c r="B25" s="8" t="s">
        <v>18</v>
      </c>
      <c r="C25" s="11">
        <v>1.5</v>
      </c>
      <c r="D25" s="12">
        <v>0.0</v>
      </c>
      <c r="E25" s="11">
        <v>1620.0</v>
      </c>
      <c r="F25" s="11">
        <v>200.0</v>
      </c>
      <c r="G25" s="11">
        <f t="shared" si="2"/>
        <v>1820</v>
      </c>
    </row>
    <row r="26">
      <c r="A26" s="10">
        <v>45955.0</v>
      </c>
      <c r="B26" s="8" t="s">
        <v>20</v>
      </c>
      <c r="C26" s="11">
        <v>0.5</v>
      </c>
      <c r="D26" s="12">
        <v>0.0</v>
      </c>
      <c r="E26" s="11">
        <v>600.0</v>
      </c>
      <c r="F26" s="11">
        <v>600.0</v>
      </c>
      <c r="G26" s="11">
        <f t="shared" si="2"/>
        <v>1200</v>
      </c>
    </row>
    <row r="27">
      <c r="A27" s="10">
        <v>45956.0</v>
      </c>
      <c r="B27" s="8" t="s">
        <v>24</v>
      </c>
      <c r="C27" s="11">
        <v>5.0</v>
      </c>
      <c r="D27" s="12">
        <v>0.0</v>
      </c>
      <c r="E27" s="11">
        <v>3300.0</v>
      </c>
      <c r="F27" s="11">
        <v>1200.0</v>
      </c>
      <c r="G27" s="11">
        <f t="shared" si="2"/>
        <v>4500</v>
      </c>
    </row>
    <row r="28">
      <c r="A28" s="10">
        <v>45957.0</v>
      </c>
      <c r="B28" s="8" t="s">
        <v>27</v>
      </c>
      <c r="C28" s="11">
        <v>1.0</v>
      </c>
      <c r="D28" s="12">
        <v>0.0</v>
      </c>
      <c r="E28" s="11">
        <v>1200.0</v>
      </c>
      <c r="F28" s="11">
        <v>800.0</v>
      </c>
      <c r="G28" s="11">
        <f t="shared" si="2"/>
        <v>2000</v>
      </c>
      <c r="H28" s="19"/>
      <c r="I28" s="19"/>
    </row>
    <row r="29">
      <c r="A29" s="10">
        <v>45958.0</v>
      </c>
      <c r="B29" s="8" t="s">
        <v>29</v>
      </c>
      <c r="C29" s="27">
        <v>0.5</v>
      </c>
      <c r="D29" s="12">
        <v>0.0</v>
      </c>
      <c r="E29" s="27">
        <v>570.0</v>
      </c>
      <c r="F29" s="27">
        <v>100.0</v>
      </c>
      <c r="G29" s="27">
        <v>670.0</v>
      </c>
    </row>
    <row r="30">
      <c r="A30" s="10">
        <v>45959.0</v>
      </c>
      <c r="B30" s="8" t="s">
        <v>12</v>
      </c>
      <c r="C30" s="27">
        <v>0.0</v>
      </c>
      <c r="D30" s="12">
        <v>0.0</v>
      </c>
      <c r="E30" s="27">
        <v>0.0</v>
      </c>
      <c r="F30" s="27">
        <v>0.0</v>
      </c>
      <c r="G30" s="27">
        <v>0.0</v>
      </c>
    </row>
    <row r="31">
      <c r="A31" s="10">
        <v>45960.0</v>
      </c>
      <c r="B31" s="8" t="s">
        <v>14</v>
      </c>
      <c r="C31" s="27">
        <v>0.5</v>
      </c>
      <c r="D31" s="12">
        <v>0.0</v>
      </c>
      <c r="E31" s="27">
        <v>570.0</v>
      </c>
      <c r="F31" s="27">
        <v>0.0</v>
      </c>
      <c r="G31" s="27">
        <v>570.0</v>
      </c>
    </row>
    <row r="32">
      <c r="A32" s="10">
        <v>45961.0</v>
      </c>
      <c r="B32" s="8" t="s">
        <v>18</v>
      </c>
      <c r="C32" s="27">
        <v>1.0</v>
      </c>
      <c r="D32" s="12">
        <v>0.0</v>
      </c>
      <c r="E32" s="27">
        <v>600.0</v>
      </c>
      <c r="F32" s="27">
        <v>150.0</v>
      </c>
      <c r="G32" s="27">
        <v>750.0</v>
      </c>
    </row>
    <row r="33">
      <c r="A33" s="39" t="s">
        <v>55</v>
      </c>
      <c r="B33" s="17" t="s">
        <v>56</v>
      </c>
      <c r="C33" s="39">
        <f>SUM(C2:C32)</f>
        <v>11</v>
      </c>
      <c r="D33" s="43"/>
      <c r="E33" s="39">
        <f t="shared" ref="E33:G33" si="3">SUM(E2:E32)</f>
        <v>8710</v>
      </c>
      <c r="F33" s="39">
        <f t="shared" si="3"/>
        <v>6550</v>
      </c>
      <c r="G33" s="39">
        <f t="shared" si="3"/>
        <v>15260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5" t="s">
        <v>9</v>
      </c>
      <c r="B1" s="17" t="s">
        <v>1</v>
      </c>
      <c r="C1" s="17" t="s">
        <v>21</v>
      </c>
      <c r="D1" s="17" t="s">
        <v>22</v>
      </c>
      <c r="E1" s="17" t="s">
        <v>23</v>
      </c>
      <c r="F1" s="17" t="s">
        <v>25</v>
      </c>
      <c r="G1" s="17" t="s">
        <v>26</v>
      </c>
      <c r="H1" s="17" t="s">
        <v>6</v>
      </c>
      <c r="I1" s="18"/>
    </row>
    <row r="2">
      <c r="A2" s="19"/>
      <c r="B2" s="8" t="s">
        <v>30</v>
      </c>
      <c r="C2" s="20">
        <v>37440.0</v>
      </c>
      <c r="D2" s="20">
        <v>4867.2</v>
      </c>
      <c r="E2" s="23">
        <f t="shared" ref="E2:E6" si="1">C2-D2</f>
        <v>32572.8</v>
      </c>
      <c r="F2" s="20">
        <v>31.72</v>
      </c>
      <c r="G2" s="20">
        <v>158.64</v>
      </c>
      <c r="H2" s="24">
        <v>32375.33</v>
      </c>
    </row>
    <row r="3">
      <c r="A3" s="19"/>
      <c r="B3" s="8" t="s">
        <v>42</v>
      </c>
      <c r="C3" s="20">
        <v>11800.0</v>
      </c>
      <c r="D3" s="24">
        <v>1534.0</v>
      </c>
      <c r="E3" s="23">
        <f t="shared" si="1"/>
        <v>10266</v>
      </c>
      <c r="F3" s="24">
        <v>10.0001</v>
      </c>
      <c r="G3" s="24">
        <v>50.0001</v>
      </c>
      <c r="H3" s="24">
        <v>10206.02</v>
      </c>
    </row>
    <row r="4">
      <c r="A4" s="19"/>
      <c r="B4" s="8" t="s">
        <v>46</v>
      </c>
      <c r="C4" s="26">
        <v>29965.0</v>
      </c>
      <c r="D4" s="27">
        <v>3901.5</v>
      </c>
      <c r="E4" s="23">
        <f t="shared" si="1"/>
        <v>26063.5</v>
      </c>
      <c r="F4" s="27">
        <v>25.43</v>
      </c>
      <c r="G4" s="27">
        <v>127.18</v>
      </c>
      <c r="H4" s="27">
        <v>25960.49</v>
      </c>
    </row>
    <row r="5">
      <c r="A5" s="19"/>
      <c r="B5" s="8" t="s">
        <v>49</v>
      </c>
      <c r="C5" s="26">
        <v>26200.0</v>
      </c>
      <c r="D5" s="27">
        <v>3406.0</v>
      </c>
      <c r="E5" s="23">
        <f t="shared" si="1"/>
        <v>22794</v>
      </c>
      <c r="F5" s="27">
        <v>22.2</v>
      </c>
      <c r="G5" s="27">
        <v>111.01</v>
      </c>
      <c r="H5" s="27">
        <v>22660.82</v>
      </c>
    </row>
    <row r="6">
      <c r="A6" s="33"/>
      <c r="B6" s="27" t="s">
        <v>51</v>
      </c>
      <c r="C6" s="20">
        <v>10150.0</v>
      </c>
      <c r="D6" s="27">
        <v>1326.0</v>
      </c>
      <c r="E6" s="23">
        <f t="shared" si="1"/>
        <v>8824</v>
      </c>
      <c r="F6" s="27">
        <v>8.64</v>
      </c>
      <c r="G6" s="27">
        <v>43.22</v>
      </c>
      <c r="H6" s="24">
        <v>8822.15</v>
      </c>
    </row>
    <row r="7">
      <c r="A7" s="19"/>
      <c r="B7" s="8"/>
      <c r="C7" s="34">
        <f>SUM(C2:C6)</f>
        <v>115555</v>
      </c>
      <c r="D7" s="8"/>
      <c r="E7" s="34">
        <f>SUM(E2:E6)</f>
        <v>100520.3</v>
      </c>
      <c r="F7" s="8"/>
      <c r="G7" s="8"/>
      <c r="H7" s="37">
        <f>SUM(H2:H6)</f>
        <v>100024.81</v>
      </c>
    </row>
    <row r="8">
      <c r="E8" s="34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22" t="s">
        <v>9</v>
      </c>
      <c r="B1" s="4" t="s">
        <v>1</v>
      </c>
      <c r="C1" s="4" t="s">
        <v>36</v>
      </c>
      <c r="D1" s="4" t="s">
        <v>37</v>
      </c>
      <c r="E1" s="4" t="s">
        <v>38</v>
      </c>
      <c r="F1" s="4" t="s">
        <v>23</v>
      </c>
      <c r="G1" s="4" t="s">
        <v>40</v>
      </c>
      <c r="H1" s="4" t="s">
        <v>41</v>
      </c>
      <c r="I1" s="4" t="s">
        <v>44</v>
      </c>
    </row>
    <row r="2">
      <c r="A2" s="25"/>
      <c r="B2" s="28" t="s">
        <v>47</v>
      </c>
      <c r="C2" s="31">
        <v>1917.6</v>
      </c>
      <c r="D2" s="31">
        <v>168.0</v>
      </c>
      <c r="E2" s="31">
        <v>30.24</v>
      </c>
      <c r="F2" s="23">
        <f t="shared" ref="F2:F4" si="1">C2-D2-E2</f>
        <v>1719.36</v>
      </c>
      <c r="G2" s="31">
        <v>1.92</v>
      </c>
      <c r="H2" s="31">
        <v>9.58</v>
      </c>
      <c r="I2" s="31">
        <v>1707.86</v>
      </c>
    </row>
    <row r="3">
      <c r="A3" s="25"/>
      <c r="B3" s="28" t="s">
        <v>53</v>
      </c>
      <c r="C3" s="38">
        <v>1200.0</v>
      </c>
      <c r="D3" s="38">
        <v>84.0</v>
      </c>
      <c r="E3" s="38">
        <v>15.12</v>
      </c>
      <c r="F3" s="23">
        <f t="shared" si="1"/>
        <v>1100.88</v>
      </c>
      <c r="G3" s="40">
        <v>1.2</v>
      </c>
      <c r="H3" s="40">
        <v>6.0</v>
      </c>
      <c r="I3" s="40">
        <v>1093.68</v>
      </c>
    </row>
    <row r="4">
      <c r="A4" s="19"/>
      <c r="B4" s="8" t="s">
        <v>57</v>
      </c>
      <c r="C4" s="42">
        <v>2800.0</v>
      </c>
      <c r="D4" s="42">
        <v>196.0</v>
      </c>
      <c r="E4" s="27">
        <v>35.28</v>
      </c>
      <c r="F4" s="23">
        <f t="shared" si="1"/>
        <v>2568.72</v>
      </c>
      <c r="G4" s="44">
        <v>2.8</v>
      </c>
      <c r="H4" s="27">
        <v>14.0</v>
      </c>
      <c r="I4" s="42">
        <v>2551.92</v>
      </c>
    </row>
    <row r="5">
      <c r="A5" s="19"/>
      <c r="B5" s="8"/>
      <c r="C5" s="45"/>
      <c r="D5" s="46"/>
      <c r="E5" s="8"/>
      <c r="F5" s="34"/>
      <c r="G5" s="8"/>
      <c r="H5" s="8"/>
      <c r="I5" s="46"/>
    </row>
    <row r="6">
      <c r="A6" s="19"/>
      <c r="B6" s="8"/>
      <c r="C6" s="47">
        <f>SUM(C2:C4)</f>
        <v>5917.6</v>
      </c>
      <c r="D6" s="46"/>
      <c r="E6" s="8"/>
      <c r="F6" s="48">
        <f>SUM(F2:F4)</f>
        <v>5388.96</v>
      </c>
      <c r="G6" s="8"/>
      <c r="H6" s="8"/>
      <c r="I6" s="47">
        <f>SUM(I2:I4)</f>
        <v>5353.46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2.75"/>
    <col customWidth="1" min="3" max="3" width="23.88"/>
  </cols>
  <sheetData>
    <row r="1">
      <c r="A1" s="17" t="s">
        <v>1</v>
      </c>
      <c r="B1" s="49" t="s">
        <v>64</v>
      </c>
      <c r="C1" s="17" t="s">
        <v>22</v>
      </c>
      <c r="D1" s="17" t="s">
        <v>25</v>
      </c>
      <c r="E1" s="17" t="s">
        <v>26</v>
      </c>
      <c r="F1" s="17" t="s">
        <v>6</v>
      </c>
    </row>
    <row r="2">
      <c r="A2" s="50">
        <v>45959.0</v>
      </c>
      <c r="B2" s="44">
        <v>1200.0</v>
      </c>
      <c r="C2" s="44">
        <v>0.0</v>
      </c>
      <c r="D2" s="44">
        <v>0.0</v>
      </c>
      <c r="E2" s="44">
        <v>0.0</v>
      </c>
      <c r="F2" s="44">
        <v>1200.0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22" t="s">
        <v>9</v>
      </c>
      <c r="B1" s="4" t="s">
        <v>1</v>
      </c>
      <c r="C1" s="4" t="s">
        <v>65</v>
      </c>
      <c r="D1" s="4" t="s">
        <v>37</v>
      </c>
      <c r="E1" s="4" t="s">
        <v>44</v>
      </c>
    </row>
    <row r="2">
      <c r="A2" s="33"/>
      <c r="B2" s="27" t="s">
        <v>66</v>
      </c>
      <c r="C2" s="27">
        <v>3600.0</v>
      </c>
      <c r="D2" s="27">
        <v>180.0</v>
      </c>
      <c r="E2" s="27">
        <v>3420.0</v>
      </c>
    </row>
    <row r="3">
      <c r="A3" s="33"/>
      <c r="B3" s="27" t="s">
        <v>67</v>
      </c>
      <c r="C3" s="27">
        <v>1200.0</v>
      </c>
      <c r="D3" s="27">
        <v>60.0</v>
      </c>
      <c r="E3" s="27">
        <v>1140.0</v>
      </c>
    </row>
    <row r="4">
      <c r="A4" s="19"/>
      <c r="B4" s="8"/>
      <c r="C4" s="51">
        <f>SUM(C2:C3)</f>
        <v>4800</v>
      </c>
      <c r="D4" s="8"/>
      <c r="E4" s="51">
        <f>SUM(E2:E3)</f>
        <v>4560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22" t="s">
        <v>9</v>
      </c>
      <c r="B1" s="4" t="s">
        <v>1</v>
      </c>
      <c r="C1" s="4" t="s">
        <v>74</v>
      </c>
      <c r="D1" s="52" t="s">
        <v>76</v>
      </c>
      <c r="E1" s="52" t="s">
        <v>78</v>
      </c>
      <c r="F1" s="4" t="s">
        <v>44</v>
      </c>
    </row>
    <row r="2">
      <c r="A2" s="33"/>
      <c r="B2" s="27" t="s">
        <v>56</v>
      </c>
      <c r="C2" s="56">
        <v>5200.0</v>
      </c>
      <c r="D2" s="59">
        <f>C2 - (C2 * 20%)
</f>
        <v>4160</v>
      </c>
      <c r="E2" s="60">
        <v>0.02</v>
      </c>
      <c r="F2" s="56">
        <f>D2 - D2*E2</f>
        <v>4076.8</v>
      </c>
    </row>
    <row r="3">
      <c r="F3" s="35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38"/>
    <col customWidth="1" min="2" max="2" width="14.63"/>
    <col customWidth="1" min="3" max="3" width="17.13"/>
    <col customWidth="1" min="4" max="4" width="8.88"/>
    <col customWidth="1" min="5" max="5" width="15.25"/>
  </cols>
  <sheetData>
    <row r="1">
      <c r="A1" s="4" t="s">
        <v>68</v>
      </c>
      <c r="B1" s="4" t="s">
        <v>69</v>
      </c>
      <c r="C1" s="4" t="s">
        <v>70</v>
      </c>
      <c r="D1" s="4" t="s">
        <v>71</v>
      </c>
      <c r="E1" s="39" t="s">
        <v>72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 t="s">
        <v>73</v>
      </c>
      <c r="B2" s="19" t="s">
        <v>75</v>
      </c>
      <c r="C2" s="19" t="s">
        <v>77</v>
      </c>
      <c r="D2" s="53">
        <v>45955.0</v>
      </c>
      <c r="E2" s="54">
        <v>15300.0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</sheetData>
  <dataValidations>
    <dataValidation type="list" allowBlank="1" showErrorMessage="1" sqref="B2">
      <formula1>"Pickleball,Padel,Box Cricket,Pickle &amp; Box"</formula1>
    </dataValidation>
    <dataValidation type="list" allowBlank="1" showErrorMessage="1" sqref="C2">
      <formula1>"Kickoff Pack (7),Pro Pack (30),Rally Pack (15),Grand slam (90),Collab"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0"/>
    <col customWidth="1" min="2" max="2" width="10.88"/>
    <col customWidth="1" min="3" max="3" width="7.25"/>
    <col customWidth="1" min="4" max="4" width="7.38"/>
    <col customWidth="1" min="5" max="5" width="30.5"/>
  </cols>
  <sheetData>
    <row r="1">
      <c r="A1" s="55" t="s">
        <v>79</v>
      </c>
      <c r="B1" s="55" t="s">
        <v>80</v>
      </c>
      <c r="C1" s="55" t="s">
        <v>6</v>
      </c>
      <c r="D1" s="55" t="s">
        <v>81</v>
      </c>
      <c r="E1" s="55" t="s">
        <v>82</v>
      </c>
    </row>
    <row r="2">
      <c r="A2" s="57" t="s">
        <v>83</v>
      </c>
      <c r="B2" s="57" t="s">
        <v>84</v>
      </c>
      <c r="C2" s="58">
        <v>15000.0</v>
      </c>
      <c r="D2" s="57" t="s">
        <v>85</v>
      </c>
      <c r="E2" s="57" t="s">
        <v>86</v>
      </c>
    </row>
  </sheetData>
  <drawing r:id="rId1"/>
</worksheet>
</file>