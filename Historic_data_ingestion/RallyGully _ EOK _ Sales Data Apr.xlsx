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District" sheetId="5" r:id="rId9"/>
    <sheet state="visible" name="Khelomore" sheetId="6" r:id="rId10"/>
    <sheet state="visible" name="Sportomic" sheetId="7" r:id="rId11"/>
    <sheet state="visible" name="Courtly" sheetId="8" r:id="rId12"/>
    <sheet state="visible" name="Coaching" sheetId="9" r:id="rId13"/>
  </sheets>
  <definedNames/>
  <calcPr/>
</workbook>
</file>

<file path=xl/sharedStrings.xml><?xml version="1.0" encoding="utf-8"?>
<sst xmlns="http://schemas.openxmlformats.org/spreadsheetml/2006/main" count="199" uniqueCount="119">
  <si>
    <t>Link</t>
  </si>
  <si>
    <t>Date</t>
  </si>
  <si>
    <t>1 - 30 April</t>
  </si>
  <si>
    <t>Particulars</t>
  </si>
  <si>
    <t>Day</t>
  </si>
  <si>
    <t>Amount</t>
  </si>
  <si>
    <t>Offline booking hours</t>
  </si>
  <si>
    <t>Pickleball</t>
  </si>
  <si>
    <t>Discount Given</t>
  </si>
  <si>
    <t>Booking Revenue</t>
  </si>
  <si>
    <t>Community Revenue</t>
  </si>
  <si>
    <t>Pay &amp; Play</t>
  </si>
  <si>
    <t xml:space="preserve">Paddle Rental </t>
  </si>
  <si>
    <t>F&amp;B</t>
  </si>
  <si>
    <t>Paid to Hudle</t>
  </si>
  <si>
    <t>Total Revenue</t>
  </si>
  <si>
    <t>Commisions (Including GST)</t>
  </si>
  <si>
    <t>Payment Gateway</t>
  </si>
  <si>
    <t>Net Revenue</t>
  </si>
  <si>
    <t>TDS</t>
  </si>
  <si>
    <t>Paid to Playo (₹)</t>
  </si>
  <si>
    <t>TCS</t>
  </si>
  <si>
    <t>Commissions (₹)</t>
  </si>
  <si>
    <t>GST (₹)</t>
  </si>
  <si>
    <t>1 Apr</t>
  </si>
  <si>
    <t>TDS (₹)</t>
  </si>
  <si>
    <t xml:space="preserve">Online </t>
  </si>
  <si>
    <t>TCS (₹)</t>
  </si>
  <si>
    <t>Final Amount (₹)</t>
  </si>
  <si>
    <t>Wednesday</t>
  </si>
  <si>
    <t>1-7th Apr</t>
  </si>
  <si>
    <t>District</t>
  </si>
  <si>
    <t>0 and 10%</t>
  </si>
  <si>
    <t>1-30 Apr</t>
  </si>
  <si>
    <t>Hudle</t>
  </si>
  <si>
    <t>7-12th Apr</t>
  </si>
  <si>
    <t>Playo</t>
  </si>
  <si>
    <t>Total</t>
  </si>
  <si>
    <t>13-19th Apr</t>
  </si>
  <si>
    <t>Khelomore</t>
  </si>
  <si>
    <t>2 Apr</t>
  </si>
  <si>
    <t>Thursday</t>
  </si>
  <si>
    <t>Zplys</t>
  </si>
  <si>
    <t>3 Apr</t>
  </si>
  <si>
    <t>Friday</t>
  </si>
  <si>
    <t>Offline</t>
  </si>
  <si>
    <t>19-28 Apr</t>
  </si>
  <si>
    <t>4 Apr</t>
  </si>
  <si>
    <t>Saturday</t>
  </si>
  <si>
    <t>Bookings</t>
  </si>
  <si>
    <t>5 Apr</t>
  </si>
  <si>
    <t>Sunday</t>
  </si>
  <si>
    <t>28-30 Apr</t>
  </si>
  <si>
    <t>6 Apr</t>
  </si>
  <si>
    <t>Monday</t>
  </si>
  <si>
    <t>Memberships</t>
  </si>
  <si>
    <t>7 Apr</t>
  </si>
  <si>
    <t>Community</t>
  </si>
  <si>
    <t>Tuesday</t>
  </si>
  <si>
    <t>8 Apr</t>
  </si>
  <si>
    <t>Pickup games</t>
  </si>
  <si>
    <t>9 Apr</t>
  </si>
  <si>
    <t>10 Apr</t>
  </si>
  <si>
    <t>11 Apr</t>
  </si>
  <si>
    <t>12 Apr</t>
  </si>
  <si>
    <t>Social Events/Tournaments</t>
  </si>
  <si>
    <t>13 Apr</t>
  </si>
  <si>
    <t>Academy</t>
  </si>
  <si>
    <t>14 Apr</t>
  </si>
  <si>
    <t>Events &amp; Partnership</t>
  </si>
  <si>
    <t>15 Apr</t>
  </si>
  <si>
    <t>Corporate events</t>
  </si>
  <si>
    <t>All B2B partnerships</t>
  </si>
  <si>
    <t>Commerce</t>
  </si>
  <si>
    <t>16 Apr</t>
  </si>
  <si>
    <t>17 Apr</t>
  </si>
  <si>
    <t>Product rental</t>
  </si>
  <si>
    <t>18 Apr</t>
  </si>
  <si>
    <t>19 Apr</t>
  </si>
  <si>
    <t>Product sales</t>
  </si>
  <si>
    <t>20 Apr</t>
  </si>
  <si>
    <t>21 Apr</t>
  </si>
  <si>
    <t>22 Apr</t>
  </si>
  <si>
    <t>Other Income</t>
  </si>
  <si>
    <t>Total Gross Revenue</t>
  </si>
  <si>
    <t>23 Apr</t>
  </si>
  <si>
    <t>24 Apr</t>
  </si>
  <si>
    <t>25 Apr</t>
  </si>
  <si>
    <t>Total Net Revenue (Post Commissions)</t>
  </si>
  <si>
    <t>26 Apr</t>
  </si>
  <si>
    <t>27 Apr</t>
  </si>
  <si>
    <t>28 Apr</t>
  </si>
  <si>
    <t>29 Apr</t>
  </si>
  <si>
    <t>30 Apr</t>
  </si>
  <si>
    <t>Total Revenue post GST</t>
  </si>
  <si>
    <t>Expenses</t>
  </si>
  <si>
    <t>Venue Manager + Cleaner + Overtime + Incentive</t>
  </si>
  <si>
    <t>Marketing, Branding &amp; Community</t>
  </si>
  <si>
    <t>Balls Expense</t>
  </si>
  <si>
    <t>F&amp;B Inventory Cost</t>
  </si>
  <si>
    <t>Total Expenses</t>
  </si>
  <si>
    <t>Net Profit (Revenue - Expenses)</t>
  </si>
  <si>
    <t>School's Profit Share (65%)</t>
  </si>
  <si>
    <t>RallyGully's Profit Share (35%)</t>
  </si>
  <si>
    <t>Paid to District</t>
  </si>
  <si>
    <t>GST on Commission</t>
  </si>
  <si>
    <t>1 - 30 Apr</t>
  </si>
  <si>
    <t>Paid to Khelomore (₹)</t>
  </si>
  <si>
    <t>1 - 30th Apr</t>
  </si>
  <si>
    <t>Paid to Sportomic (₹)</t>
  </si>
  <si>
    <t>1 -30 Apr</t>
  </si>
  <si>
    <t>Paid to Courtly</t>
  </si>
  <si>
    <t xml:space="preserve">Post Comission </t>
  </si>
  <si>
    <t xml:space="preserve">TDS </t>
  </si>
  <si>
    <t>25th Apr</t>
  </si>
  <si>
    <t>Sports Type</t>
  </si>
  <si>
    <t>Coaching Type</t>
  </si>
  <si>
    <t>Start Date</t>
  </si>
  <si>
    <t>Amount Collected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</si>
</sst>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.0"/>
    <numFmt numFmtId="165" formatCode="#,##0.0"/>
    <numFmt numFmtId="166" formatCode="[&gt;9999999][$₹]##\,##\,##\,##0;[&gt;99999][$₹]##\,##\,##0;[$₹]##,##0"/>
    <numFmt numFmtId="167" formatCode="[$₹]#,##0.00"/>
    <numFmt numFmtId="168" formatCode="[&gt;9999999][$₹]##\,##\,##\,##0.00;[&gt;99999][$₹]##\,##\,##0.00;[$₹]##,##0.00"/>
    <numFmt numFmtId="169" formatCode="[$₹]#,##0"/>
    <numFmt numFmtId="170" formatCode="d mmm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  <font>
      <b/>
      <u/>
      <color rgb="FF1155CC"/>
      <name val="Arial"/>
    </font>
    <font>
      <sz val="10.0"/>
      <color theme="1"/>
      <name val="Arial"/>
    </font>
    <font>
      <b/>
      <sz val="10.0"/>
      <color theme="1"/>
      <name val="Arial"/>
    </font>
    <font>
      <b/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2" fillId="2" fontId="2" numFmtId="164" xfId="0" applyAlignment="1" applyBorder="1" applyFill="1" applyFont="1" applyNumberFormat="1">
      <alignment horizontal="center" vertical="bottom"/>
    </xf>
    <xf borderId="2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2" fillId="2" fontId="4" numFmtId="0" xfId="0" applyAlignment="1" applyBorder="1" applyFill="1" applyFont="1">
      <alignment vertical="bottom"/>
    </xf>
    <xf borderId="2" fillId="2" fontId="2" numFmtId="165" xfId="0" applyAlignment="1" applyBorder="1" applyFill="1" applyFont="1" applyNumberFormat="1">
      <alignment horizontal="center" vertical="bottom"/>
    </xf>
    <xf borderId="2" fillId="2" fontId="2" numFmtId="166" xfId="0" applyAlignment="1" applyBorder="1" applyFill="1" applyFont="1" applyNumberFormat="1">
      <alignment horizontal="center" vertical="bottom"/>
    </xf>
    <xf borderId="2" fillId="0" fontId="2" numFmtId="0" xfId="0" applyAlignment="1" applyBorder="1" applyFont="1">
      <alignment vertical="bottom"/>
    </xf>
    <xf borderId="2" fillId="2" fontId="5" numFmtId="0" xfId="0" applyAlignment="1" applyBorder="1" applyFill="1" applyFont="1">
      <alignment horizontal="center" readingOrder="0" vertical="bottom"/>
    </xf>
    <xf borderId="2" fillId="2" fontId="2" numFmtId="164" xfId="0" applyAlignment="1" applyBorder="1" applyFill="1" applyFont="1" applyNumberFormat="1">
      <alignment horizontal="center" readingOrder="0" vertical="bottom"/>
    </xf>
    <xf borderId="0" fillId="2" fontId="6" numFmtId="164" xfId="0" applyAlignment="1" applyFill="1" applyFont="1" applyNumberFormat="1">
      <alignment horizontal="center" readingOrder="0" vertical="bottom"/>
    </xf>
    <xf borderId="2" fillId="2" fontId="2" numFmtId="167" xfId="0" applyAlignment="1" applyBorder="1" applyFill="1" applyFont="1" applyNumberFormat="1">
      <alignment horizontal="center" vertical="bottom"/>
    </xf>
    <xf borderId="2" fillId="2" fontId="2" numFmtId="164" xfId="0" applyAlignment="1" applyBorder="1" applyFill="1" applyFont="1" applyNumberFormat="1">
      <alignment vertical="bottom"/>
    </xf>
    <xf borderId="2" fillId="0" fontId="2" numFmtId="166" xfId="0" applyAlignment="1" applyBorder="1" applyFont="1" applyNumberFormat="1">
      <alignment horizontal="right" vertical="bottom"/>
    </xf>
    <xf borderId="2" fillId="2" fontId="2" numFmtId="0" xfId="0" applyAlignment="1" applyBorder="1" applyFill="1" applyFont="1">
      <alignment vertical="bottom"/>
    </xf>
    <xf borderId="2" fillId="3" fontId="4" numFmtId="164" xfId="0" applyAlignment="1" applyBorder="1" applyFill="1" applyFont="1" applyNumberFormat="1">
      <alignment horizontal="right" vertical="bottom"/>
    </xf>
    <xf borderId="2" fillId="0" fontId="4" numFmtId="167" xfId="0" applyAlignment="1" applyBorder="1" applyFont="1" applyNumberFormat="1">
      <alignment vertical="bottom"/>
    </xf>
    <xf borderId="2" fillId="3" fontId="4" numFmtId="164" xfId="0" applyAlignment="1" applyBorder="1" applyFill="1" applyFont="1" applyNumberFormat="1">
      <alignment vertical="bottom"/>
    </xf>
    <xf borderId="0" fillId="0" fontId="7" numFmtId="164" xfId="0" applyFont="1" applyNumberFormat="1"/>
    <xf borderId="2" fillId="0" fontId="4" numFmtId="167" xfId="0" applyAlignment="1" applyBorder="1" applyFont="1" applyNumberFormat="1">
      <alignment readingOrder="0" vertical="bottom"/>
    </xf>
    <xf borderId="2" fillId="0" fontId="4" numFmtId="165" xfId="0" applyAlignment="1" applyBorder="1" applyFont="1" applyNumberFormat="1">
      <alignment horizontal="right" readingOrder="0" vertical="bottom"/>
    </xf>
    <xf borderId="2" fillId="0" fontId="4" numFmtId="0" xfId="0" applyAlignment="1" applyBorder="1" applyFont="1">
      <alignment vertical="bottom"/>
    </xf>
    <xf borderId="2" fillId="0" fontId="4" numFmtId="168" xfId="0" applyAlignment="1" applyBorder="1" applyFont="1" applyNumberFormat="1">
      <alignment horizontal="right" readingOrder="0" vertical="bottom"/>
    </xf>
    <xf borderId="2" fillId="0" fontId="4" numFmtId="164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2" fillId="0" fontId="4" numFmtId="164" xfId="0" applyAlignment="1" applyBorder="1" applyFont="1" applyNumberFormat="1">
      <alignment vertical="bottom"/>
    </xf>
    <xf borderId="2" fillId="0" fontId="4" numFmtId="164" xfId="0" applyAlignment="1" applyBorder="1" applyFont="1" applyNumberFormat="1">
      <alignment readingOrder="0" vertical="bottom"/>
    </xf>
    <xf borderId="2" fillId="0" fontId="4" numFmtId="168" xfId="0" applyAlignment="1" applyBorder="1" applyFont="1" applyNumberFormat="1">
      <alignment horizontal="right" vertical="bottom"/>
    </xf>
    <xf borderId="2" fillId="0" fontId="4" numFmtId="166" xfId="0" applyAlignment="1" applyBorder="1" applyFont="1" applyNumberFormat="1">
      <alignment vertical="bottom"/>
    </xf>
    <xf borderId="2" fillId="0" fontId="4" numFmtId="167" xfId="0" applyAlignment="1" applyBorder="1" applyFont="1" applyNumberFormat="1">
      <alignment horizontal="right" readingOrder="0" vertical="bottom"/>
    </xf>
    <xf borderId="2" fillId="0" fontId="4" numFmtId="164" xfId="0" applyAlignment="1" applyBorder="1" applyFont="1" applyNumberFormat="1">
      <alignment horizontal="right" vertical="bottom"/>
    </xf>
    <xf borderId="0" fillId="0" fontId="4" numFmtId="167" xfId="0" applyAlignment="1" applyFont="1" applyNumberFormat="1">
      <alignment vertical="bottom"/>
    </xf>
    <xf borderId="0" fillId="3" fontId="4" numFmtId="167" xfId="0" applyAlignment="1" applyFill="1" applyFont="1" applyNumberFormat="1">
      <alignment vertical="bottom"/>
    </xf>
    <xf borderId="2" fillId="2" fontId="2" numFmtId="164" xfId="0" applyAlignment="1" applyBorder="1" applyFill="1" applyFont="1" applyNumberFormat="1">
      <alignment horizontal="right" vertical="bottom"/>
    </xf>
    <xf borderId="2" fillId="3" fontId="4" numFmtId="167" xfId="0" applyAlignment="1" applyBorder="1" applyFill="1" applyFont="1" applyNumberFormat="1">
      <alignment readingOrder="0" vertical="bottom"/>
    </xf>
    <xf borderId="2" fillId="0" fontId="4" numFmtId="169" xfId="0" applyAlignment="1" applyBorder="1" applyFont="1" applyNumberFormat="1">
      <alignment horizontal="right" vertical="bottom"/>
    </xf>
    <xf borderId="2" fillId="3" fontId="4" numFmtId="168" xfId="0" applyAlignment="1" applyBorder="1" applyFill="1" applyFont="1" applyNumberFormat="1">
      <alignment horizontal="right" readingOrder="0" vertical="bottom"/>
    </xf>
    <xf borderId="2" fillId="0" fontId="4" numFmtId="0" xfId="0" applyAlignment="1" applyBorder="1" applyFont="1">
      <alignment vertical="bottom"/>
    </xf>
    <xf borderId="0" fillId="3" fontId="7" numFmtId="0" xfId="0" applyFill="1" applyFont="1"/>
    <xf borderId="0" fillId="0" fontId="2" numFmtId="0" xfId="0" applyAlignment="1" applyFont="1">
      <alignment vertical="bottom"/>
    </xf>
    <xf borderId="2" fillId="2" fontId="4" numFmtId="164" xfId="0" applyAlignment="1" applyBorder="1" applyFill="1" applyFont="1" applyNumberFormat="1">
      <alignment vertical="bottom"/>
    </xf>
    <xf borderId="2" fillId="0" fontId="4" numFmtId="166" xfId="0" applyAlignment="1" applyBorder="1" applyFont="1" applyNumberFormat="1">
      <alignment readingOrder="0" vertical="bottom"/>
    </xf>
    <xf borderId="2" fillId="3" fontId="4" numFmtId="165" xfId="0" applyAlignment="1" applyBorder="1" applyFill="1" applyFont="1" applyNumberFormat="1">
      <alignment horizontal="right" readingOrder="0" vertical="bottom"/>
    </xf>
    <xf borderId="2" fillId="0" fontId="2" numFmtId="0" xfId="0" applyAlignment="1" applyBorder="1" applyFont="1">
      <alignment vertical="bottom"/>
    </xf>
    <xf borderId="2" fillId="3" fontId="4" numFmtId="166" xfId="0" applyAlignment="1" applyBorder="1" applyFill="1" applyFont="1" applyNumberFormat="1">
      <alignment readingOrder="0" vertical="bottom"/>
    </xf>
    <xf borderId="2" fillId="2" fontId="2" numFmtId="167" xfId="0" applyAlignment="1" applyBorder="1" applyFill="1" applyFont="1" applyNumberFormat="1">
      <alignment vertical="bottom"/>
    </xf>
    <xf borderId="2" fillId="2" fontId="2" numFmtId="168" xfId="0" applyAlignment="1" applyBorder="1" applyFill="1" applyFont="1" applyNumberFormat="1">
      <alignment horizontal="right" vertical="bottom"/>
    </xf>
    <xf borderId="2" fillId="2" fontId="4" numFmtId="167" xfId="0" applyAlignment="1" applyBorder="1" applyFill="1" applyFont="1" applyNumberFormat="1">
      <alignment vertical="bottom"/>
    </xf>
    <xf borderId="2" fillId="0" fontId="4" numFmtId="165" xfId="0" applyAlignment="1" applyBorder="1" applyFont="1" applyNumberFormat="1">
      <alignment readingOrder="0" vertical="bottom"/>
    </xf>
    <xf borderId="2" fillId="0" fontId="4" numFmtId="166" xfId="0" applyAlignment="1" applyBorder="1" applyFont="1" applyNumberFormat="1">
      <alignment horizontal="right" vertical="bottom"/>
    </xf>
    <xf borderId="2" fillId="0" fontId="4" numFmtId="166" xfId="0" applyAlignment="1" applyBorder="1" applyFont="1" applyNumberFormat="1">
      <alignment horizontal="right" readingOrder="0" vertical="bottom"/>
    </xf>
    <xf borderId="2" fillId="2" fontId="2" numFmtId="166" xfId="0" applyAlignment="1" applyBorder="1" applyFill="1" applyFont="1" applyNumberFormat="1">
      <alignment horizontal="right" vertical="bottom"/>
    </xf>
    <xf borderId="2" fillId="0" fontId="4" numFmtId="0" xfId="0" applyAlignment="1" applyBorder="1" applyFont="1">
      <alignment shrinkToFit="0" vertical="bottom" wrapText="1"/>
    </xf>
    <xf borderId="2" fillId="0" fontId="2" numFmtId="167" xfId="0" applyAlignment="1" applyBorder="1" applyFont="1" applyNumberFormat="1">
      <alignment vertical="bottom"/>
    </xf>
    <xf borderId="0" fillId="0" fontId="7" numFmtId="166" xfId="0" applyFont="1" applyNumberFormat="1"/>
    <xf borderId="2" fillId="2" fontId="2" numFmtId="165" xfId="0" applyAlignment="1" applyBorder="1" applyFill="1" applyFont="1" applyNumberFormat="1">
      <alignment horizontal="right" vertical="bottom"/>
    </xf>
    <xf borderId="2" fillId="0" fontId="4" numFmtId="0" xfId="0" applyAlignment="1" applyBorder="1" applyFont="1">
      <alignment readingOrder="0" vertical="bottom"/>
    </xf>
    <xf borderId="2" fillId="2" fontId="2" numFmtId="4" xfId="0" applyAlignment="1" applyBorder="1" applyFill="1" applyFont="1" applyNumberFormat="1">
      <alignment horizontal="right" vertical="bottom"/>
    </xf>
    <xf borderId="2" fillId="2" fontId="8" numFmtId="167" xfId="0" applyAlignment="1" applyBorder="1" applyFill="1" applyFont="1" applyNumberFormat="1">
      <alignment horizontal="center" readingOrder="0" vertical="bottom"/>
    </xf>
    <xf borderId="0" fillId="2" fontId="9" numFmtId="167" xfId="0" applyAlignment="1" applyFill="1" applyFont="1" applyNumberFormat="1">
      <alignment vertical="bottom"/>
    </xf>
    <xf borderId="0" fillId="2" fontId="2" numFmtId="167" xfId="0" applyAlignment="1" applyFill="1" applyFont="1" applyNumberFormat="1">
      <alignment horizontal="center" vertical="bottom"/>
    </xf>
    <xf borderId="0" fillId="0" fontId="4" numFmtId="170" xfId="0" applyAlignment="1" applyFont="1" applyNumberFormat="1">
      <alignment vertical="bottom"/>
    </xf>
    <xf borderId="0" fillId="2" fontId="10" numFmtId="167" xfId="0" applyAlignment="1" applyFill="1" applyFont="1" applyNumberFormat="1">
      <alignment horizontal="center" readingOrder="0" vertical="bottom"/>
    </xf>
    <xf borderId="2" fillId="2" fontId="1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vertical="bottom"/>
    </xf>
    <xf borderId="2" fillId="3" fontId="4" numFmtId="167" xfId="0" applyAlignment="1" applyBorder="1" applyFill="1" applyFont="1" applyNumberFormat="1">
      <alignment horizontal="right" vertical="bottom"/>
    </xf>
    <xf borderId="2" fillId="0" fontId="4" numFmtId="168" xfId="0" applyAlignment="1" applyBorder="1" applyFont="1" applyNumberFormat="1">
      <alignment readingOrder="0" vertical="bottom"/>
    </xf>
    <xf borderId="2" fillId="3" fontId="2" numFmtId="167" xfId="0" applyAlignment="1" applyBorder="1" applyFill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2" fillId="2" fontId="2" numFmtId="170" xfId="0" applyAlignment="1" applyBorder="1" applyFill="1" applyFont="1" applyNumberFormat="1">
      <alignment vertical="bottom"/>
    </xf>
    <xf borderId="2" fillId="2" fontId="2" numFmtId="167" xfId="0" applyAlignment="1" applyBorder="1" applyFill="1" applyFont="1" applyNumberFormat="1">
      <alignment horizontal="right" vertical="bottom"/>
    </xf>
    <xf borderId="2" fillId="2" fontId="9" numFmtId="167" xfId="0" applyAlignment="1" applyBorder="1" applyFill="1" applyFont="1" applyNumberFormat="1">
      <alignment horizontal="right" vertical="bottom"/>
    </xf>
    <xf borderId="2" fillId="2" fontId="4" numFmtId="168" xfId="0" applyAlignment="1" applyBorder="1" applyFill="1" applyFont="1" applyNumberFormat="1">
      <alignment vertical="bottom"/>
    </xf>
    <xf borderId="0" fillId="0" fontId="9" numFmtId="1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2" fillId="2" fontId="14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horizontal="right" readingOrder="0" vertical="bottom"/>
    </xf>
    <xf borderId="2" fillId="0" fontId="4" numFmtId="167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horizontal="right" vertical="bottom"/>
    </xf>
    <xf borderId="2" fillId="2" fontId="2" numFmtId="0" xfId="0" applyAlignment="1" applyBorder="1" applyFill="1" applyFont="1">
      <alignment horizontal="right" vertical="bottom"/>
    </xf>
    <xf borderId="2" fillId="0" fontId="7" numFmtId="0" xfId="0" applyAlignment="1" applyBorder="1" applyFont="1">
      <alignment readingOrder="0"/>
    </xf>
    <xf borderId="2" fillId="0" fontId="7" numFmtId="166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QiFaYdHDkmrS1nRAILuBepcJo9EBdQStRMedXHl8I4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0iw6RRS4yWI2uDwiAdlbHVmwgH4t5S2NkfVKVuXJQyg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-4ZSIobvuvPwLu5wkXqt5RUBwyQVvzKxneJWqQyF-Q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Cl9Vut7U6OzwjvZSLZbiBsHT0LdaRDFBnDerIafUH4/edit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XWJOlIp44TCRDCjyucAj-kwgR0-UBsuhBxZXJcu6bg/edit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5.5"/>
  </cols>
  <sheetData>
    <row r="1">
      <c r="A1" s="1"/>
    </row>
    <row r="2">
      <c r="B2" s="2" t="s">
        <v>2</v>
      </c>
      <c r="C2" s="3"/>
    </row>
    <row r="3">
      <c r="B3" s="5" t="s">
        <v>3</v>
      </c>
      <c r="C3" s="5" t="s">
        <v>5</v>
      </c>
      <c r="E3" s="6"/>
    </row>
    <row r="4">
      <c r="B4" s="7"/>
      <c r="C4" s="9" t="s">
        <v>7</v>
      </c>
      <c r="E4" s="6"/>
    </row>
    <row r="5">
      <c r="B5" s="10" t="s">
        <v>11</v>
      </c>
      <c r="C5" s="16">
        <f>sum(C6,C12)</f>
        <v>205658</v>
      </c>
      <c r="E5" s="6"/>
    </row>
    <row r="6">
      <c r="B6" s="10" t="s">
        <v>26</v>
      </c>
      <c r="C6" s="16">
        <f>sum(C7:C11)</f>
        <v>150228</v>
      </c>
      <c r="E6" s="6"/>
    </row>
    <row r="7" outlineLevel="1">
      <c r="B7" s="24" t="s">
        <v>31</v>
      </c>
      <c r="C7" s="31">
        <f>District!C4</f>
        <v>49400</v>
      </c>
      <c r="E7" s="6"/>
    </row>
    <row r="8" outlineLevel="1">
      <c r="B8" s="24" t="s">
        <v>34</v>
      </c>
      <c r="C8" s="31">
        <f>Hudle!C7</f>
        <v>98428</v>
      </c>
      <c r="E8" s="6"/>
    </row>
    <row r="9" outlineLevel="1">
      <c r="B9" s="24" t="s">
        <v>36</v>
      </c>
      <c r="C9" s="31">
        <f>Playo!C3</f>
        <v>1200</v>
      </c>
      <c r="E9" s="6"/>
    </row>
    <row r="10" outlineLevel="1">
      <c r="B10" s="40" t="s">
        <v>39</v>
      </c>
      <c r="C10" s="31">
        <f>Khelomore!C3</f>
        <v>1200</v>
      </c>
      <c r="E10" s="42"/>
    </row>
    <row r="11" outlineLevel="1">
      <c r="B11" s="24" t="s">
        <v>42</v>
      </c>
      <c r="C11" s="44">
        <v>0.0</v>
      </c>
      <c r="E11" s="42"/>
    </row>
    <row r="12">
      <c r="B12" s="46" t="s">
        <v>45</v>
      </c>
      <c r="C12" s="16">
        <f>sum(C13:C14)</f>
        <v>55430</v>
      </c>
    </row>
    <row r="13" outlineLevel="1">
      <c r="B13" s="24" t="s">
        <v>49</v>
      </c>
      <c r="C13" s="31">
        <f>'Offline &amp; RG Community'!E32</f>
        <v>55430</v>
      </c>
    </row>
    <row r="14" outlineLevel="1">
      <c r="B14" s="19" t="s">
        <v>55</v>
      </c>
      <c r="C14" s="44">
        <v>0.0</v>
      </c>
      <c r="E14" s="6"/>
    </row>
    <row r="15">
      <c r="B15" s="46" t="s">
        <v>57</v>
      </c>
      <c r="C15" s="16">
        <f>sum(C16:C17)</f>
        <v>78727</v>
      </c>
      <c r="E15" s="6"/>
    </row>
    <row r="16" outlineLevel="1">
      <c r="B16" s="40" t="s">
        <v>60</v>
      </c>
      <c r="C16" s="31">
        <f>'Offline &amp; RG Community'!F32+Sportomic!C2</f>
        <v>60338</v>
      </c>
      <c r="E16" s="6"/>
    </row>
    <row r="17" outlineLevel="1">
      <c r="B17" s="40" t="s">
        <v>65</v>
      </c>
      <c r="C17" s="44">
        <f>Courtly!B3</f>
        <v>18389</v>
      </c>
    </row>
    <row r="18">
      <c r="B18" s="46" t="s">
        <v>67</v>
      </c>
      <c r="C18" s="16">
        <v>0.0</v>
      </c>
      <c r="E18" s="6"/>
    </row>
    <row r="19">
      <c r="B19" s="10" t="s">
        <v>69</v>
      </c>
      <c r="C19" s="16">
        <f>sum(C20,C21)</f>
        <v>0</v>
      </c>
    </row>
    <row r="20" outlineLevel="1">
      <c r="B20" s="24" t="s">
        <v>71</v>
      </c>
      <c r="C20" s="52">
        <v>0.0</v>
      </c>
    </row>
    <row r="21" outlineLevel="1">
      <c r="B21" s="40" t="s">
        <v>72</v>
      </c>
      <c r="C21" s="53">
        <v>0.0</v>
      </c>
    </row>
    <row r="22">
      <c r="B22" s="10" t="s">
        <v>73</v>
      </c>
      <c r="C22" s="16">
        <f>sum(C23:C25)</f>
        <v>17035</v>
      </c>
    </row>
    <row r="23" outlineLevel="1">
      <c r="B23" s="24" t="s">
        <v>76</v>
      </c>
      <c r="C23" s="52">
        <f>'Offline &amp; RG Community'!G32</f>
        <v>14350</v>
      </c>
    </row>
    <row r="24" outlineLevel="1">
      <c r="B24" s="24" t="s">
        <v>79</v>
      </c>
      <c r="C24" s="44">
        <v>0.0</v>
      </c>
    </row>
    <row r="25" outlineLevel="1">
      <c r="B25" s="24" t="s">
        <v>13</v>
      </c>
      <c r="C25" s="52">
        <f>'Offline &amp; RG Community'!H32</f>
        <v>2685</v>
      </c>
    </row>
    <row r="26">
      <c r="B26" s="10" t="s">
        <v>83</v>
      </c>
      <c r="C26" s="16">
        <v>0.0</v>
      </c>
    </row>
    <row r="27">
      <c r="B27" s="17" t="s">
        <v>84</v>
      </c>
      <c r="C27" s="54">
        <f>sum(C26+C22+C19+C18+C15+C12+C6)</f>
        <v>301420</v>
      </c>
    </row>
    <row r="28">
      <c r="B28" s="55" t="s">
        <v>88</v>
      </c>
      <c r="C28" s="56">
        <f>'Offline &amp; RG Community'!K32+Hudle!E7+Playo!F3+District!F4+Khelomore!E3+Sportomic!C2+Courtly!D3</f>
        <v>281311.9675</v>
      </c>
      <c r="D28" s="57">
        <f>C27-C28</f>
        <v>20108.0325</v>
      </c>
    </row>
    <row r="29">
      <c r="B29" s="10" t="s">
        <v>94</v>
      </c>
      <c r="C29" s="16">
        <f>C28/1.18</f>
        <v>238399.9725</v>
      </c>
    </row>
    <row r="30">
      <c r="B30" s="10" t="s">
        <v>95</v>
      </c>
      <c r="C30" s="31"/>
    </row>
    <row r="31">
      <c r="B31" s="59" t="s">
        <v>96</v>
      </c>
      <c r="C31" s="53">
        <v>60164.0</v>
      </c>
    </row>
    <row r="32">
      <c r="B32" s="24" t="s">
        <v>97</v>
      </c>
      <c r="C32" s="52">
        <v>15000.0</v>
      </c>
    </row>
    <row r="33">
      <c r="B33" s="24" t="s">
        <v>98</v>
      </c>
      <c r="C33" s="52">
        <v>9500.0</v>
      </c>
    </row>
    <row r="34">
      <c r="B34" s="59" t="s">
        <v>99</v>
      </c>
      <c r="C34" s="53">
        <v>3024.0</v>
      </c>
    </row>
    <row r="35">
      <c r="B35" s="10" t="s">
        <v>100</v>
      </c>
      <c r="C35" s="16">
        <f>C31+C32+C33+C34</f>
        <v>87688</v>
      </c>
    </row>
    <row r="36">
      <c r="B36" s="10" t="s">
        <v>101</v>
      </c>
      <c r="C36" s="16">
        <f>C29-C35</f>
        <v>150711.9725</v>
      </c>
    </row>
    <row r="37">
      <c r="B37" s="24"/>
      <c r="C37" s="31"/>
    </row>
    <row r="38">
      <c r="B38" s="10" t="s">
        <v>102</v>
      </c>
      <c r="C38" s="16">
        <f>C36*65%-10665</f>
        <v>87297.7821</v>
      </c>
    </row>
    <row r="39">
      <c r="B39" s="10" t="s">
        <v>103</v>
      </c>
      <c r="C39" s="16">
        <f>10665+C36*35%</f>
        <v>63414.19036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3.25"/>
    <col customWidth="1" min="5" max="5" width="15.13"/>
    <col customWidth="1" min="6" max="6" width="17.63"/>
    <col customWidth="1" min="8" max="8" width="11.75"/>
  </cols>
  <sheetData>
    <row r="1">
      <c r="A1" s="4" t="s">
        <v>1</v>
      </c>
      <c r="B1" s="4" t="s">
        <v>4</v>
      </c>
      <c r="C1" s="8" t="s">
        <v>6</v>
      </c>
      <c r="D1" s="4" t="s">
        <v>8</v>
      </c>
      <c r="E1" s="4" t="s">
        <v>9</v>
      </c>
      <c r="F1" s="4" t="s">
        <v>10</v>
      </c>
      <c r="G1" s="4" t="s">
        <v>12</v>
      </c>
      <c r="H1" s="12" t="s">
        <v>13</v>
      </c>
      <c r="I1" s="4" t="s">
        <v>15</v>
      </c>
      <c r="J1" s="15" t="s">
        <v>17</v>
      </c>
      <c r="K1" s="17" t="s">
        <v>18</v>
      </c>
    </row>
    <row r="2">
      <c r="A2" s="18" t="s">
        <v>24</v>
      </c>
      <c r="B2" s="20" t="s">
        <v>29</v>
      </c>
      <c r="C2" s="23">
        <v>5.0</v>
      </c>
      <c r="D2" s="26" t="s">
        <v>32</v>
      </c>
      <c r="E2" s="26">
        <v>900.0</v>
      </c>
      <c r="F2" s="26">
        <v>5700.0</v>
      </c>
      <c r="G2" s="27">
        <v>300.0</v>
      </c>
      <c r="H2" s="26">
        <v>0.0</v>
      </c>
      <c r="I2" s="33">
        <f t="shared" ref="I2:I31" si="1">sum(E2:H2)</f>
        <v>6900</v>
      </c>
      <c r="J2" s="38">
        <f t="shared" ref="J2:J31" si="2">I2*2.5%*1.18</f>
        <v>203.55</v>
      </c>
      <c r="K2" s="38">
        <f t="shared" ref="K2:K31" si="3">I2-J2</f>
        <v>6696.45</v>
      </c>
    </row>
    <row r="3">
      <c r="A3" s="18" t="s">
        <v>40</v>
      </c>
      <c r="B3" s="20" t="s">
        <v>41</v>
      </c>
      <c r="C3" s="23">
        <v>1.0</v>
      </c>
      <c r="D3" s="26" t="s">
        <v>32</v>
      </c>
      <c r="E3" s="26">
        <v>900.0</v>
      </c>
      <c r="F3" s="26">
        <v>0.0</v>
      </c>
      <c r="G3" s="26">
        <v>400.0</v>
      </c>
      <c r="H3" s="26">
        <v>0.0</v>
      </c>
      <c r="I3" s="33">
        <f t="shared" si="1"/>
        <v>1300</v>
      </c>
      <c r="J3" s="38">
        <f t="shared" si="2"/>
        <v>38.35</v>
      </c>
      <c r="K3" s="38">
        <f t="shared" si="3"/>
        <v>1261.65</v>
      </c>
    </row>
    <row r="4">
      <c r="A4" s="18" t="s">
        <v>43</v>
      </c>
      <c r="B4" s="20" t="s">
        <v>44</v>
      </c>
      <c r="C4" s="45">
        <v>1.0</v>
      </c>
      <c r="D4" s="33" t="s">
        <v>32</v>
      </c>
      <c r="E4" s="26">
        <v>900.0</v>
      </c>
      <c r="F4" s="26">
        <v>2900.0</v>
      </c>
      <c r="G4" s="26">
        <v>900.0</v>
      </c>
      <c r="H4" s="26">
        <v>0.0</v>
      </c>
      <c r="I4" s="33">
        <f t="shared" si="1"/>
        <v>4700</v>
      </c>
      <c r="J4" s="38">
        <f t="shared" si="2"/>
        <v>138.65</v>
      </c>
      <c r="K4" s="38">
        <f t="shared" si="3"/>
        <v>4561.35</v>
      </c>
    </row>
    <row r="5">
      <c r="A5" s="18" t="s">
        <v>47</v>
      </c>
      <c r="B5" s="20" t="s">
        <v>48</v>
      </c>
      <c r="C5" s="23">
        <v>1.0</v>
      </c>
      <c r="D5" s="33" t="s">
        <v>32</v>
      </c>
      <c r="E5" s="26">
        <v>900.0</v>
      </c>
      <c r="F5" s="26">
        <v>0.0</v>
      </c>
      <c r="G5" s="26">
        <v>550.0</v>
      </c>
      <c r="H5" s="26">
        <v>315.0</v>
      </c>
      <c r="I5" s="33">
        <f t="shared" si="1"/>
        <v>1765</v>
      </c>
      <c r="J5" s="38">
        <f t="shared" si="2"/>
        <v>52.0675</v>
      </c>
      <c r="K5" s="38">
        <f t="shared" si="3"/>
        <v>1712.9325</v>
      </c>
    </row>
    <row r="6">
      <c r="A6" s="18" t="s">
        <v>50</v>
      </c>
      <c r="B6" s="20" t="s">
        <v>51</v>
      </c>
      <c r="C6" s="23">
        <v>5.0</v>
      </c>
      <c r="D6" s="33" t="s">
        <v>32</v>
      </c>
      <c r="E6" s="26">
        <v>5440.0</v>
      </c>
      <c r="F6" s="26">
        <v>0.0</v>
      </c>
      <c r="G6" s="26">
        <v>1000.0</v>
      </c>
      <c r="H6" s="26">
        <v>0.0</v>
      </c>
      <c r="I6" s="33">
        <f t="shared" si="1"/>
        <v>6440</v>
      </c>
      <c r="J6" s="38">
        <f t="shared" si="2"/>
        <v>189.98</v>
      </c>
      <c r="K6" s="38">
        <f t="shared" si="3"/>
        <v>6250.02</v>
      </c>
    </row>
    <row r="7">
      <c r="A7" s="18" t="s">
        <v>53</v>
      </c>
      <c r="B7" s="20" t="s">
        <v>54</v>
      </c>
      <c r="C7" s="23">
        <v>2.0</v>
      </c>
      <c r="D7" s="33" t="s">
        <v>32</v>
      </c>
      <c r="E7" s="26">
        <v>1600.0</v>
      </c>
      <c r="F7" s="26">
        <v>0.0</v>
      </c>
      <c r="G7" s="26">
        <v>800.0</v>
      </c>
      <c r="H7" s="26">
        <v>140.0</v>
      </c>
      <c r="I7" s="33">
        <f t="shared" si="1"/>
        <v>2540</v>
      </c>
      <c r="J7" s="38">
        <f t="shared" si="2"/>
        <v>74.93</v>
      </c>
      <c r="K7" s="38">
        <f t="shared" si="3"/>
        <v>2465.07</v>
      </c>
    </row>
    <row r="8">
      <c r="A8" s="18" t="s">
        <v>56</v>
      </c>
      <c r="B8" s="20" t="s">
        <v>58</v>
      </c>
      <c r="C8" s="23">
        <v>1.0</v>
      </c>
      <c r="D8" s="33" t="s">
        <v>32</v>
      </c>
      <c r="E8" s="26">
        <v>0.0</v>
      </c>
      <c r="F8" s="26">
        <v>2400.0</v>
      </c>
      <c r="G8" s="27">
        <v>300.0</v>
      </c>
      <c r="H8" s="26">
        <v>0.0</v>
      </c>
      <c r="I8" s="33">
        <f t="shared" si="1"/>
        <v>2700</v>
      </c>
      <c r="J8" s="38">
        <f t="shared" si="2"/>
        <v>79.65</v>
      </c>
      <c r="K8" s="38">
        <f t="shared" si="3"/>
        <v>2620.35</v>
      </c>
    </row>
    <row r="9">
      <c r="A9" s="18" t="s">
        <v>59</v>
      </c>
      <c r="B9" s="20" t="s">
        <v>29</v>
      </c>
      <c r="C9" s="23">
        <v>4.0</v>
      </c>
      <c r="D9" s="33" t="s">
        <v>32</v>
      </c>
      <c r="E9" s="26">
        <v>1800.0</v>
      </c>
      <c r="F9" s="26">
        <v>4500.0</v>
      </c>
      <c r="G9" s="26">
        <v>100.0</v>
      </c>
      <c r="H9" s="26">
        <v>0.0</v>
      </c>
      <c r="I9" s="33">
        <f t="shared" si="1"/>
        <v>6400</v>
      </c>
      <c r="J9" s="38">
        <f t="shared" si="2"/>
        <v>188.8</v>
      </c>
      <c r="K9" s="38">
        <f t="shared" si="3"/>
        <v>6211.2</v>
      </c>
    </row>
    <row r="10">
      <c r="A10" s="18" t="s">
        <v>61</v>
      </c>
      <c r="B10" s="20" t="s">
        <v>41</v>
      </c>
      <c r="C10" s="23">
        <v>1.0</v>
      </c>
      <c r="D10" s="33" t="s">
        <v>32</v>
      </c>
      <c r="E10" s="26">
        <v>900.0</v>
      </c>
      <c r="F10" s="26">
        <v>0.0</v>
      </c>
      <c r="G10" s="27">
        <v>600.0</v>
      </c>
      <c r="H10" s="26">
        <v>0.0</v>
      </c>
      <c r="I10" s="33">
        <f t="shared" si="1"/>
        <v>1500</v>
      </c>
      <c r="J10" s="38">
        <f t="shared" si="2"/>
        <v>44.25</v>
      </c>
      <c r="K10" s="38">
        <f t="shared" si="3"/>
        <v>1455.75</v>
      </c>
    </row>
    <row r="11">
      <c r="A11" s="18" t="s">
        <v>62</v>
      </c>
      <c r="B11" s="20" t="s">
        <v>44</v>
      </c>
      <c r="C11" s="23">
        <v>2.5</v>
      </c>
      <c r="D11" s="33" t="s">
        <v>32</v>
      </c>
      <c r="E11" s="26">
        <v>2400.0</v>
      </c>
      <c r="F11" s="26">
        <v>0.0</v>
      </c>
      <c r="G11" s="26">
        <v>300.0</v>
      </c>
      <c r="H11" s="26">
        <v>0.0</v>
      </c>
      <c r="I11" s="33">
        <f t="shared" si="1"/>
        <v>2700</v>
      </c>
      <c r="J11" s="38">
        <f t="shared" si="2"/>
        <v>79.65</v>
      </c>
      <c r="K11" s="38">
        <f t="shared" si="3"/>
        <v>2620.35</v>
      </c>
    </row>
    <row r="12">
      <c r="A12" s="18" t="s">
        <v>63</v>
      </c>
      <c r="B12" s="20" t="s">
        <v>48</v>
      </c>
      <c r="C12" s="23">
        <v>3.0</v>
      </c>
      <c r="D12" s="33" t="s">
        <v>32</v>
      </c>
      <c r="E12" s="26">
        <v>2900.0</v>
      </c>
      <c r="F12" s="26">
        <v>0.0</v>
      </c>
      <c r="G12" s="26">
        <v>650.0</v>
      </c>
      <c r="H12" s="26">
        <v>245.0</v>
      </c>
      <c r="I12" s="33">
        <f t="shared" si="1"/>
        <v>3795</v>
      </c>
      <c r="J12" s="38">
        <f t="shared" si="2"/>
        <v>111.9525</v>
      </c>
      <c r="K12" s="38">
        <f t="shared" si="3"/>
        <v>3683.0475</v>
      </c>
    </row>
    <row r="13">
      <c r="A13" s="18" t="s">
        <v>64</v>
      </c>
      <c r="B13" s="20" t="s">
        <v>51</v>
      </c>
      <c r="C13" s="23">
        <v>2.0</v>
      </c>
      <c r="D13" s="33" t="s">
        <v>32</v>
      </c>
      <c r="E13" s="26">
        <v>2000.0</v>
      </c>
      <c r="F13" s="26">
        <v>0.0</v>
      </c>
      <c r="G13" s="26">
        <v>900.0</v>
      </c>
      <c r="H13" s="26">
        <v>0.0</v>
      </c>
      <c r="I13" s="33">
        <f t="shared" si="1"/>
        <v>2900</v>
      </c>
      <c r="J13" s="38">
        <f t="shared" si="2"/>
        <v>85.55</v>
      </c>
      <c r="K13" s="38">
        <f t="shared" si="3"/>
        <v>2814.45</v>
      </c>
    </row>
    <row r="14">
      <c r="A14" s="18" t="s">
        <v>66</v>
      </c>
      <c r="B14" s="20" t="s">
        <v>54</v>
      </c>
      <c r="C14" s="23">
        <v>1.0</v>
      </c>
      <c r="D14" s="33" t="s">
        <v>32</v>
      </c>
      <c r="E14" s="26">
        <v>900.0</v>
      </c>
      <c r="F14" s="26">
        <v>1950.0</v>
      </c>
      <c r="G14" s="26">
        <v>700.0</v>
      </c>
      <c r="H14" s="26">
        <v>245.0</v>
      </c>
      <c r="I14" s="33">
        <f t="shared" si="1"/>
        <v>3795</v>
      </c>
      <c r="J14" s="38">
        <f t="shared" si="2"/>
        <v>111.9525</v>
      </c>
      <c r="K14" s="38">
        <f t="shared" si="3"/>
        <v>3683.0475</v>
      </c>
    </row>
    <row r="15">
      <c r="A15" s="18" t="s">
        <v>68</v>
      </c>
      <c r="B15" s="20" t="s">
        <v>58</v>
      </c>
      <c r="C15" s="23">
        <v>4.5</v>
      </c>
      <c r="D15" s="33" t="s">
        <v>32</v>
      </c>
      <c r="E15" s="26">
        <v>1500.0</v>
      </c>
      <c r="F15" s="26">
        <v>4800.0</v>
      </c>
      <c r="G15" s="26">
        <v>0.0</v>
      </c>
      <c r="H15" s="26">
        <v>35.0</v>
      </c>
      <c r="I15" s="33">
        <f t="shared" si="1"/>
        <v>6335</v>
      </c>
      <c r="J15" s="38">
        <f t="shared" si="2"/>
        <v>186.8825</v>
      </c>
      <c r="K15" s="38">
        <f t="shared" si="3"/>
        <v>6148.1175</v>
      </c>
    </row>
    <row r="16">
      <c r="A16" s="18" t="s">
        <v>70</v>
      </c>
      <c r="B16" s="20" t="s">
        <v>29</v>
      </c>
      <c r="C16" s="51">
        <v>1.0</v>
      </c>
      <c r="D16" s="33" t="s">
        <v>32</v>
      </c>
      <c r="E16" s="29">
        <v>900.0</v>
      </c>
      <c r="F16" s="29">
        <v>0.0</v>
      </c>
      <c r="G16" s="29">
        <v>300.0</v>
      </c>
      <c r="H16" s="29">
        <v>105.0</v>
      </c>
      <c r="I16" s="33">
        <f t="shared" si="1"/>
        <v>1305</v>
      </c>
      <c r="J16" s="38">
        <f t="shared" si="2"/>
        <v>38.4975</v>
      </c>
      <c r="K16" s="38">
        <f t="shared" si="3"/>
        <v>1266.5025</v>
      </c>
    </row>
    <row r="17">
      <c r="A17" s="18" t="s">
        <v>74</v>
      </c>
      <c r="B17" s="20" t="s">
        <v>41</v>
      </c>
      <c r="C17" s="51">
        <v>2.0</v>
      </c>
      <c r="D17" s="33" t="s">
        <v>32</v>
      </c>
      <c r="E17" s="29">
        <v>1800.0</v>
      </c>
      <c r="F17" s="29">
        <v>0.0</v>
      </c>
      <c r="G17" s="29">
        <v>500.0</v>
      </c>
      <c r="H17" s="29">
        <v>105.0</v>
      </c>
      <c r="I17" s="33">
        <f t="shared" si="1"/>
        <v>2405</v>
      </c>
      <c r="J17" s="38">
        <f t="shared" si="2"/>
        <v>70.9475</v>
      </c>
      <c r="K17" s="38">
        <f t="shared" si="3"/>
        <v>2334.0525</v>
      </c>
    </row>
    <row r="18">
      <c r="A18" s="18" t="s">
        <v>75</v>
      </c>
      <c r="B18" s="20" t="s">
        <v>44</v>
      </c>
      <c r="C18" s="51">
        <v>0.0</v>
      </c>
      <c r="D18" s="33" t="s">
        <v>32</v>
      </c>
      <c r="E18" s="29">
        <v>0.0</v>
      </c>
      <c r="F18" s="29">
        <v>0.0</v>
      </c>
      <c r="G18" s="29">
        <v>0.0</v>
      </c>
      <c r="H18" s="29">
        <v>0.0</v>
      </c>
      <c r="I18" s="33">
        <f t="shared" si="1"/>
        <v>0</v>
      </c>
      <c r="J18" s="38">
        <f t="shared" si="2"/>
        <v>0</v>
      </c>
      <c r="K18" s="38">
        <f t="shared" si="3"/>
        <v>0</v>
      </c>
    </row>
    <row r="19">
      <c r="A19" s="18" t="s">
        <v>77</v>
      </c>
      <c r="B19" s="20" t="s">
        <v>48</v>
      </c>
      <c r="C19" s="51">
        <v>5.0</v>
      </c>
      <c r="D19" s="33" t="s">
        <v>32</v>
      </c>
      <c r="E19" s="29">
        <v>5100.0</v>
      </c>
      <c r="F19" s="29">
        <v>0.0</v>
      </c>
      <c r="G19" s="29">
        <v>1200.0</v>
      </c>
      <c r="H19" s="29">
        <v>455.0</v>
      </c>
      <c r="I19" s="33">
        <f t="shared" si="1"/>
        <v>6755</v>
      </c>
      <c r="J19" s="38">
        <f t="shared" si="2"/>
        <v>199.2725</v>
      </c>
      <c r="K19" s="38">
        <f t="shared" si="3"/>
        <v>6555.7275</v>
      </c>
    </row>
    <row r="20">
      <c r="A20" s="18" t="s">
        <v>78</v>
      </c>
      <c r="B20" s="20" t="s">
        <v>51</v>
      </c>
      <c r="C20" s="51">
        <v>3.0</v>
      </c>
      <c r="D20" s="33" t="s">
        <v>32</v>
      </c>
      <c r="E20" s="29">
        <v>2980.0</v>
      </c>
      <c r="F20" s="29">
        <v>3900.0</v>
      </c>
      <c r="G20" s="29">
        <v>700.0</v>
      </c>
      <c r="H20" s="29">
        <v>35.0</v>
      </c>
      <c r="I20" s="33">
        <f t="shared" si="1"/>
        <v>7615</v>
      </c>
      <c r="J20" s="38">
        <f t="shared" si="2"/>
        <v>224.6425</v>
      </c>
      <c r="K20" s="38">
        <f t="shared" si="3"/>
        <v>7390.3575</v>
      </c>
    </row>
    <row r="21">
      <c r="A21" s="18" t="s">
        <v>80</v>
      </c>
      <c r="B21" s="20" t="s">
        <v>54</v>
      </c>
      <c r="C21" s="51">
        <v>4.0</v>
      </c>
      <c r="D21" s="33" t="s">
        <v>32</v>
      </c>
      <c r="E21" s="29">
        <v>3800.0</v>
      </c>
      <c r="F21" s="29">
        <v>2400.0</v>
      </c>
      <c r="G21" s="29">
        <v>400.0</v>
      </c>
      <c r="H21" s="29">
        <v>105.0</v>
      </c>
      <c r="I21" s="33">
        <f t="shared" si="1"/>
        <v>6705</v>
      </c>
      <c r="J21" s="38">
        <f t="shared" si="2"/>
        <v>197.7975</v>
      </c>
      <c r="K21" s="38">
        <f t="shared" si="3"/>
        <v>6507.2025</v>
      </c>
    </row>
    <row r="22">
      <c r="A22" s="18" t="s">
        <v>81</v>
      </c>
      <c r="B22" s="20" t="s">
        <v>58</v>
      </c>
      <c r="C22" s="51">
        <v>4.0</v>
      </c>
      <c r="D22" s="33" t="s">
        <v>32</v>
      </c>
      <c r="E22" s="29">
        <v>1500.0</v>
      </c>
      <c r="F22" s="29">
        <v>2400.0</v>
      </c>
      <c r="G22" s="29">
        <v>100.0</v>
      </c>
      <c r="H22" s="29">
        <v>70.0</v>
      </c>
      <c r="I22" s="33">
        <f t="shared" si="1"/>
        <v>4070</v>
      </c>
      <c r="J22" s="38">
        <f t="shared" si="2"/>
        <v>120.065</v>
      </c>
      <c r="K22" s="38">
        <f t="shared" si="3"/>
        <v>3949.935</v>
      </c>
    </row>
    <row r="23">
      <c r="A23" s="18" t="s">
        <v>82</v>
      </c>
      <c r="B23" s="20" t="s">
        <v>29</v>
      </c>
      <c r="C23" s="51">
        <v>1.5</v>
      </c>
      <c r="D23" s="33" t="s">
        <v>32</v>
      </c>
      <c r="E23" s="29">
        <v>1500.0</v>
      </c>
      <c r="F23" s="29">
        <v>3300.0</v>
      </c>
      <c r="G23" s="29">
        <v>600.0</v>
      </c>
      <c r="H23" s="29">
        <v>70.0</v>
      </c>
      <c r="I23" s="33">
        <f t="shared" si="1"/>
        <v>5470</v>
      </c>
      <c r="J23" s="38">
        <f t="shared" si="2"/>
        <v>161.365</v>
      </c>
      <c r="K23" s="38">
        <f t="shared" si="3"/>
        <v>5308.635</v>
      </c>
    </row>
    <row r="24">
      <c r="A24" s="18" t="s">
        <v>85</v>
      </c>
      <c r="B24" s="20" t="s">
        <v>41</v>
      </c>
      <c r="C24" s="51">
        <v>3.5</v>
      </c>
      <c r="D24" s="33" t="s">
        <v>32</v>
      </c>
      <c r="E24" s="29">
        <v>3600.0</v>
      </c>
      <c r="F24" s="29">
        <v>0.0</v>
      </c>
      <c r="G24" s="29">
        <v>400.0</v>
      </c>
      <c r="H24" s="29">
        <v>280.0</v>
      </c>
      <c r="I24" s="33">
        <f t="shared" si="1"/>
        <v>4280</v>
      </c>
      <c r="J24" s="38">
        <f t="shared" si="2"/>
        <v>126.26</v>
      </c>
      <c r="K24" s="38">
        <f t="shared" si="3"/>
        <v>4153.74</v>
      </c>
    </row>
    <row r="25">
      <c r="A25" s="18" t="s">
        <v>86</v>
      </c>
      <c r="B25" s="20" t="s">
        <v>44</v>
      </c>
      <c r="C25" s="51">
        <v>5.0</v>
      </c>
      <c r="D25" s="33" t="s">
        <v>32</v>
      </c>
      <c r="E25" s="29">
        <v>2100.0</v>
      </c>
      <c r="F25" s="29">
        <v>4500.0</v>
      </c>
      <c r="G25" s="29">
        <v>600.0</v>
      </c>
      <c r="H25" s="29">
        <v>70.0</v>
      </c>
      <c r="I25" s="33">
        <f t="shared" si="1"/>
        <v>7270</v>
      </c>
      <c r="J25" s="38">
        <f t="shared" si="2"/>
        <v>214.465</v>
      </c>
      <c r="K25" s="38">
        <f t="shared" si="3"/>
        <v>7055.535</v>
      </c>
    </row>
    <row r="26">
      <c r="A26" s="18" t="s">
        <v>87</v>
      </c>
      <c r="B26" s="20" t="s">
        <v>48</v>
      </c>
      <c r="C26" s="51">
        <v>0.0</v>
      </c>
      <c r="D26" s="33" t="s">
        <v>32</v>
      </c>
      <c r="E26" s="28"/>
      <c r="F26" s="28"/>
      <c r="G26" s="28"/>
      <c r="H26" s="28"/>
      <c r="I26" s="33">
        <f t="shared" si="1"/>
        <v>0</v>
      </c>
      <c r="J26" s="38">
        <f t="shared" si="2"/>
        <v>0</v>
      </c>
      <c r="K26" s="38">
        <f t="shared" si="3"/>
        <v>0</v>
      </c>
    </row>
    <row r="27">
      <c r="A27" s="18" t="s">
        <v>89</v>
      </c>
      <c r="B27" s="20" t="s">
        <v>51</v>
      </c>
      <c r="C27" s="51">
        <v>5.0</v>
      </c>
      <c r="D27" s="33" t="s">
        <v>32</v>
      </c>
      <c r="E27" s="29">
        <v>2200.0</v>
      </c>
      <c r="F27" s="29">
        <v>3000.0</v>
      </c>
      <c r="G27" s="29">
        <v>250.0</v>
      </c>
      <c r="H27" s="29">
        <v>70.0</v>
      </c>
      <c r="I27" s="33">
        <f t="shared" si="1"/>
        <v>5520</v>
      </c>
      <c r="J27" s="38">
        <f t="shared" si="2"/>
        <v>162.84</v>
      </c>
      <c r="K27" s="38">
        <f t="shared" si="3"/>
        <v>5357.16</v>
      </c>
    </row>
    <row r="28">
      <c r="A28" s="18" t="s">
        <v>90</v>
      </c>
      <c r="B28" s="20" t="s">
        <v>54</v>
      </c>
      <c r="C28" s="51">
        <v>2.0</v>
      </c>
      <c r="D28" s="33" t="s">
        <v>32</v>
      </c>
      <c r="E28" s="29">
        <v>900.0</v>
      </c>
      <c r="F28" s="29">
        <v>900.0</v>
      </c>
      <c r="G28" s="29">
        <v>500.0</v>
      </c>
      <c r="H28" s="29">
        <v>135.0</v>
      </c>
      <c r="I28" s="33">
        <f t="shared" si="1"/>
        <v>2435</v>
      </c>
      <c r="J28" s="38">
        <f t="shared" si="2"/>
        <v>71.8325</v>
      </c>
      <c r="K28" s="38">
        <f t="shared" si="3"/>
        <v>2363.1675</v>
      </c>
    </row>
    <row r="29">
      <c r="A29" s="18" t="s">
        <v>91</v>
      </c>
      <c r="B29" s="20" t="s">
        <v>58</v>
      </c>
      <c r="C29" s="51">
        <v>6.0</v>
      </c>
      <c r="D29" s="33" t="s">
        <v>32</v>
      </c>
      <c r="E29" s="29">
        <v>3850.0</v>
      </c>
      <c r="F29" s="29">
        <v>3300.0</v>
      </c>
      <c r="G29" s="29">
        <v>400.0</v>
      </c>
      <c r="H29" s="29">
        <v>135.0</v>
      </c>
      <c r="I29" s="33">
        <f t="shared" si="1"/>
        <v>7685</v>
      </c>
      <c r="J29" s="38">
        <f t="shared" si="2"/>
        <v>226.7075</v>
      </c>
      <c r="K29" s="38">
        <f t="shared" si="3"/>
        <v>7458.2925</v>
      </c>
    </row>
    <row r="30">
      <c r="A30" s="18" t="s">
        <v>92</v>
      </c>
      <c r="B30" s="20" t="s">
        <v>29</v>
      </c>
      <c r="C30" s="51">
        <v>5.0</v>
      </c>
      <c r="D30" s="33" t="s">
        <v>32</v>
      </c>
      <c r="E30" s="29">
        <v>2160.0</v>
      </c>
      <c r="F30" s="29">
        <v>2700.0</v>
      </c>
      <c r="G30" s="29">
        <v>300.0</v>
      </c>
      <c r="H30" s="29">
        <v>70.0</v>
      </c>
      <c r="I30" s="33">
        <f t="shared" si="1"/>
        <v>5230</v>
      </c>
      <c r="J30" s="38">
        <f t="shared" si="2"/>
        <v>154.285</v>
      </c>
      <c r="K30" s="38">
        <f t="shared" si="3"/>
        <v>5075.715</v>
      </c>
    </row>
    <row r="31">
      <c r="A31" s="18" t="s">
        <v>93</v>
      </c>
      <c r="B31" s="20" t="s">
        <v>41</v>
      </c>
      <c r="C31" s="51">
        <v>2.0</v>
      </c>
      <c r="D31" s="33" t="s">
        <v>32</v>
      </c>
      <c r="E31" s="29">
        <v>0.0</v>
      </c>
      <c r="F31" s="29">
        <v>3300.0</v>
      </c>
      <c r="G31" s="29">
        <v>600.0</v>
      </c>
      <c r="H31" s="29">
        <v>0.0</v>
      </c>
      <c r="I31" s="33">
        <f t="shared" si="1"/>
        <v>3900</v>
      </c>
      <c r="J31" s="38">
        <f t="shared" si="2"/>
        <v>115.05</v>
      </c>
      <c r="K31" s="38">
        <f t="shared" si="3"/>
        <v>3784.95</v>
      </c>
    </row>
    <row r="32">
      <c r="A32" s="15" t="s">
        <v>37</v>
      </c>
      <c r="B32" s="43"/>
      <c r="C32" s="58">
        <f>SUM(C2:C31)</f>
        <v>83</v>
      </c>
      <c r="D32" s="43"/>
      <c r="E32" s="36">
        <f>SUM(E2:E31)</f>
        <v>55430</v>
      </c>
      <c r="F32" s="36">
        <f>SUM(F2:F31) +C34</f>
        <v>51950</v>
      </c>
      <c r="G32" s="36">
        <f t="shared" ref="G32:H32" si="4">SUM(G2:G31)</f>
        <v>14350</v>
      </c>
      <c r="H32" s="36">
        <f t="shared" si="4"/>
        <v>2685</v>
      </c>
      <c r="I32" s="36">
        <f>SUM(I2:I31) +E34</f>
        <v>124415</v>
      </c>
      <c r="J32" s="60">
        <f t="shared" ref="J32:K32" si="5">SUM(J2:J31)</f>
        <v>3670.2425</v>
      </c>
      <c r="K32" s="60">
        <f t="shared" si="5"/>
        <v>120744.7575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11" t="s">
        <v>0</v>
      </c>
      <c r="B1" s="14" t="s">
        <v>1</v>
      </c>
      <c r="C1" s="14" t="s">
        <v>14</v>
      </c>
      <c r="D1" s="14" t="s">
        <v>16</v>
      </c>
      <c r="E1" s="14" t="s">
        <v>18</v>
      </c>
      <c r="F1" s="14" t="s">
        <v>19</v>
      </c>
      <c r="G1" s="14" t="s">
        <v>21</v>
      </c>
      <c r="H1" s="14" t="s">
        <v>5</v>
      </c>
    </row>
    <row r="2">
      <c r="A2" s="19"/>
      <c r="B2" s="22" t="s">
        <v>30</v>
      </c>
      <c r="C2" s="25">
        <v>19475.0</v>
      </c>
      <c r="D2" s="25">
        <v>2535.0</v>
      </c>
      <c r="E2" s="30">
        <f t="shared" ref="E2:E6" si="1">C2-D2</f>
        <v>16940</v>
      </c>
      <c r="F2" s="25">
        <v>16.5</v>
      </c>
      <c r="G2" s="25">
        <v>82.62</v>
      </c>
      <c r="H2" s="32">
        <v>16865.87</v>
      </c>
    </row>
    <row r="3">
      <c r="A3" s="34"/>
      <c r="B3" s="22" t="s">
        <v>35</v>
      </c>
      <c r="C3" s="22">
        <v>28100.0</v>
      </c>
      <c r="D3" s="22">
        <v>3653.0</v>
      </c>
      <c r="E3" s="30">
        <f t="shared" si="1"/>
        <v>24447</v>
      </c>
      <c r="F3" s="22">
        <v>23.8</v>
      </c>
      <c r="G3" s="22">
        <v>119.0</v>
      </c>
      <c r="H3" s="22">
        <v>24304.6</v>
      </c>
    </row>
    <row r="4">
      <c r="A4" s="35"/>
      <c r="B4" s="37" t="s">
        <v>38</v>
      </c>
      <c r="C4" s="39">
        <v>19800.0</v>
      </c>
      <c r="D4" s="37">
        <v>2574.0</v>
      </c>
      <c r="E4" s="30">
        <f t="shared" si="1"/>
        <v>17226</v>
      </c>
      <c r="F4" s="37">
        <v>16.7</v>
      </c>
      <c r="G4" s="37">
        <v>83.9</v>
      </c>
      <c r="H4" s="39">
        <v>17125.35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>
      <c r="A5" s="35"/>
      <c r="B5" s="47" t="s">
        <v>46</v>
      </c>
      <c r="C5" s="39">
        <v>25765.0</v>
      </c>
      <c r="D5" s="37">
        <v>3349.0</v>
      </c>
      <c r="E5" s="30">
        <f t="shared" si="1"/>
        <v>22416</v>
      </c>
      <c r="F5" s="37">
        <v>21.0</v>
      </c>
      <c r="G5" s="37">
        <v>109.0</v>
      </c>
      <c r="H5" s="39">
        <v>22284.0</v>
      </c>
    </row>
    <row r="6">
      <c r="A6" s="35"/>
      <c r="B6" s="47" t="s">
        <v>52</v>
      </c>
      <c r="C6" s="39">
        <v>5288.0</v>
      </c>
      <c r="D6" s="37">
        <v>700.0</v>
      </c>
      <c r="E6" s="30">
        <f t="shared" si="1"/>
        <v>4588</v>
      </c>
      <c r="F6" s="37">
        <v>4.5</v>
      </c>
      <c r="G6" s="37">
        <v>22.0</v>
      </c>
      <c r="H6" s="39">
        <v>4498.0</v>
      </c>
    </row>
    <row r="7">
      <c r="A7" s="34"/>
      <c r="B7" s="48" t="s">
        <v>37</v>
      </c>
      <c r="C7" s="49">
        <f>SUM(C2:C6)</f>
        <v>98428</v>
      </c>
      <c r="D7" s="50"/>
      <c r="E7" s="49">
        <f>SUM(E2:E6)</f>
        <v>85617</v>
      </c>
      <c r="F7" s="50"/>
      <c r="G7" s="49"/>
      <c r="H7" s="49">
        <f>SUM(H2:H6)</f>
        <v>85077.82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13" t="s">
        <v>0</v>
      </c>
      <c r="B1" s="4" t="s">
        <v>1</v>
      </c>
      <c r="C1" s="4" t="s">
        <v>20</v>
      </c>
      <c r="D1" s="4" t="s">
        <v>22</v>
      </c>
      <c r="E1" s="4" t="s">
        <v>23</v>
      </c>
      <c r="F1" s="4" t="s">
        <v>18</v>
      </c>
      <c r="G1" s="4" t="s">
        <v>25</v>
      </c>
      <c r="H1" s="4" t="s">
        <v>27</v>
      </c>
      <c r="I1" s="4" t="s">
        <v>28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8"/>
      <c r="B2" s="29" t="s">
        <v>33</v>
      </c>
      <c r="C2" s="26">
        <v>1200.0</v>
      </c>
      <c r="D2" s="26">
        <v>84.0</v>
      </c>
      <c r="E2" s="26">
        <v>15.12</v>
      </c>
      <c r="F2" s="33">
        <f>C2-D2-E2</f>
        <v>1100.88</v>
      </c>
      <c r="G2" s="26">
        <v>1.2</v>
      </c>
      <c r="H2" s="26">
        <v>6.0</v>
      </c>
      <c r="I2" s="26">
        <v>1093.6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0"/>
      <c r="B3" s="36" t="s">
        <v>37</v>
      </c>
      <c r="C3" s="36">
        <f>SUM(C2)</f>
        <v>1200</v>
      </c>
      <c r="D3" s="43"/>
      <c r="E3" s="43"/>
      <c r="F3" s="36">
        <f>SUM(F2)</f>
        <v>1100.88</v>
      </c>
      <c r="G3" s="43"/>
      <c r="H3" s="43"/>
      <c r="I3" s="36">
        <f>SUM(I2)</f>
        <v>1093.6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61" t="s">
        <v>0</v>
      </c>
      <c r="B1" s="14" t="s">
        <v>1</v>
      </c>
      <c r="C1" s="14" t="s">
        <v>104</v>
      </c>
      <c r="D1" s="14" t="s">
        <v>22</v>
      </c>
      <c r="E1" s="62" t="s">
        <v>105</v>
      </c>
      <c r="F1" s="14" t="s">
        <v>18</v>
      </c>
      <c r="G1" s="63" t="s">
        <v>21</v>
      </c>
      <c r="H1" s="63" t="s">
        <v>19</v>
      </c>
      <c r="I1" s="14" t="s">
        <v>28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4"/>
      <c r="B2" s="22" t="s">
        <v>106</v>
      </c>
      <c r="C2" s="32">
        <v>49400.0</v>
      </c>
      <c r="D2" s="32">
        <v>2472.0</v>
      </c>
      <c r="E2" s="25">
        <v>444.0</v>
      </c>
      <c r="F2" s="30">
        <f>C2-D2-E2</f>
        <v>46484</v>
      </c>
      <c r="G2" s="32">
        <v>247.0</v>
      </c>
      <c r="H2" s="32">
        <v>49.0</v>
      </c>
      <c r="I2" s="32">
        <v>46186.0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4"/>
      <c r="B3" s="19"/>
      <c r="C3" s="22"/>
      <c r="D3" s="22"/>
      <c r="E3" s="69"/>
      <c r="F3" s="30"/>
      <c r="G3" s="22"/>
      <c r="H3" s="22"/>
      <c r="I3" s="19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4"/>
      <c r="B4" s="48" t="s">
        <v>37</v>
      </c>
      <c r="C4" s="73">
        <f>SUM(C2:C3)</f>
        <v>49400</v>
      </c>
      <c r="D4" s="50"/>
      <c r="E4" s="75"/>
      <c r="F4" s="49">
        <f>SUM(F2:F3)</f>
        <v>46484</v>
      </c>
      <c r="G4" s="50"/>
      <c r="H4" s="50"/>
      <c r="I4" s="73">
        <f>SUM(I2:I3)</f>
        <v>46186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25"/>
    <col customWidth="1" min="3" max="3" width="18.25"/>
    <col customWidth="1" min="4" max="4" width="14.38"/>
    <col customWidth="1" min="5" max="5" width="14.13"/>
  </cols>
  <sheetData>
    <row r="1">
      <c r="A1" s="65" t="s">
        <v>0</v>
      </c>
      <c r="B1" s="14" t="s">
        <v>1</v>
      </c>
      <c r="C1" s="14" t="s">
        <v>107</v>
      </c>
      <c r="D1" s="14" t="s">
        <v>22</v>
      </c>
      <c r="E1" s="14" t="s">
        <v>28</v>
      </c>
    </row>
    <row r="2">
      <c r="A2" s="34"/>
      <c r="B2" s="22" t="s">
        <v>108</v>
      </c>
      <c r="C2" s="32">
        <v>1200.0</v>
      </c>
      <c r="D2" s="68">
        <f>C2*5%</f>
        <v>60</v>
      </c>
      <c r="E2" s="68">
        <f>C2-D2</f>
        <v>1140</v>
      </c>
    </row>
    <row r="3">
      <c r="A3" s="71"/>
      <c r="B3" s="72" t="s">
        <v>37</v>
      </c>
      <c r="C3" s="74">
        <f>SUM(C2)</f>
        <v>1200</v>
      </c>
      <c r="D3" s="50"/>
      <c r="E3" s="74">
        <f>SUM(E2)</f>
        <v>1140</v>
      </c>
      <c r="F3" s="6"/>
      <c r="G3" s="6"/>
      <c r="H3" s="6"/>
      <c r="I3" s="6"/>
      <c r="J3" s="6"/>
      <c r="K3" s="76"/>
      <c r="L3" s="6"/>
      <c r="M3" s="76"/>
      <c r="N3" s="76"/>
    </row>
    <row r="4">
      <c r="A4" s="77"/>
      <c r="B4" s="78"/>
      <c r="C4" s="79"/>
      <c r="D4" s="77"/>
      <c r="E4" s="80"/>
    </row>
    <row r="5">
      <c r="A5" s="77"/>
      <c r="B5" s="77"/>
      <c r="D5" s="77"/>
      <c r="E5" s="80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</cols>
  <sheetData>
    <row r="1">
      <c r="A1" s="66" t="s">
        <v>0</v>
      </c>
      <c r="B1" s="67" t="s">
        <v>1</v>
      </c>
      <c r="C1" s="67" t="s">
        <v>109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40"/>
      <c r="B2" s="22" t="s">
        <v>110</v>
      </c>
      <c r="C2" s="70">
        <v>8388.0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6"/>
      <c r="B4" s="64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64"/>
      <c r="B5" s="64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64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6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6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6" max="6" width="14.13"/>
  </cols>
  <sheetData>
    <row r="1">
      <c r="A1" s="81" t="s">
        <v>1</v>
      </c>
      <c r="B1" s="67" t="s">
        <v>111</v>
      </c>
      <c r="C1" s="14" t="s">
        <v>112</v>
      </c>
      <c r="D1" s="67" t="s">
        <v>18</v>
      </c>
      <c r="E1" s="67" t="s">
        <v>113</v>
      </c>
      <c r="F1" s="67" t="s">
        <v>28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82" t="s">
        <v>114</v>
      </c>
      <c r="B2" s="53">
        <v>18389.0</v>
      </c>
      <c r="C2" s="83">
        <f>B2*3%</f>
        <v>551.67</v>
      </c>
      <c r="D2" s="52">
        <f>B2-C2</f>
        <v>17837.33</v>
      </c>
      <c r="E2" s="84">
        <f>B2*2%</f>
        <v>367.78</v>
      </c>
      <c r="F2" s="52">
        <f>D2-E2</f>
        <v>17469.55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85" t="s">
        <v>37</v>
      </c>
      <c r="B3" s="54">
        <f>SUM(B2)</f>
        <v>18389</v>
      </c>
      <c r="C3" s="50"/>
      <c r="D3" s="54">
        <f>SUM(D2)</f>
        <v>17837.33</v>
      </c>
      <c r="E3" s="7"/>
      <c r="F3" s="54">
        <f>SUM(F2)</f>
        <v>17469.55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6"/>
      <c r="B4" s="64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64"/>
      <c r="B5" s="64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64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6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64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15.25"/>
  </cols>
  <sheetData>
    <row r="1">
      <c r="A1" s="67" t="s">
        <v>115</v>
      </c>
      <c r="B1" s="67" t="s">
        <v>116</v>
      </c>
      <c r="C1" s="67" t="s">
        <v>117</v>
      </c>
      <c r="D1" s="85" t="s">
        <v>118</v>
      </c>
    </row>
    <row r="2">
      <c r="A2" s="86"/>
      <c r="B2" s="86"/>
      <c r="C2" s="86"/>
      <c r="D2" s="87"/>
    </row>
  </sheetData>
  <drawing r:id="rId1"/>
</worksheet>
</file>