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Sportomic" sheetId="6" r:id="rId10"/>
    <sheet state="visible" name="Other income" sheetId="7" r:id="rId11"/>
    <sheet state="visible" name="Corporate Events" sheetId="8" r:id="rId12"/>
  </sheets>
  <definedNames/>
  <calcPr/>
</workbook>
</file>

<file path=xl/sharedStrings.xml><?xml version="1.0" encoding="utf-8"?>
<sst xmlns="http://schemas.openxmlformats.org/spreadsheetml/2006/main" count="176" uniqueCount="105">
  <si>
    <t>Link</t>
  </si>
  <si>
    <t>Date</t>
  </si>
  <si>
    <t>1 - 30 April</t>
  </si>
  <si>
    <t>Particulars</t>
  </si>
  <si>
    <t>Amount</t>
  </si>
  <si>
    <t>Day</t>
  </si>
  <si>
    <t>Pickleball</t>
  </si>
  <si>
    <t>Offline booking hours</t>
  </si>
  <si>
    <t>Paid to Playo (₹)</t>
  </si>
  <si>
    <t>Commissions (₹)</t>
  </si>
  <si>
    <t>GST (₹)</t>
  </si>
  <si>
    <t>Pay &amp; Play</t>
  </si>
  <si>
    <t>Net Revenue</t>
  </si>
  <si>
    <t>TDS (₹)</t>
  </si>
  <si>
    <t>TCS (₹)</t>
  </si>
  <si>
    <t>Final Amount (₹)</t>
  </si>
  <si>
    <t>Paid to Hudle</t>
  </si>
  <si>
    <t>Discount</t>
  </si>
  <si>
    <t>Commisions (Including GST)</t>
  </si>
  <si>
    <t>TDS</t>
  </si>
  <si>
    <t>TCS</t>
  </si>
  <si>
    <t>Booking Revenue</t>
  </si>
  <si>
    <t>Paddle Rental</t>
  </si>
  <si>
    <t>1-28 Apr</t>
  </si>
  <si>
    <t>1-26 Apr</t>
  </si>
  <si>
    <t>Total Revenue</t>
  </si>
  <si>
    <t>Payment Gateway</t>
  </si>
  <si>
    <t>1 Apr</t>
  </si>
  <si>
    <t>Wednesday</t>
  </si>
  <si>
    <t xml:space="preserve">Online </t>
  </si>
  <si>
    <t>10 and 15%</t>
  </si>
  <si>
    <t>District</t>
  </si>
  <si>
    <t>Hudle</t>
  </si>
  <si>
    <t>28-30 Apr</t>
  </si>
  <si>
    <t>27-30 Apr</t>
  </si>
  <si>
    <t>Playo</t>
  </si>
  <si>
    <t>Total</t>
  </si>
  <si>
    <t>Khelomore</t>
  </si>
  <si>
    <t>Zplys</t>
  </si>
  <si>
    <t>Offline</t>
  </si>
  <si>
    <t>Bookings</t>
  </si>
  <si>
    <t>2 Apr</t>
  </si>
  <si>
    <t>Thursday</t>
  </si>
  <si>
    <t>Memberships</t>
  </si>
  <si>
    <t>3 Apr</t>
  </si>
  <si>
    <t>Friday</t>
  </si>
  <si>
    <t>Community</t>
  </si>
  <si>
    <t>Pickup games</t>
  </si>
  <si>
    <t>Social Events/Tournaments</t>
  </si>
  <si>
    <t>4 Apr</t>
  </si>
  <si>
    <t>Saturday</t>
  </si>
  <si>
    <t>5 Apr</t>
  </si>
  <si>
    <t>Sunday</t>
  </si>
  <si>
    <t>Academy</t>
  </si>
  <si>
    <t>6 Apr</t>
  </si>
  <si>
    <t>Events &amp; Partnership</t>
  </si>
  <si>
    <t>Monday</t>
  </si>
  <si>
    <t>7 Apr</t>
  </si>
  <si>
    <t>Tuesday</t>
  </si>
  <si>
    <t>Corporate events</t>
  </si>
  <si>
    <t>8 Apr</t>
  </si>
  <si>
    <t>9 Apr</t>
  </si>
  <si>
    <t>All B2B partnerships</t>
  </si>
  <si>
    <t>10 Apr</t>
  </si>
  <si>
    <t>Commerce</t>
  </si>
  <si>
    <t>11 Apr</t>
  </si>
  <si>
    <t>Product rental</t>
  </si>
  <si>
    <t>12 Apr</t>
  </si>
  <si>
    <t>13 Apr</t>
  </si>
  <si>
    <t>Product sales</t>
  </si>
  <si>
    <t>F&amp;B</t>
  </si>
  <si>
    <t>Other Income</t>
  </si>
  <si>
    <t>14 Apr</t>
  </si>
  <si>
    <t>15 Apr</t>
  </si>
  <si>
    <t>Total Gross Revenue</t>
  </si>
  <si>
    <t>16 Apr</t>
  </si>
  <si>
    <t>Total Net Revenue (Post Commissions)</t>
  </si>
  <si>
    <t>17 Apr</t>
  </si>
  <si>
    <t>18 Apr</t>
  </si>
  <si>
    <t>Total Revenue post GST</t>
  </si>
  <si>
    <t>19 Apr</t>
  </si>
  <si>
    <t>20 Apr</t>
  </si>
  <si>
    <t>21 Apr</t>
  </si>
  <si>
    <t>22 Apr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</si>
  <si>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</si>
  <si>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</si>
  <si>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</si>
  <si>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</si>
  <si>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</si>
  <si>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</si>
  <si>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</si>
  <si>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</si>
  <si>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Paid to Khelomore (₹)</t>
  </si>
  <si>
    <t>1 - 30th Apr</t>
  </si>
  <si>
    <t>Paid to Sportomic (₹)</t>
  </si>
  <si>
    <t>1 -30 Apr</t>
  </si>
  <si>
    <t>Month</t>
  </si>
  <si>
    <t>Sports Type</t>
  </si>
  <si>
    <t>Amount Collected</t>
  </si>
  <si>
    <t>Apr</t>
  </si>
  <si>
    <t>Football Management Operations</t>
  </si>
  <si>
    <t>Name</t>
  </si>
  <si>
    <t>Sport</t>
  </si>
  <si>
    <t>Amt</t>
  </si>
  <si>
    <t>Life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</si>
</sst>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"/>
    <numFmt numFmtId="165" formatCode="[&gt;9999999][$₹]##\,##\,##\,##0;[&gt;99999][$₹]##\,##\,##0;[$₹]##,##0"/>
    <numFmt numFmtId="166" formatCode="[$₹]#,##0.00"/>
    <numFmt numFmtId="167" formatCode="#,##0.0"/>
    <numFmt numFmtId="168" formatCode="[&gt;9999999][$₹]##\,##\,##\,##0.00;[&gt;99999][$₹]##\,##\,##0.00;[$₹]##,##0.00"/>
    <numFmt numFmtId="169" formatCode="[$₹]#,##0"/>
    <numFmt numFmtId="170" formatCode="d mmm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</font>
    <font>
      <b/>
      <u/>
      <color rgb="FF1155CC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2" fillId="0" fontId="2" numFmtId="0" xfId="0" applyAlignment="1" applyBorder="1" applyFont="1">
      <alignment horizontal="center" vertical="bottom"/>
    </xf>
    <xf borderId="2" fillId="2" fontId="2" numFmtId="164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2" fontId="5" numFmtId="164" xfId="0" applyAlignment="1" applyFill="1" applyFont="1" applyNumberFormat="1">
      <alignment horizontal="center" readingOrder="0" vertical="bottom"/>
    </xf>
    <xf borderId="2" fillId="2" fontId="4" numFmtId="0" xfId="0" applyAlignment="1" applyBorder="1" applyFill="1" applyFont="1">
      <alignment vertical="bottom"/>
    </xf>
    <xf borderId="2" fillId="2" fontId="6" numFmtId="0" xfId="0" applyAlignment="1" applyBorder="1" applyFill="1" applyFont="1">
      <alignment horizontal="center" readingOrder="0" vertical="bottom"/>
    </xf>
    <xf borderId="2" fillId="2" fontId="2" numFmtId="165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2" fontId="2" numFmtId="166" xfId="0" applyAlignment="1" applyBorder="1" applyFill="1" applyFont="1" applyNumberFormat="1">
      <alignment horizontal="center" vertical="bottom"/>
    </xf>
    <xf borderId="2" fillId="2" fontId="2" numFmtId="167" xfId="0" applyAlignment="1" applyBorder="1" applyFill="1" applyFont="1" applyNumberFormat="1">
      <alignment horizontal="center" vertical="bottom"/>
    </xf>
    <xf borderId="0" fillId="0" fontId="7" numFmtId="164" xfId="0" applyFont="1" applyNumberFormat="1"/>
    <xf borderId="2" fillId="2" fontId="2" numFmtId="164" xfId="0" applyAlignment="1" applyBorder="1" applyFill="1" applyFont="1" applyNumberFormat="1">
      <alignment horizontal="center" readingOrder="0" vertical="bottom"/>
    </xf>
    <xf borderId="2" fillId="0" fontId="4" numFmtId="166" xfId="0" applyAlignment="1" applyBorder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0" fillId="2" fontId="2" numFmtId="164" xfId="0" applyAlignment="1" applyFill="1" applyFont="1" applyNumberFormat="1">
      <alignment horizontal="right" readingOrder="0" vertical="bottom"/>
    </xf>
    <xf borderId="2" fillId="0" fontId="4" numFmtId="166" xfId="0" applyAlignment="1" applyBorder="1" applyFont="1" applyNumberFormat="1">
      <alignment readingOrder="0" vertical="bottom"/>
    </xf>
    <xf borderId="2" fillId="0" fontId="4" numFmtId="164" xfId="0" applyAlignment="1" applyBorder="1" applyFont="1" applyNumberFormat="1">
      <alignment readingOrder="0" vertical="bottom"/>
    </xf>
    <xf borderId="2" fillId="0" fontId="4" numFmtId="168" xfId="0" applyAlignment="1" applyBorder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2" fontId="2" numFmtId="164" xfId="0" applyAlignment="1" applyBorder="1" applyFill="1" applyFont="1" applyNumberFormat="1">
      <alignment vertical="bottom"/>
    </xf>
    <xf borderId="2" fillId="2" fontId="2" numFmtId="0" xfId="0" applyAlignment="1" applyBorder="1" applyFill="1" applyFont="1">
      <alignment vertical="bottom"/>
    </xf>
    <xf borderId="2" fillId="0" fontId="2" numFmtId="165" xfId="0" applyAlignment="1" applyBorder="1" applyFont="1" applyNumberFormat="1">
      <alignment horizontal="right" vertical="bottom"/>
    </xf>
    <xf borderId="2" fillId="3" fontId="4" numFmtId="164" xfId="0" applyAlignment="1" applyBorder="1" applyFill="1" applyFont="1" applyNumberFormat="1">
      <alignment horizontal="right" vertical="bottom"/>
    </xf>
    <xf borderId="2" fillId="3" fontId="4" numFmtId="164" xfId="0" applyAlignment="1" applyBorder="1" applyFill="1" applyFont="1" applyNumberFormat="1">
      <alignment vertical="bottom"/>
    </xf>
    <xf borderId="2" fillId="0" fontId="4" numFmtId="167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2" fillId="0" fontId="4" numFmtId="0" xfId="0" applyAlignment="1" applyBorder="1" applyFont="1">
      <alignment vertical="bottom"/>
    </xf>
    <xf borderId="2" fillId="0" fontId="4" numFmtId="165" xfId="0" applyAlignment="1" applyBorder="1" applyFont="1" applyNumberFormat="1">
      <alignment readingOrder="0" vertical="bottom"/>
    </xf>
    <xf borderId="2" fillId="0" fontId="4" numFmtId="168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166" xfId="0" applyAlignment="1" applyBorder="1" applyFont="1" applyNumberFormat="1">
      <alignment horizontal="right" readingOrder="0" vertical="bottom"/>
    </xf>
    <xf borderId="0" fillId="3" fontId="4" numFmtId="166" xfId="0" applyAlignment="1" applyFill="1" applyFont="1" applyNumberFormat="1">
      <alignment vertical="bottom"/>
    </xf>
    <xf borderId="2" fillId="3" fontId="4" numFmtId="164" xfId="0" applyAlignment="1" applyBorder="1" applyFill="1" applyFont="1" applyNumberFormat="1">
      <alignment horizontal="left" readingOrder="0" vertical="bottom"/>
    </xf>
    <xf borderId="2" fillId="3" fontId="4" numFmtId="165" xfId="0" applyAlignment="1" applyBorder="1" applyFill="1" applyFont="1" applyNumberFormat="1">
      <alignment readingOrder="0" vertical="bottom"/>
    </xf>
    <xf borderId="2" fillId="0" fontId="4" numFmtId="165" xfId="0" applyAlignment="1" applyBorder="1" applyFont="1" applyNumberFormat="1">
      <alignment vertical="bottom"/>
    </xf>
    <xf borderId="2" fillId="3" fontId="4" numFmtId="164" xfId="0" applyAlignment="1" applyBorder="1" applyFill="1" applyFont="1" applyNumberFormat="1">
      <alignment horizontal="right" readingOrder="0" vertical="bottom"/>
    </xf>
    <xf borderId="2" fillId="3" fontId="4" numFmtId="168" xfId="0" applyAlignment="1" applyBorder="1" applyFill="1" applyFont="1" applyNumberFormat="1">
      <alignment horizontal="right" readingOrder="0" vertical="bottom"/>
    </xf>
    <xf borderId="2" fillId="3" fontId="4" numFmtId="164" xfId="0" applyAlignment="1" applyBorder="1" applyFill="1" applyFont="1" applyNumberFormat="1">
      <alignment readingOrder="0" vertical="bottom"/>
    </xf>
    <xf borderId="2" fillId="3" fontId="4" numFmtId="166" xfId="0" applyAlignment="1" applyBorder="1" applyFill="1" applyFont="1" applyNumberFormat="1">
      <alignment readingOrder="0" vertical="bottom"/>
    </xf>
    <xf borderId="0" fillId="0" fontId="4" numFmtId="166" xfId="0" applyAlignment="1" applyFont="1" applyNumberFormat="1">
      <alignment vertical="bottom"/>
    </xf>
    <xf borderId="2" fillId="2" fontId="2" numFmtId="164" xfId="0" applyAlignment="1" applyBorder="1" applyFill="1" applyFont="1" applyNumberFormat="1">
      <alignment horizontal="right" vertical="bottom"/>
    </xf>
    <xf borderId="2" fillId="0" fontId="4" numFmtId="0" xfId="0" applyAlignment="1" applyBorder="1" applyFont="1">
      <alignment vertical="bottom"/>
    </xf>
    <xf borderId="2" fillId="2" fontId="2" numFmtId="166" xfId="0" applyAlignment="1" applyBorder="1" applyFill="1" applyFont="1" applyNumberFormat="1">
      <alignment vertical="bottom"/>
    </xf>
    <xf borderId="0" fillId="0" fontId="2" numFmtId="0" xfId="0" applyAlignment="1" applyFont="1">
      <alignment vertical="bottom"/>
    </xf>
    <xf borderId="2" fillId="2" fontId="4" numFmtId="164" xfId="0" applyAlignment="1" applyBorder="1" applyFill="1" applyFont="1" applyNumberFormat="1">
      <alignment vertical="bottom"/>
    </xf>
    <xf borderId="2" fillId="2" fontId="2" numFmtId="168" xfId="0" applyAlignment="1" applyBorder="1" applyFill="1" applyFont="1" applyNumberFormat="1">
      <alignment horizontal="right" vertical="bottom"/>
    </xf>
    <xf borderId="2" fillId="0" fontId="4" numFmtId="169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2" fontId="4" numFmtId="166" xfId="0" applyAlignment="1" applyBorder="1" applyFill="1" applyFont="1" applyNumberFormat="1">
      <alignment vertical="bottom"/>
    </xf>
    <xf borderId="2" fillId="3" fontId="4" numFmtId="167" xfId="0" applyAlignment="1" applyBorder="1" applyFill="1" applyFont="1" applyNumberFormat="1">
      <alignment horizontal="right" readingOrder="0" vertical="bottom"/>
    </xf>
    <xf borderId="2" fillId="0" fontId="4" numFmtId="165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167" xfId="0" applyAlignment="1" applyBorder="1" applyFont="1" applyNumberFormat="1">
      <alignment readingOrder="0" vertical="bottom"/>
    </xf>
    <xf borderId="2" fillId="0" fontId="4" numFmtId="0" xfId="0" applyAlignment="1" applyBorder="1" applyFont="1">
      <alignment shrinkToFit="0" vertical="bottom" wrapText="1"/>
    </xf>
    <xf borderId="2" fillId="0" fontId="2" numFmtId="166" xfId="0" applyAlignment="1" applyBorder="1" applyFont="1" applyNumberFormat="1">
      <alignment vertical="bottom"/>
    </xf>
    <xf borderId="0" fillId="0" fontId="7" numFmtId="0" xfId="0" applyAlignment="1" applyFont="1">
      <alignment readingOrder="0"/>
    </xf>
    <xf borderId="2" fillId="2" fontId="2" numFmtId="166" xfId="0" applyAlignment="1" applyBorder="1" applyFill="1" applyFont="1" applyNumberFormat="1">
      <alignment horizontal="right" vertical="bottom"/>
    </xf>
    <xf borderId="2" fillId="2" fontId="4" numFmtId="164" xfId="0" applyAlignment="1" applyBorder="1" applyFill="1" applyFont="1" applyNumberFormat="1">
      <alignment horizontal="right" readingOrder="0" vertical="bottom"/>
    </xf>
    <xf borderId="2" fillId="2" fontId="2" numFmtId="4" xfId="0" applyAlignment="1" applyBorder="1" applyFill="1" applyFont="1" applyNumberFormat="1">
      <alignment horizontal="right" vertical="bottom"/>
    </xf>
    <xf borderId="0" fillId="2" fontId="8" numFmtId="166" xfId="0" applyAlignment="1" applyFill="1" applyFont="1" applyNumberFormat="1">
      <alignment horizontal="center" readingOrder="0" vertical="bottom"/>
    </xf>
    <xf borderId="2" fillId="3" fontId="4" numFmtId="166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2" fillId="2" fontId="2" numFmtId="170" xfId="0" applyAlignment="1" applyBorder="1" applyFill="1" applyFont="1" applyNumberFormat="1">
      <alignment vertical="bottom"/>
    </xf>
    <xf borderId="2" fillId="2" fontId="9" numFmtId="166" xfId="0" applyAlignment="1" applyBorder="1" applyFill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2" fillId="2" fontId="11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center" vertical="bottom"/>
    </xf>
    <xf borderId="2" fillId="3" fontId="2" numFmtId="166" xfId="0" applyAlignment="1" applyBorder="1" applyFill="1" applyFont="1" applyNumberFormat="1">
      <alignment horizontal="right" readingOrder="0" vertical="bottom"/>
    </xf>
    <xf borderId="0" fillId="0" fontId="4" numFmtId="170" xfId="0" applyAlignment="1" applyFont="1" applyNumberForma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168" xfId="0" applyAlignment="1" applyBorder="1" applyFont="1" applyNumberFormat="1">
      <alignment horizontal="right" vertical="bottom"/>
    </xf>
    <xf borderId="2" fillId="0" fontId="4" numFmtId="170" xfId="0" applyAlignment="1" applyBorder="1" applyFont="1" applyNumberFormat="1">
      <alignment horizontal="right" readingOrder="0" vertical="bottom"/>
    </xf>
    <xf borderId="2" fillId="0" fontId="4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2</v>
      </c>
      <c r="C2" s="3"/>
    </row>
    <row r="3">
      <c r="B3" s="4" t="s">
        <v>3</v>
      </c>
      <c r="C3" s="4" t="s">
        <v>4</v>
      </c>
      <c r="E3" s="6"/>
    </row>
    <row r="4">
      <c r="B4" s="8"/>
      <c r="C4" s="10" t="s">
        <v>6</v>
      </c>
      <c r="E4" s="6"/>
    </row>
    <row r="5">
      <c r="B5" s="11" t="s">
        <v>11</v>
      </c>
      <c r="C5" s="25">
        <f>sum(C6,C12)</f>
        <v>179568</v>
      </c>
      <c r="E5" s="6"/>
    </row>
    <row r="6">
      <c r="B6" s="11" t="s">
        <v>29</v>
      </c>
      <c r="C6" s="25">
        <f>sum(C7:C11)</f>
        <v>78287</v>
      </c>
      <c r="E6" s="6"/>
    </row>
    <row r="7" outlineLevel="1">
      <c r="B7" s="30" t="s">
        <v>31</v>
      </c>
      <c r="C7" s="31">
        <v>0.0</v>
      </c>
      <c r="E7" s="6"/>
    </row>
    <row r="8" outlineLevel="1">
      <c r="B8" s="30" t="s">
        <v>32</v>
      </c>
      <c r="C8" s="38">
        <f>Hudle!C4</f>
        <v>13450</v>
      </c>
      <c r="E8" s="6"/>
    </row>
    <row r="9" outlineLevel="1">
      <c r="B9" s="30" t="s">
        <v>35</v>
      </c>
      <c r="C9" s="38">
        <f>Playo!C4</f>
        <v>38962</v>
      </c>
      <c r="E9" s="6"/>
    </row>
    <row r="10" outlineLevel="1">
      <c r="B10" s="45" t="s">
        <v>37</v>
      </c>
      <c r="C10" s="38">
        <f>Khelomore!C3</f>
        <v>25875</v>
      </c>
      <c r="E10" s="47"/>
    </row>
    <row r="11" outlineLevel="1">
      <c r="B11" s="30" t="s">
        <v>38</v>
      </c>
      <c r="C11" s="31">
        <v>0.0</v>
      </c>
      <c r="E11" s="47"/>
    </row>
    <row r="12">
      <c r="B12" s="51" t="s">
        <v>39</v>
      </c>
      <c r="C12" s="25">
        <f>sum(C13:C14)</f>
        <v>101281</v>
      </c>
    </row>
    <row r="13" outlineLevel="1">
      <c r="B13" s="30" t="s">
        <v>40</v>
      </c>
      <c r="C13" s="38">
        <f>'Offline &amp; RG Community'!E32</f>
        <v>101281</v>
      </c>
    </row>
    <row r="14" outlineLevel="1">
      <c r="B14" s="16" t="s">
        <v>43</v>
      </c>
      <c r="C14" s="31">
        <v>0.0</v>
      </c>
      <c r="E14" s="6"/>
    </row>
    <row r="15">
      <c r="B15" s="51" t="s">
        <v>46</v>
      </c>
      <c r="C15" s="25">
        <f>sum(C16:C17)</f>
        <v>3588</v>
      </c>
      <c r="E15" s="6"/>
    </row>
    <row r="16" outlineLevel="1">
      <c r="B16" s="45" t="s">
        <v>47</v>
      </c>
      <c r="C16" s="31">
        <v>0.0</v>
      </c>
      <c r="E16" s="6"/>
    </row>
    <row r="17" outlineLevel="1">
      <c r="B17" s="45" t="s">
        <v>48</v>
      </c>
      <c r="C17" s="31">
        <f>Sportomic!C2</f>
        <v>3588</v>
      </c>
    </row>
    <row r="18">
      <c r="B18" s="51" t="s">
        <v>53</v>
      </c>
      <c r="C18" s="25">
        <v>0.0</v>
      </c>
      <c r="E18" s="6"/>
    </row>
    <row r="19">
      <c r="B19" s="11" t="s">
        <v>55</v>
      </c>
      <c r="C19" s="25">
        <f>sum(C20,C21)</f>
        <v>18000</v>
      </c>
    </row>
    <row r="20" outlineLevel="1">
      <c r="B20" s="30" t="s">
        <v>59</v>
      </c>
      <c r="C20" s="54">
        <f>'Corporate Events'!D2</f>
        <v>18000</v>
      </c>
    </row>
    <row r="21" outlineLevel="1">
      <c r="B21" s="45" t="s">
        <v>62</v>
      </c>
      <c r="C21" s="55">
        <v>0.0</v>
      </c>
    </row>
    <row r="22">
      <c r="B22" s="11" t="s">
        <v>64</v>
      </c>
      <c r="C22" s="25">
        <f>sum(C23:C25)</f>
        <v>21525</v>
      </c>
    </row>
    <row r="23" outlineLevel="1">
      <c r="B23" s="30" t="s">
        <v>66</v>
      </c>
      <c r="C23" s="54">
        <f>'Offline &amp; RG Community'!F32</f>
        <v>21525</v>
      </c>
    </row>
    <row r="24" outlineLevel="1">
      <c r="B24" s="30" t="s">
        <v>69</v>
      </c>
      <c r="C24" s="31">
        <v>0.0</v>
      </c>
    </row>
    <row r="25" outlineLevel="1">
      <c r="B25" s="30" t="s">
        <v>70</v>
      </c>
      <c r="C25" s="55">
        <v>0.0</v>
      </c>
    </row>
    <row r="26">
      <c r="B26" s="11" t="s">
        <v>71</v>
      </c>
      <c r="C26" s="25">
        <f>'Other income'!C2</f>
        <v>120000</v>
      </c>
    </row>
    <row r="27">
      <c r="B27" s="11" t="s">
        <v>74</v>
      </c>
      <c r="C27" s="25">
        <f>sum(C26+C22+C19+C18+C15+C12+C6)</f>
        <v>342681</v>
      </c>
    </row>
    <row r="28">
      <c r="B28" s="57" t="s">
        <v>76</v>
      </c>
      <c r="C28" s="58">
        <f>'Offline &amp; RG Community'!I32+Hudle!E4+Playo!F4+Khelomore!E3+Sportomic!C2+'Other income'!C2+'Corporate Events'!F2</f>
        <v>327604.798</v>
      </c>
    </row>
    <row r="29">
      <c r="B29" s="11" t="s">
        <v>79</v>
      </c>
      <c r="C29" s="25">
        <f>C28/1.18</f>
        <v>277631.1847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9.88"/>
    <col customWidth="1" min="5" max="5" width="15.13"/>
    <col customWidth="1" min="8" max="8" width="15.25"/>
  </cols>
  <sheetData>
    <row r="1">
      <c r="A1" s="5" t="s">
        <v>1</v>
      </c>
      <c r="B1" s="5" t="s">
        <v>5</v>
      </c>
      <c r="C1" s="13" t="s">
        <v>7</v>
      </c>
      <c r="D1" s="15" t="s">
        <v>17</v>
      </c>
      <c r="E1" s="5" t="s">
        <v>21</v>
      </c>
      <c r="F1" s="18" t="s">
        <v>22</v>
      </c>
      <c r="G1" s="5" t="s">
        <v>25</v>
      </c>
      <c r="H1" s="23" t="s">
        <v>26</v>
      </c>
      <c r="I1" s="24" t="s">
        <v>12</v>
      </c>
    </row>
    <row r="2">
      <c r="A2" s="26" t="s">
        <v>27</v>
      </c>
      <c r="B2" s="27" t="s">
        <v>28</v>
      </c>
      <c r="C2" s="28">
        <v>4.0</v>
      </c>
      <c r="D2" s="22" t="s">
        <v>30</v>
      </c>
      <c r="E2" s="22">
        <v>2475.0</v>
      </c>
      <c r="F2" s="29">
        <v>200.0</v>
      </c>
      <c r="G2" s="33">
        <f t="shared" ref="G2:G16" si="1">sum(E2:F2)</f>
        <v>2675</v>
      </c>
      <c r="H2" s="50">
        <f t="shared" ref="H2:H31" si="2">G2*2.5%*1.18</f>
        <v>78.9125</v>
      </c>
      <c r="I2" s="50">
        <f t="shared" ref="I2:I31" si="3">G2-H2</f>
        <v>2596.0875</v>
      </c>
    </row>
    <row r="3">
      <c r="A3" s="26" t="s">
        <v>41</v>
      </c>
      <c r="B3" s="27" t="s">
        <v>42</v>
      </c>
      <c r="C3" s="28">
        <v>1.0</v>
      </c>
      <c r="D3" s="22" t="s">
        <v>30</v>
      </c>
      <c r="E3" s="22">
        <v>471.0</v>
      </c>
      <c r="F3" s="22">
        <v>150.0</v>
      </c>
      <c r="G3" s="33">
        <f t="shared" si="1"/>
        <v>621</v>
      </c>
      <c r="H3" s="50">
        <f t="shared" si="2"/>
        <v>18.3195</v>
      </c>
      <c r="I3" s="50">
        <f t="shared" si="3"/>
        <v>602.6805</v>
      </c>
    </row>
    <row r="4">
      <c r="A4" s="26" t="s">
        <v>44</v>
      </c>
      <c r="B4" s="27" t="s">
        <v>45</v>
      </c>
      <c r="C4" s="53">
        <v>7.5</v>
      </c>
      <c r="D4" s="22" t="s">
        <v>30</v>
      </c>
      <c r="E4" s="22">
        <v>4665.0</v>
      </c>
      <c r="F4" s="22">
        <v>850.0</v>
      </c>
      <c r="G4" s="33">
        <f t="shared" si="1"/>
        <v>5515</v>
      </c>
      <c r="H4" s="50">
        <f t="shared" si="2"/>
        <v>162.6925</v>
      </c>
      <c r="I4" s="50">
        <f t="shared" si="3"/>
        <v>5352.3075</v>
      </c>
    </row>
    <row r="5">
      <c r="A5" s="26" t="s">
        <v>49</v>
      </c>
      <c r="B5" s="27" t="s">
        <v>50</v>
      </c>
      <c r="C5" s="28">
        <v>2.0</v>
      </c>
      <c r="D5" s="22" t="s">
        <v>30</v>
      </c>
      <c r="E5" s="22">
        <v>1320.0</v>
      </c>
      <c r="F5" s="22">
        <v>700.0</v>
      </c>
      <c r="G5" s="33">
        <f t="shared" si="1"/>
        <v>2020</v>
      </c>
      <c r="H5" s="50">
        <f t="shared" si="2"/>
        <v>59.59</v>
      </c>
      <c r="I5" s="50">
        <f t="shared" si="3"/>
        <v>1960.41</v>
      </c>
    </row>
    <row r="6">
      <c r="A6" s="26" t="s">
        <v>51</v>
      </c>
      <c r="B6" s="27" t="s">
        <v>52</v>
      </c>
      <c r="C6" s="28">
        <v>8.5</v>
      </c>
      <c r="D6" s="22" t="s">
        <v>30</v>
      </c>
      <c r="E6" s="22">
        <v>5485.0</v>
      </c>
      <c r="F6" s="22">
        <v>2150.0</v>
      </c>
      <c r="G6" s="33">
        <f t="shared" si="1"/>
        <v>7635</v>
      </c>
      <c r="H6" s="50">
        <f t="shared" si="2"/>
        <v>225.2325</v>
      </c>
      <c r="I6" s="50">
        <f t="shared" si="3"/>
        <v>7409.7675</v>
      </c>
    </row>
    <row r="7">
      <c r="A7" s="26" t="s">
        <v>54</v>
      </c>
      <c r="B7" s="27" t="s">
        <v>56</v>
      </c>
      <c r="C7" s="28">
        <v>6.0</v>
      </c>
      <c r="D7" s="22" t="s">
        <v>30</v>
      </c>
      <c r="E7" s="22">
        <v>3750.0</v>
      </c>
      <c r="F7" s="22">
        <v>650.0</v>
      </c>
      <c r="G7" s="33">
        <f t="shared" si="1"/>
        <v>4400</v>
      </c>
      <c r="H7" s="50">
        <f t="shared" si="2"/>
        <v>129.8</v>
      </c>
      <c r="I7" s="50">
        <f t="shared" si="3"/>
        <v>4270.2</v>
      </c>
    </row>
    <row r="8">
      <c r="A8" s="26" t="s">
        <v>57</v>
      </c>
      <c r="B8" s="27" t="s">
        <v>58</v>
      </c>
      <c r="C8" s="28">
        <v>4.5</v>
      </c>
      <c r="D8" s="22" t="s">
        <v>30</v>
      </c>
      <c r="E8" s="22">
        <v>2825.0</v>
      </c>
      <c r="F8" s="29">
        <v>400.0</v>
      </c>
      <c r="G8" s="33">
        <f t="shared" si="1"/>
        <v>3225</v>
      </c>
      <c r="H8" s="50">
        <f t="shared" si="2"/>
        <v>95.1375</v>
      </c>
      <c r="I8" s="50">
        <f t="shared" si="3"/>
        <v>3129.8625</v>
      </c>
    </row>
    <row r="9">
      <c r="A9" s="26" t="s">
        <v>60</v>
      </c>
      <c r="B9" s="27" t="s">
        <v>28</v>
      </c>
      <c r="C9" s="28">
        <v>7.0</v>
      </c>
      <c r="D9" s="22" t="s">
        <v>30</v>
      </c>
      <c r="E9" s="22">
        <v>4500.0</v>
      </c>
      <c r="F9" s="22">
        <v>675.0</v>
      </c>
      <c r="G9" s="33">
        <f t="shared" si="1"/>
        <v>5175</v>
      </c>
      <c r="H9" s="50">
        <f t="shared" si="2"/>
        <v>152.6625</v>
      </c>
      <c r="I9" s="50">
        <f t="shared" si="3"/>
        <v>5022.3375</v>
      </c>
    </row>
    <row r="10">
      <c r="A10" s="26" t="s">
        <v>61</v>
      </c>
      <c r="B10" s="27" t="s">
        <v>42</v>
      </c>
      <c r="C10" s="28">
        <v>7.0</v>
      </c>
      <c r="D10" s="22" t="s">
        <v>30</v>
      </c>
      <c r="E10" s="22">
        <v>4550.0</v>
      </c>
      <c r="F10" s="22">
        <v>1200.0</v>
      </c>
      <c r="G10" s="33">
        <f t="shared" si="1"/>
        <v>5750</v>
      </c>
      <c r="H10" s="50">
        <f t="shared" si="2"/>
        <v>169.625</v>
      </c>
      <c r="I10" s="50">
        <f t="shared" si="3"/>
        <v>5580.375</v>
      </c>
    </row>
    <row r="11">
      <c r="A11" s="26" t="s">
        <v>63</v>
      </c>
      <c r="B11" s="27" t="s">
        <v>45</v>
      </c>
      <c r="C11" s="28">
        <v>9.5</v>
      </c>
      <c r="D11" s="22" t="s">
        <v>30</v>
      </c>
      <c r="E11" s="22">
        <v>6150.0</v>
      </c>
      <c r="F11" s="22">
        <v>1250.0</v>
      </c>
      <c r="G11" s="33">
        <f t="shared" si="1"/>
        <v>7400</v>
      </c>
      <c r="H11" s="50">
        <f t="shared" si="2"/>
        <v>218.3</v>
      </c>
      <c r="I11" s="50">
        <f t="shared" si="3"/>
        <v>7181.7</v>
      </c>
    </row>
    <row r="12">
      <c r="A12" s="26" t="s">
        <v>65</v>
      </c>
      <c r="B12" s="27" t="s">
        <v>50</v>
      </c>
      <c r="C12" s="28">
        <v>1.0</v>
      </c>
      <c r="D12" s="22" t="s">
        <v>30</v>
      </c>
      <c r="E12" s="22">
        <v>645.0</v>
      </c>
      <c r="F12" s="22">
        <v>700.0</v>
      </c>
      <c r="G12" s="33">
        <f t="shared" si="1"/>
        <v>1345</v>
      </c>
      <c r="H12" s="50">
        <f t="shared" si="2"/>
        <v>39.6775</v>
      </c>
      <c r="I12" s="50">
        <f t="shared" si="3"/>
        <v>1305.3225</v>
      </c>
    </row>
    <row r="13">
      <c r="A13" s="26" t="s">
        <v>67</v>
      </c>
      <c r="B13" s="27" t="s">
        <v>52</v>
      </c>
      <c r="C13" s="28">
        <v>8.0</v>
      </c>
      <c r="D13" s="22" t="s">
        <v>30</v>
      </c>
      <c r="E13" s="22">
        <v>5380.0</v>
      </c>
      <c r="F13" s="22">
        <v>1150.0</v>
      </c>
      <c r="G13" s="33">
        <f t="shared" si="1"/>
        <v>6530</v>
      </c>
      <c r="H13" s="50">
        <f t="shared" si="2"/>
        <v>192.635</v>
      </c>
      <c r="I13" s="50">
        <f t="shared" si="3"/>
        <v>6337.365</v>
      </c>
    </row>
    <row r="14">
      <c r="A14" s="26" t="s">
        <v>68</v>
      </c>
      <c r="B14" s="27" t="s">
        <v>56</v>
      </c>
      <c r="C14" s="28">
        <v>7.0</v>
      </c>
      <c r="D14" s="22" t="s">
        <v>30</v>
      </c>
      <c r="E14" s="22">
        <v>4575.0</v>
      </c>
      <c r="F14" s="22">
        <v>800.0</v>
      </c>
      <c r="G14" s="33">
        <f t="shared" si="1"/>
        <v>5375</v>
      </c>
      <c r="H14" s="50">
        <f t="shared" si="2"/>
        <v>158.5625</v>
      </c>
      <c r="I14" s="50">
        <f t="shared" si="3"/>
        <v>5216.4375</v>
      </c>
    </row>
    <row r="15">
      <c r="A15" s="26" t="s">
        <v>72</v>
      </c>
      <c r="B15" s="27" t="s">
        <v>58</v>
      </c>
      <c r="C15" s="28">
        <v>5.5</v>
      </c>
      <c r="D15" s="22" t="s">
        <v>30</v>
      </c>
      <c r="E15" s="22">
        <v>3675.0</v>
      </c>
      <c r="F15" s="22">
        <v>475.0</v>
      </c>
      <c r="G15" s="33">
        <f t="shared" si="1"/>
        <v>4150</v>
      </c>
      <c r="H15" s="50">
        <f t="shared" si="2"/>
        <v>122.425</v>
      </c>
      <c r="I15" s="50">
        <f t="shared" si="3"/>
        <v>4027.575</v>
      </c>
    </row>
    <row r="16">
      <c r="A16" s="26" t="s">
        <v>73</v>
      </c>
      <c r="B16" s="27" t="s">
        <v>28</v>
      </c>
      <c r="C16" s="56">
        <v>4.0</v>
      </c>
      <c r="D16" s="22" t="s">
        <v>30</v>
      </c>
      <c r="E16" s="20">
        <v>2475.0</v>
      </c>
      <c r="F16" s="20">
        <v>700.0</v>
      </c>
      <c r="G16" s="33">
        <f t="shared" si="1"/>
        <v>3175</v>
      </c>
      <c r="H16" s="50">
        <f t="shared" si="2"/>
        <v>93.6625</v>
      </c>
      <c r="I16" s="50">
        <f t="shared" si="3"/>
        <v>3081.3375</v>
      </c>
    </row>
    <row r="17">
      <c r="A17" s="26" t="s">
        <v>75</v>
      </c>
      <c r="B17" s="27" t="s">
        <v>42</v>
      </c>
      <c r="C17" s="56">
        <v>8.5</v>
      </c>
      <c r="D17" s="22" t="s">
        <v>30</v>
      </c>
      <c r="E17" s="20">
        <v>5250.0</v>
      </c>
      <c r="F17" s="20">
        <v>575.0</v>
      </c>
      <c r="G17" s="33">
        <f t="shared" ref="G17:G21" si="4">SUM(E17:F17)</f>
        <v>5825</v>
      </c>
      <c r="H17" s="50">
        <f t="shared" si="2"/>
        <v>171.8375</v>
      </c>
      <c r="I17" s="50">
        <f t="shared" si="3"/>
        <v>5653.1625</v>
      </c>
    </row>
    <row r="18">
      <c r="A18" s="26" t="s">
        <v>77</v>
      </c>
      <c r="B18" s="27" t="s">
        <v>45</v>
      </c>
      <c r="C18" s="56">
        <v>3.0</v>
      </c>
      <c r="D18" s="22" t="s">
        <v>30</v>
      </c>
      <c r="E18" s="20">
        <v>2025.0</v>
      </c>
      <c r="F18" s="20">
        <v>350.0</v>
      </c>
      <c r="G18" s="33">
        <f t="shared" si="4"/>
        <v>2375</v>
      </c>
      <c r="H18" s="50">
        <f t="shared" si="2"/>
        <v>70.0625</v>
      </c>
      <c r="I18" s="50">
        <f t="shared" si="3"/>
        <v>2304.9375</v>
      </c>
    </row>
    <row r="19">
      <c r="A19" s="26" t="s">
        <v>78</v>
      </c>
      <c r="B19" s="27" t="s">
        <v>50</v>
      </c>
      <c r="C19" s="56">
        <v>1.5</v>
      </c>
      <c r="D19" s="22" t="s">
        <v>30</v>
      </c>
      <c r="E19" s="20">
        <v>975.0</v>
      </c>
      <c r="F19" s="20">
        <v>450.0</v>
      </c>
      <c r="G19" s="33">
        <f t="shared" si="4"/>
        <v>1425</v>
      </c>
      <c r="H19" s="50">
        <f t="shared" si="2"/>
        <v>42.0375</v>
      </c>
      <c r="I19" s="50">
        <f t="shared" si="3"/>
        <v>1382.9625</v>
      </c>
    </row>
    <row r="20">
      <c r="A20" s="26" t="s">
        <v>80</v>
      </c>
      <c r="B20" s="27" t="s">
        <v>52</v>
      </c>
      <c r="C20" s="56">
        <v>3.0</v>
      </c>
      <c r="D20" s="22" t="s">
        <v>30</v>
      </c>
      <c r="E20" s="20">
        <v>2040.0</v>
      </c>
      <c r="F20" s="20">
        <v>775.0</v>
      </c>
      <c r="G20" s="33">
        <f t="shared" si="4"/>
        <v>2815</v>
      </c>
      <c r="H20" s="50">
        <f t="shared" si="2"/>
        <v>83.0425</v>
      </c>
      <c r="I20" s="50">
        <f t="shared" si="3"/>
        <v>2731.9575</v>
      </c>
    </row>
    <row r="21">
      <c r="A21" s="26" t="s">
        <v>81</v>
      </c>
      <c r="B21" s="27" t="s">
        <v>56</v>
      </c>
      <c r="C21" s="56">
        <v>7.0</v>
      </c>
      <c r="D21" s="22" t="s">
        <v>30</v>
      </c>
      <c r="E21" s="20">
        <v>4725.0</v>
      </c>
      <c r="F21" s="20">
        <v>500.0</v>
      </c>
      <c r="G21" s="33">
        <f t="shared" si="4"/>
        <v>5225</v>
      </c>
      <c r="H21" s="50">
        <f t="shared" si="2"/>
        <v>154.1375</v>
      </c>
      <c r="I21" s="50">
        <f t="shared" si="3"/>
        <v>5070.8625</v>
      </c>
    </row>
    <row r="22">
      <c r="A22" s="26" t="s">
        <v>82</v>
      </c>
      <c r="B22" s="27" t="s">
        <v>58</v>
      </c>
      <c r="C22" s="56">
        <v>7.0</v>
      </c>
      <c r="D22" s="22" t="s">
        <v>30</v>
      </c>
      <c r="E22" s="59">
        <v>4350.0</v>
      </c>
      <c r="F22" s="20">
        <v>650.0</v>
      </c>
      <c r="G22" s="33">
        <f>SUM(F22)</f>
        <v>650</v>
      </c>
      <c r="H22" s="50">
        <f t="shared" si="2"/>
        <v>19.175</v>
      </c>
      <c r="I22" s="50">
        <f t="shared" si="3"/>
        <v>630.825</v>
      </c>
    </row>
    <row r="23">
      <c r="A23" s="26" t="s">
        <v>83</v>
      </c>
      <c r="B23" s="27" t="s">
        <v>28</v>
      </c>
      <c r="C23" s="56">
        <v>6.5</v>
      </c>
      <c r="D23" s="22" t="s">
        <v>30</v>
      </c>
      <c r="E23" s="20">
        <v>4290.0</v>
      </c>
      <c r="F23" s="20">
        <v>650.0</v>
      </c>
      <c r="G23" s="33">
        <f>sum(E23:F23)</f>
        <v>4940</v>
      </c>
      <c r="H23" s="50">
        <f t="shared" si="2"/>
        <v>145.73</v>
      </c>
      <c r="I23" s="50">
        <f t="shared" si="3"/>
        <v>4794.27</v>
      </c>
    </row>
    <row r="24">
      <c r="A24" s="26" t="s">
        <v>84</v>
      </c>
      <c r="B24" s="27" t="s">
        <v>42</v>
      </c>
      <c r="C24" s="56">
        <v>8.5</v>
      </c>
      <c r="D24" s="22" t="s">
        <v>30</v>
      </c>
      <c r="E24" s="20">
        <v>5250.0</v>
      </c>
      <c r="F24" s="20">
        <v>0.0</v>
      </c>
      <c r="G24" s="33">
        <f t="shared" ref="G24:G31" si="5">SUM(E24:F24)</f>
        <v>5250</v>
      </c>
      <c r="H24" s="50">
        <f t="shared" si="2"/>
        <v>154.875</v>
      </c>
      <c r="I24" s="50">
        <f t="shared" si="3"/>
        <v>5095.125</v>
      </c>
    </row>
    <row r="25">
      <c r="A25" s="26" t="s">
        <v>85</v>
      </c>
      <c r="B25" s="27" t="s">
        <v>45</v>
      </c>
      <c r="C25" s="56">
        <v>0.0</v>
      </c>
      <c r="D25" s="22" t="s">
        <v>30</v>
      </c>
      <c r="E25" s="20">
        <v>0.0</v>
      </c>
      <c r="F25" s="20">
        <v>100.0</v>
      </c>
      <c r="G25" s="33">
        <f t="shared" si="5"/>
        <v>100</v>
      </c>
      <c r="H25" s="50">
        <f t="shared" si="2"/>
        <v>2.95</v>
      </c>
      <c r="I25" s="50">
        <f t="shared" si="3"/>
        <v>97.05</v>
      </c>
    </row>
    <row r="26">
      <c r="A26" s="26" t="s">
        <v>86</v>
      </c>
      <c r="B26" s="27" t="s">
        <v>50</v>
      </c>
      <c r="C26" s="56">
        <v>8.0</v>
      </c>
      <c r="D26" s="22" t="s">
        <v>30</v>
      </c>
      <c r="E26" s="20">
        <v>5315.0</v>
      </c>
      <c r="F26" s="20">
        <v>2075.0</v>
      </c>
      <c r="G26" s="33">
        <f t="shared" si="5"/>
        <v>7390</v>
      </c>
      <c r="H26" s="50">
        <f t="shared" si="2"/>
        <v>218.005</v>
      </c>
      <c r="I26" s="50">
        <f t="shared" si="3"/>
        <v>7171.995</v>
      </c>
    </row>
    <row r="27">
      <c r="A27" s="26" t="s">
        <v>87</v>
      </c>
      <c r="B27" s="27" t="s">
        <v>52</v>
      </c>
      <c r="C27" s="56">
        <v>7.0</v>
      </c>
      <c r="D27" s="22" t="s">
        <v>30</v>
      </c>
      <c r="E27" s="20">
        <v>4545.0</v>
      </c>
      <c r="F27" s="20">
        <v>975.0</v>
      </c>
      <c r="G27" s="33">
        <f t="shared" si="5"/>
        <v>5520</v>
      </c>
      <c r="H27" s="50">
        <f t="shared" si="2"/>
        <v>162.84</v>
      </c>
      <c r="I27" s="50">
        <f t="shared" si="3"/>
        <v>5357.16</v>
      </c>
    </row>
    <row r="28">
      <c r="A28" s="26" t="s">
        <v>88</v>
      </c>
      <c r="B28" s="27" t="s">
        <v>56</v>
      </c>
      <c r="C28" s="56">
        <v>5.0</v>
      </c>
      <c r="D28" s="22" t="s">
        <v>30</v>
      </c>
      <c r="E28" s="20">
        <v>3300.0</v>
      </c>
      <c r="F28" s="20">
        <v>425.0</v>
      </c>
      <c r="G28" s="33">
        <f t="shared" si="5"/>
        <v>3725</v>
      </c>
      <c r="H28" s="50">
        <f t="shared" si="2"/>
        <v>109.8875</v>
      </c>
      <c r="I28" s="50">
        <f t="shared" si="3"/>
        <v>3615.1125</v>
      </c>
    </row>
    <row r="29">
      <c r="A29" s="26" t="s">
        <v>89</v>
      </c>
      <c r="B29" s="27" t="s">
        <v>58</v>
      </c>
      <c r="C29" s="56">
        <v>1.5</v>
      </c>
      <c r="D29" s="22" t="s">
        <v>30</v>
      </c>
      <c r="E29" s="20">
        <v>975.0</v>
      </c>
      <c r="F29" s="20">
        <v>600.0</v>
      </c>
      <c r="G29" s="33">
        <f t="shared" si="5"/>
        <v>1575</v>
      </c>
      <c r="H29" s="50">
        <f t="shared" si="2"/>
        <v>46.4625</v>
      </c>
      <c r="I29" s="50">
        <f t="shared" si="3"/>
        <v>1528.5375</v>
      </c>
    </row>
    <row r="30">
      <c r="A30" s="26" t="s">
        <v>90</v>
      </c>
      <c r="B30" s="27" t="s">
        <v>28</v>
      </c>
      <c r="C30" s="56">
        <v>1.5</v>
      </c>
      <c r="D30" s="22" t="s">
        <v>30</v>
      </c>
      <c r="E30" s="20">
        <v>975.0</v>
      </c>
      <c r="F30" s="20">
        <v>575.0</v>
      </c>
      <c r="G30" s="33">
        <f t="shared" si="5"/>
        <v>1550</v>
      </c>
      <c r="H30" s="50">
        <f t="shared" si="2"/>
        <v>45.725</v>
      </c>
      <c r="I30" s="50">
        <f t="shared" si="3"/>
        <v>1504.275</v>
      </c>
    </row>
    <row r="31">
      <c r="A31" s="26" t="s">
        <v>91</v>
      </c>
      <c r="B31" s="27" t="s">
        <v>42</v>
      </c>
      <c r="C31" s="56">
        <v>6.5</v>
      </c>
      <c r="D31" s="22" t="s">
        <v>30</v>
      </c>
      <c r="E31" s="20">
        <v>4325.0</v>
      </c>
      <c r="F31" s="20">
        <v>775.0</v>
      </c>
      <c r="G31" s="33">
        <f t="shared" si="5"/>
        <v>5100</v>
      </c>
      <c r="H31" s="50">
        <f t="shared" si="2"/>
        <v>150.45</v>
      </c>
      <c r="I31" s="50">
        <f t="shared" si="3"/>
        <v>4949.55</v>
      </c>
    </row>
    <row r="32">
      <c r="A32" s="23" t="s">
        <v>36</v>
      </c>
      <c r="B32" s="48"/>
      <c r="C32" s="60">
        <f>SUM(C2:C31)</f>
        <v>157</v>
      </c>
      <c r="D32" s="61"/>
      <c r="E32" s="44">
        <f t="shared" ref="E32:I32" si="6">SUM(E2:E31)</f>
        <v>101281</v>
      </c>
      <c r="F32" s="44">
        <f t="shared" si="6"/>
        <v>21525</v>
      </c>
      <c r="G32" s="44">
        <f t="shared" si="6"/>
        <v>118456</v>
      </c>
      <c r="H32" s="62">
        <f t="shared" si="6"/>
        <v>3494.452</v>
      </c>
      <c r="I32" s="62">
        <f t="shared" si="6"/>
        <v>114961.548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9" t="s">
        <v>0</v>
      </c>
      <c r="B1" s="12" t="s">
        <v>1</v>
      </c>
      <c r="C1" s="12" t="s">
        <v>16</v>
      </c>
      <c r="D1" s="12" t="s">
        <v>18</v>
      </c>
      <c r="E1" s="12" t="s">
        <v>12</v>
      </c>
      <c r="F1" s="12" t="s">
        <v>19</v>
      </c>
      <c r="G1" s="12" t="s">
        <v>20</v>
      </c>
      <c r="H1" s="12" t="s">
        <v>4</v>
      </c>
    </row>
    <row r="2">
      <c r="A2" s="16"/>
      <c r="B2" s="19" t="s">
        <v>23</v>
      </c>
      <c r="C2" s="21">
        <v>10500.0</v>
      </c>
      <c r="D2" s="21">
        <v>1432.0</v>
      </c>
      <c r="E2" s="32">
        <f t="shared" ref="E2:E3" si="1">C2-D2</f>
        <v>9068</v>
      </c>
      <c r="F2" s="21">
        <v>9.0</v>
      </c>
      <c r="G2" s="21">
        <v>46.0</v>
      </c>
      <c r="H2" s="34">
        <v>9531.0</v>
      </c>
    </row>
    <row r="3">
      <c r="A3" s="35"/>
      <c r="B3" s="37" t="s">
        <v>33</v>
      </c>
      <c r="C3" s="40">
        <v>2950.0</v>
      </c>
      <c r="D3" s="42">
        <v>383.0</v>
      </c>
      <c r="E3" s="32">
        <f t="shared" si="1"/>
        <v>2567</v>
      </c>
      <c r="F3" s="42">
        <v>2.5</v>
      </c>
      <c r="G3" s="42">
        <v>12.5</v>
      </c>
      <c r="H3" s="40">
        <v>2551.0</v>
      </c>
    </row>
    <row r="4">
      <c r="A4" s="43"/>
      <c r="B4" s="46" t="s">
        <v>36</v>
      </c>
      <c r="C4" s="49">
        <f>SUM(C2:C3)</f>
        <v>13450</v>
      </c>
      <c r="D4" s="52"/>
      <c r="E4" s="49">
        <f>SUM(E2:E3)</f>
        <v>11635</v>
      </c>
      <c r="F4" s="52"/>
      <c r="G4" s="49"/>
      <c r="H4" s="49">
        <f>SUM(H2:H3)</f>
        <v>12082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7" t="s">
        <v>0</v>
      </c>
      <c r="B1" s="5" t="s">
        <v>1</v>
      </c>
      <c r="C1" s="5" t="s">
        <v>8</v>
      </c>
      <c r="D1" s="5" t="s">
        <v>9</v>
      </c>
      <c r="E1" s="5" t="s">
        <v>10</v>
      </c>
      <c r="F1" s="5" t="s">
        <v>12</v>
      </c>
      <c r="G1" s="5" t="s">
        <v>13</v>
      </c>
      <c r="H1" s="5" t="s">
        <v>14</v>
      </c>
      <c r="I1" s="5" t="s">
        <v>15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7"/>
      <c r="B2" s="20" t="s">
        <v>24</v>
      </c>
      <c r="C2" s="22">
        <v>32775.0</v>
      </c>
      <c r="D2" s="22">
        <v>2572.0</v>
      </c>
      <c r="E2" s="22">
        <v>463.0</v>
      </c>
      <c r="F2" s="33">
        <f t="shared" ref="F2:F3" si="1">C2-D2-E2</f>
        <v>29740</v>
      </c>
      <c r="G2" s="22">
        <v>33.0</v>
      </c>
      <c r="H2" s="22">
        <v>0.0</v>
      </c>
      <c r="I2" s="22">
        <v>29706.0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7"/>
      <c r="B3" s="36" t="s">
        <v>34</v>
      </c>
      <c r="C3" s="39">
        <v>6187.0</v>
      </c>
      <c r="D3" s="41">
        <v>472.0</v>
      </c>
      <c r="E3" s="41">
        <v>85.0</v>
      </c>
      <c r="F3" s="33">
        <f t="shared" si="1"/>
        <v>5630</v>
      </c>
      <c r="G3" s="41">
        <v>6.0</v>
      </c>
      <c r="H3" s="41">
        <v>0.0</v>
      </c>
      <c r="I3" s="39">
        <v>5623.0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27"/>
      <c r="B4" s="44" t="s">
        <v>36</v>
      </c>
      <c r="C4" s="44">
        <f>SUM(C2,C3)</f>
        <v>38962</v>
      </c>
      <c r="D4" s="48"/>
      <c r="E4" s="48"/>
      <c r="F4" s="44">
        <f>SUM(F2,F3)</f>
        <v>35370</v>
      </c>
      <c r="G4" s="48"/>
      <c r="H4" s="48"/>
      <c r="I4" s="44">
        <f>SUM(I2,I3)</f>
        <v>35329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3" t="s">
        <v>0</v>
      </c>
      <c r="B1" s="12" t="s">
        <v>1</v>
      </c>
      <c r="C1" s="12" t="s">
        <v>92</v>
      </c>
      <c r="D1" s="12" t="s">
        <v>9</v>
      </c>
      <c r="E1" s="12" t="s">
        <v>15</v>
      </c>
    </row>
    <row r="2">
      <c r="A2" s="43"/>
      <c r="B2" s="19" t="s">
        <v>93</v>
      </c>
      <c r="C2" s="34">
        <v>25875.0</v>
      </c>
      <c r="D2" s="64">
        <f>C2*5%</f>
        <v>1293.75</v>
      </c>
      <c r="E2" s="64">
        <f>C2-D2</f>
        <v>24581.25</v>
      </c>
    </row>
    <row r="3">
      <c r="A3" s="65"/>
      <c r="B3" s="66" t="s">
        <v>36</v>
      </c>
      <c r="C3" s="67">
        <f>SUM(C2)</f>
        <v>25875</v>
      </c>
      <c r="D3" s="52"/>
      <c r="E3" s="67">
        <f>SUM(E2)</f>
        <v>24581.25</v>
      </c>
      <c r="F3" s="6"/>
      <c r="G3" s="6"/>
      <c r="H3" s="6"/>
      <c r="I3" s="6"/>
      <c r="J3" s="6"/>
      <c r="K3" s="68"/>
      <c r="L3" s="6"/>
      <c r="M3" s="68"/>
      <c r="N3" s="68"/>
    </row>
    <row r="4">
      <c r="A4" s="69"/>
      <c r="B4" s="70"/>
      <c r="C4" s="71"/>
      <c r="D4" s="69"/>
      <c r="E4" s="73"/>
    </row>
    <row r="5">
      <c r="A5" s="69"/>
      <c r="B5" s="69"/>
      <c r="D5" s="69"/>
      <c r="E5" s="73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</cols>
  <sheetData>
    <row r="1">
      <c r="A1" s="72" t="s">
        <v>0</v>
      </c>
      <c r="B1" s="74" t="s">
        <v>1</v>
      </c>
      <c r="C1" s="74" t="s">
        <v>94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45"/>
      <c r="B2" s="19" t="s">
        <v>95</v>
      </c>
      <c r="C2" s="75">
        <v>3588.0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/>
      <c r="B4" s="7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6"/>
      <c r="B5" s="7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75"/>
    <col customWidth="1" min="3" max="3" width="15.25"/>
  </cols>
  <sheetData>
    <row r="1">
      <c r="A1" s="74" t="s">
        <v>96</v>
      </c>
      <c r="B1" s="74" t="s">
        <v>97</v>
      </c>
      <c r="C1" s="74" t="s">
        <v>98</v>
      </c>
    </row>
    <row r="2">
      <c r="A2" s="77" t="s">
        <v>99</v>
      </c>
      <c r="B2" s="30" t="s">
        <v>100</v>
      </c>
      <c r="C2" s="78">
        <v>120000.0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5" width="15.25"/>
  </cols>
  <sheetData>
    <row r="1">
      <c r="A1" s="24" t="s">
        <v>101</v>
      </c>
      <c r="B1" s="24" t="s">
        <v>1</v>
      </c>
      <c r="C1" s="24" t="s">
        <v>102</v>
      </c>
      <c r="D1" s="24" t="s">
        <v>103</v>
      </c>
      <c r="E1" s="24" t="s">
        <v>26</v>
      </c>
      <c r="F1" s="24" t="s">
        <v>12</v>
      </c>
    </row>
    <row r="2">
      <c r="A2" s="77" t="s">
        <v>104</v>
      </c>
      <c r="B2" s="79">
        <v>46119.0</v>
      </c>
      <c r="C2" s="77" t="s">
        <v>6</v>
      </c>
      <c r="D2" s="34">
        <v>18000.0</v>
      </c>
      <c r="E2" s="80">
        <f>D2*2.5%*1.18</f>
        <v>531</v>
      </c>
      <c r="F2" s="80">
        <f>D2-E2</f>
        <v>17469</v>
      </c>
    </row>
  </sheetData>
  <drawing r:id="rId1"/>
</worksheet>
</file>