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<sst xmlns="http://schemas.openxmlformats.org/spreadsheetml/2006/main" count="146" uniqueCount="67">
  <si>
    <t>1 - 31 May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</si>
  <si>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</si>
  <si>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</si>
  <si>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</si>
  <si>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</si>
  <si>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</si>
  <si>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</si>
  <si>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</si>
  <si>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</si>
  <si>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</si>
  <si>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</si>
  <si>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</si>
  <si>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</si>
  <si>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</si>
  <si>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</si>
  <si>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</si>
  <si>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</si>
  <si>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</si>
  <si>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</si>
  <si>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</si>
  <si>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</si>
  <si>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</si>
  <si>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</si>
  <si>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</si>
  <si>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</si>
  <si>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</si>
  <si>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</si>
  <si>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</si>
  <si>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</si>
  <si>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</si>
  <si>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</si>
  <si>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</si>
  <si>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</si>
  <si>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</si>
  <si>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</si>
  <si>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</si>
  <si>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</si>
  <si>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</si>
  <si>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</si>
  <si>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Friday</t>
  </si>
  <si>
    <t>10 &amp; 15%</t>
  </si>
  <si>
    <t>Saturday</t>
  </si>
  <si>
    <t>Sunday</t>
  </si>
  <si>
    <t>Monday</t>
  </si>
  <si>
    <t>Tuesday</t>
  </si>
  <si>
    <t>Wednesday</t>
  </si>
  <si>
    <t>Thursday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</si>
  <si>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</si>
  <si>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</si>
  <si>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</si>
  <si>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</si>
  <si>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</si>
  <si>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</si>
  <si>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</si>
  <si>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</si>
  <si>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Paid to Hudle</t>
  </si>
  <si>
    <t>Commisions (Including GST)</t>
  </si>
  <si>
    <t>Paid to Playo (₹)</t>
  </si>
  <si>
    <t>GST (₹)</t>
  </si>
  <si>
    <t>TDS (₹)</t>
  </si>
  <si>
    <t>TCS (₹)</t>
  </si>
  <si>
    <t>Paid to Khelomore (₹)</t>
  </si>
  <si>
    <t>Month</t>
  </si>
  <si>
    <t>Sports Type</t>
  </si>
  <si>
    <t>Amount Collected</t>
  </si>
  <si>
    <t>May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</si>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</sst>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9999999][$₹]##\,##\,##\,##0;[&gt;99999][$₹]##\,##\,##0;[$₹]##,##0"/>
    <numFmt numFmtId="165" formatCode="[$₹]#,##0.00"/>
    <numFmt numFmtId="166" formatCode="[$₹]#,##0"/>
    <numFmt numFmtId="167" formatCode="d mmmm"/>
    <numFmt numFmtId="168" formatCode="[$₹]#,##0.0"/>
    <numFmt numFmtId="169" formatCode="d mmm"/>
    <numFmt numFmtId="170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1155CC"/>
      <name val="Arial"/>
    </font>
    <font>
      <b/>
      <u/>
      <color rgb="FF1155CC"/>
      <name val="Arial"/>
    </font>
    <font>
      <color theme="1"/>
      <name val="Arial"/>
      <scheme val="minor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readingOrder="0" vertical="bottom"/>
    </xf>
    <xf borderId="3" fillId="2" fontId="2" numFmtId="0" xfId="0" applyAlignment="1" applyBorder="1" applyFill="1" applyFont="1">
      <alignment vertical="bottom"/>
    </xf>
    <xf borderId="3" fillId="3" fontId="4" numFmtId="167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3" xfId="0" applyAlignment="1" applyBorder="1" applyFill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3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readingOrder="0" vertical="bottom"/>
    </xf>
    <xf borderId="3" fillId="0" fontId="4" numFmtId="3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0" fillId="0" fontId="4" numFmtId="168" xfId="0" applyAlignment="1" applyFont="1" applyNumberFormat="1">
      <alignment horizontal="right" readingOrder="0" vertical="bottom"/>
    </xf>
    <xf borderId="3" fillId="3" fontId="4" numFmtId="3" xfId="0" applyAlignment="1" applyBorder="1" applyFill="1" applyFont="1" applyNumberFormat="1">
      <alignment readingOrder="0" vertical="bottom"/>
    </xf>
    <xf borderId="3" fillId="3" fontId="4" numFmtId="166" xfId="0" applyAlignment="1" applyBorder="1" applyFill="1" applyFont="1" applyNumberFormat="1">
      <alignment readingOrder="0" vertical="bottom"/>
    </xf>
    <xf borderId="3" fillId="3" fontId="4" numFmtId="166" xfId="0" applyAlignment="1" applyBorder="1" applyFill="1" applyFont="1" applyNumberFormat="1">
      <alignment horizontal="right" readingOrder="0" vertical="bottom"/>
    </xf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5" numFmtId="165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0" fillId="2" fontId="6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0" fillId="0" fontId="4" numFmtId="169" xfId="0" applyAlignment="1" applyFont="1" applyNumberFormat="1">
      <alignment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0" fontId="4" numFmtId="170" xfId="0" applyAlignment="1" applyBorder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3" fillId="2" fontId="4" numFmtId="170" xfId="0" applyAlignment="1" applyBorder="1" applyFill="1" applyFont="1" applyNumberFormat="1">
      <alignment vertical="bottom"/>
    </xf>
    <xf borderId="3" fillId="2" fontId="2" numFmtId="170" xfId="0" applyAlignment="1" applyBorder="1" applyFill="1" applyFont="1" applyNumberFormat="1">
      <alignment horizontal="right" vertical="bottom"/>
    </xf>
    <xf borderId="3" fillId="2" fontId="7" numFmtId="0" xfId="0" applyAlignment="1" applyBorder="1" applyFill="1" applyFont="1">
      <alignment horizontal="center" vertical="bottom"/>
    </xf>
    <xf borderId="3" fillId="2" fontId="2" numFmtId="164" xfId="0" applyAlignment="1" applyBorder="1" applyFill="1" applyFont="1" applyNumberFormat="1">
      <alignment vertical="bottom"/>
    </xf>
    <xf borderId="3" fillId="2" fontId="8" numFmtId="168" xfId="0" applyAlignment="1" applyBorder="1" applyFill="1" applyFont="1" applyNumberFormat="1">
      <alignment horizontal="center" vertical="bottom"/>
    </xf>
    <xf borderId="3" fillId="2" fontId="2" numFmtId="168" xfId="0" applyAlignment="1" applyBorder="1" applyFill="1" applyFont="1" applyNumberFormat="1">
      <alignment horizontal="center" vertical="bottom"/>
    </xf>
    <xf borderId="0" fillId="0" fontId="9" numFmtId="168" xfId="0" applyFont="1" applyNumberFormat="1"/>
    <xf borderId="3" fillId="3" fontId="4" numFmtId="168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readingOrder="0" vertical="bottom"/>
    </xf>
    <xf borderId="3" fillId="3" fontId="4" numFmtId="168" xfId="0" applyAlignment="1" applyBorder="1" applyFill="1" applyFont="1" applyNumberFormat="1">
      <alignment horizontal="right" readingOrder="0" vertical="bottom"/>
    </xf>
    <xf borderId="3" fillId="2" fontId="2" numFmtId="168" xfId="0" applyAlignment="1" applyBorder="1" applyFill="1" applyFont="1" applyNumberFormat="1">
      <alignment horizontal="right" vertical="bottom"/>
    </xf>
    <xf borderId="3" fillId="2" fontId="4" numFmtId="4" xfId="0" applyAlignment="1" applyBorder="1" applyFill="1" applyFont="1" applyNumberFormat="1">
      <alignment vertical="bottom"/>
    </xf>
    <xf borderId="3" fillId="2" fontId="4" numFmtId="168" xfId="0" applyAlignment="1" applyBorder="1" applyFill="1" applyFont="1" applyNumberFormat="1">
      <alignment vertical="bottom"/>
    </xf>
    <xf borderId="0" fillId="2" fontId="10" numFmtId="165" xfId="0" applyAlignment="1" applyFill="1" applyFont="1" applyNumberFormat="1">
      <alignment horizontal="center" vertical="bottom"/>
    </xf>
    <xf borderId="3" fillId="3" fontId="4" numFmtId="165" xfId="0" applyAlignment="1" applyBorder="1" applyFill="1" applyFont="1" applyNumberFormat="1">
      <alignment horizontal="right" vertical="bottom"/>
    </xf>
    <xf borderId="3" fillId="3" fontId="4" numFmtId="165" xfId="0" applyAlignment="1" applyBorder="1" applyFill="1" applyFont="1" applyNumberFormat="1">
      <alignment vertical="bottom"/>
    </xf>
    <xf borderId="0" fillId="0" fontId="4" numFmtId="1" xfId="0" applyAlignment="1" applyFont="1" applyNumberFormat="1">
      <alignment vertical="bottom"/>
    </xf>
    <xf borderId="3" fillId="2" fontId="2" numFmtId="169" xfId="0" applyAlignment="1" applyBorder="1" applyFill="1" applyFont="1" applyNumberFormat="1">
      <alignment vertical="bottom"/>
    </xf>
    <xf borderId="3" fillId="2" fontId="6" numFmtId="165" xfId="0" applyAlignment="1" applyBorder="1" applyFill="1" applyFont="1" applyNumberForma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readingOrder="0" vertical="bottom"/>
    </xf>
    <xf borderId="3" fillId="0" fontId="4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0HqZlPOwtN-Xm-zglI62tHrM1Ojt70bkwQGYCJwK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zM9rczycp4vZ62kHGHtlyG6uYSautvQi3TdCcWo5cQ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283572</v>
      </c>
      <c r="E5" s="5"/>
    </row>
    <row r="6">
      <c r="B6" s="8" t="s">
        <v>5</v>
      </c>
      <c r="C6" s="9">
        <f>sum(C7:C11)</f>
        <v>169817</v>
      </c>
      <c r="E6" s="5"/>
    </row>
    <row r="7" outlineLevel="1">
      <c r="B7" s="10" t="s">
        <v>6</v>
      </c>
      <c r="C7" s="11">
        <f>District!C4</f>
        <v>87543</v>
      </c>
      <c r="E7" s="5"/>
    </row>
    <row r="8" outlineLevel="1">
      <c r="B8" s="10" t="s">
        <v>7</v>
      </c>
      <c r="C8" s="12">
        <f>Hudle!C3</f>
        <v>19250</v>
      </c>
      <c r="E8" s="5"/>
    </row>
    <row r="9" outlineLevel="1">
      <c r="B9" s="10" t="s">
        <v>8</v>
      </c>
      <c r="C9" s="12">
        <f>Playo!C3</f>
        <v>38749</v>
      </c>
      <c r="E9" s="5"/>
    </row>
    <row r="10" outlineLevel="1">
      <c r="B10" s="13" t="s">
        <v>9</v>
      </c>
      <c r="C10" s="12">
        <f>Khelomore!C4</f>
        <v>24275</v>
      </c>
      <c r="E10" s="14"/>
    </row>
    <row r="11" outlineLevel="1">
      <c r="B11" s="10" t="s">
        <v>10</v>
      </c>
      <c r="C11" s="11">
        <v>0.0</v>
      </c>
      <c r="E11" s="14"/>
    </row>
    <row r="12">
      <c r="B12" s="15" t="s">
        <v>11</v>
      </c>
      <c r="C12" s="9">
        <f>sum(C13:C14)</f>
        <v>113755</v>
      </c>
    </row>
    <row r="13" outlineLevel="1">
      <c r="B13" s="10" t="s">
        <v>12</v>
      </c>
      <c r="C13" s="12">
        <f>'Offline &amp; RG Community'!E33</f>
        <v>113755</v>
      </c>
    </row>
    <row r="14" outlineLevel="1">
      <c r="B14" s="16" t="s">
        <v>13</v>
      </c>
      <c r="C14" s="11">
        <v>0.0</v>
      </c>
      <c r="E14" s="5"/>
    </row>
    <row r="15">
      <c r="B15" s="15" t="s">
        <v>14</v>
      </c>
      <c r="C15" s="9">
        <f>sum(C16:C17)</f>
        <v>0</v>
      </c>
      <c r="E15" s="5"/>
    </row>
    <row r="16" outlineLevel="1">
      <c r="B16" s="13" t="s">
        <v>15</v>
      </c>
      <c r="C16" s="11">
        <f>'Offline &amp; RG Community'!F33</f>
        <v>0</v>
      </c>
      <c r="E16" s="5"/>
    </row>
    <row r="17" outlineLevel="1">
      <c r="B17" s="13" t="s">
        <v>16</v>
      </c>
      <c r="C17" s="11">
        <v>0.0</v>
      </c>
    </row>
    <row r="18">
      <c r="B18" s="15" t="s">
        <v>17</v>
      </c>
      <c r="C18" s="9">
        <v>0.0</v>
      </c>
      <c r="E18" s="5"/>
    </row>
    <row r="19">
      <c r="B19" s="8" t="s">
        <v>18</v>
      </c>
      <c r="C19" s="9">
        <f>sum(C20,C21)</f>
        <v>0</v>
      </c>
    </row>
    <row r="20" outlineLevel="1">
      <c r="B20" s="10" t="s">
        <v>19</v>
      </c>
      <c r="C20" s="17">
        <v>0.0</v>
      </c>
    </row>
    <row r="21" outlineLevel="1">
      <c r="B21" s="13" t="s">
        <v>20</v>
      </c>
      <c r="C21" s="17">
        <v>0.0</v>
      </c>
    </row>
    <row r="22">
      <c r="B22" s="8" t="s">
        <v>21</v>
      </c>
      <c r="C22" s="9">
        <f>sum(C23:C25)</f>
        <v>19750</v>
      </c>
    </row>
    <row r="23" outlineLevel="1">
      <c r="B23" s="10" t="s">
        <v>22</v>
      </c>
      <c r="C23" s="18">
        <f>'Offline &amp; RG Community'!G33</f>
        <v>19750</v>
      </c>
    </row>
    <row r="24" outlineLevel="1">
      <c r="B24" s="10" t="s">
        <v>23</v>
      </c>
      <c r="C24" s="11">
        <v>0.0</v>
      </c>
    </row>
    <row r="25" outlineLevel="1">
      <c r="B25" s="10" t="s">
        <v>24</v>
      </c>
      <c r="C25" s="17">
        <v>0.0</v>
      </c>
    </row>
    <row r="26">
      <c r="B26" s="8" t="s">
        <v>25</v>
      </c>
      <c r="C26" s="9">
        <f>'Other income'!C2</f>
        <v>120000</v>
      </c>
    </row>
    <row r="27">
      <c r="B27" s="8" t="s">
        <v>26</v>
      </c>
      <c r="C27" s="9">
        <f>sum(C26+C22+C19+C18+C15+C12+C6)</f>
        <v>423322</v>
      </c>
    </row>
    <row r="28">
      <c r="B28" s="19" t="s">
        <v>27</v>
      </c>
      <c r="C28" s="20">
        <f>'Offline &amp; RG Community'!J33+District!F4+Hudle!E3+Playo!F3+Khelomore!E4+'Other income'!C2</f>
        <v>402966.7975</v>
      </c>
    </row>
    <row r="29">
      <c r="B29" s="8" t="s">
        <v>28</v>
      </c>
      <c r="C29" s="9">
        <f>C28/1.18</f>
        <v>341497.286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3.25"/>
    <col customWidth="1" min="5" max="5" width="15.13"/>
    <col customWidth="1" min="6" max="6" width="17.63"/>
    <col customWidth="1" min="9" max="9" width="15.25"/>
  </cols>
  <sheetData>
    <row r="1">
      <c r="A1" s="21" t="s">
        <v>29</v>
      </c>
      <c r="B1" s="21" t="s">
        <v>30</v>
      </c>
      <c r="C1" s="22" t="s">
        <v>31</v>
      </c>
      <c r="D1" s="23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4" t="s">
        <v>38</v>
      </c>
    </row>
    <row r="2">
      <c r="A2" s="25">
        <v>46143.0</v>
      </c>
      <c r="B2" s="26" t="s">
        <v>39</v>
      </c>
      <c r="C2" s="27">
        <v>2.0</v>
      </c>
      <c r="D2" s="28" t="s">
        <v>40</v>
      </c>
      <c r="E2" s="28">
        <v>1320.0</v>
      </c>
      <c r="F2" s="28">
        <v>0.0</v>
      </c>
      <c r="G2" s="28">
        <v>700.0</v>
      </c>
      <c r="H2" s="29">
        <f t="shared" ref="H2:H15" si="1">sum(E2:G2)</f>
        <v>2020</v>
      </c>
      <c r="I2" s="29">
        <f>H2*2.5%*1.18</f>
        <v>59.59</v>
      </c>
      <c r="J2" s="29">
        <f t="shared" ref="J2:J32" si="2">H2-I2</f>
        <v>1960.41</v>
      </c>
    </row>
    <row r="3">
      <c r="A3" s="25">
        <v>46144.0</v>
      </c>
      <c r="B3" s="26" t="s">
        <v>41</v>
      </c>
      <c r="C3" s="27">
        <v>4.0</v>
      </c>
      <c r="D3" s="28" t="s">
        <v>40</v>
      </c>
      <c r="E3" s="28">
        <v>2550.0</v>
      </c>
      <c r="F3" s="28">
        <v>0.0</v>
      </c>
      <c r="G3" s="28">
        <v>500.0</v>
      </c>
      <c r="H3" s="29">
        <f t="shared" si="1"/>
        <v>3050</v>
      </c>
      <c r="I3" s="30">
        <f t="shared" ref="I3:I32" si="3">H3*1.75%</f>
        <v>53.375</v>
      </c>
      <c r="J3" s="29">
        <f t="shared" si="2"/>
        <v>2996.625</v>
      </c>
    </row>
    <row r="4">
      <c r="A4" s="25">
        <v>46145.0</v>
      </c>
      <c r="B4" s="26" t="s">
        <v>42</v>
      </c>
      <c r="C4" s="31">
        <v>2.5</v>
      </c>
      <c r="D4" s="28" t="s">
        <v>40</v>
      </c>
      <c r="E4" s="28">
        <v>1725.0</v>
      </c>
      <c r="F4" s="28">
        <v>0.0</v>
      </c>
      <c r="G4" s="28">
        <v>650.0</v>
      </c>
      <c r="H4" s="29">
        <f t="shared" si="1"/>
        <v>2375</v>
      </c>
      <c r="I4" s="30">
        <f t="shared" si="3"/>
        <v>41.5625</v>
      </c>
      <c r="J4" s="29">
        <f t="shared" si="2"/>
        <v>2333.4375</v>
      </c>
    </row>
    <row r="5">
      <c r="A5" s="25">
        <v>46146.0</v>
      </c>
      <c r="B5" s="26" t="s">
        <v>43</v>
      </c>
      <c r="C5" s="31">
        <v>4.0</v>
      </c>
      <c r="D5" s="28" t="s">
        <v>40</v>
      </c>
      <c r="E5" s="28">
        <v>2775.0</v>
      </c>
      <c r="F5" s="28">
        <v>0.0</v>
      </c>
      <c r="G5" s="28">
        <v>150.0</v>
      </c>
      <c r="H5" s="29">
        <f t="shared" si="1"/>
        <v>2925</v>
      </c>
      <c r="I5" s="30">
        <f t="shared" si="3"/>
        <v>51.1875</v>
      </c>
      <c r="J5" s="29">
        <f t="shared" si="2"/>
        <v>2873.8125</v>
      </c>
    </row>
    <row r="6">
      <c r="A6" s="25">
        <v>46147.0</v>
      </c>
      <c r="B6" s="26" t="s">
        <v>44</v>
      </c>
      <c r="C6" s="31">
        <v>2.5</v>
      </c>
      <c r="D6" s="28" t="s">
        <v>40</v>
      </c>
      <c r="E6" s="28">
        <v>1575.0</v>
      </c>
      <c r="F6" s="28">
        <v>0.0</v>
      </c>
      <c r="G6" s="28">
        <v>250.0</v>
      </c>
      <c r="H6" s="29">
        <f t="shared" si="1"/>
        <v>1825</v>
      </c>
      <c r="I6" s="30">
        <f t="shared" si="3"/>
        <v>31.9375</v>
      </c>
      <c r="J6" s="29">
        <f t="shared" si="2"/>
        <v>1793.0625</v>
      </c>
    </row>
    <row r="7">
      <c r="A7" s="25">
        <v>46148.0</v>
      </c>
      <c r="B7" s="26" t="s">
        <v>45</v>
      </c>
      <c r="C7" s="31">
        <v>5.0</v>
      </c>
      <c r="D7" s="28" t="s">
        <v>40</v>
      </c>
      <c r="E7" s="28">
        <v>3225.0</v>
      </c>
      <c r="F7" s="28">
        <v>0.0</v>
      </c>
      <c r="G7" s="32">
        <v>300.0</v>
      </c>
      <c r="H7" s="29">
        <f t="shared" si="1"/>
        <v>3525</v>
      </c>
      <c r="I7" s="30">
        <f t="shared" si="3"/>
        <v>61.6875</v>
      </c>
      <c r="J7" s="29">
        <f t="shared" si="2"/>
        <v>3463.3125</v>
      </c>
    </row>
    <row r="8">
      <c r="A8" s="25">
        <v>46149.0</v>
      </c>
      <c r="B8" s="26" t="s">
        <v>46</v>
      </c>
      <c r="C8" s="31">
        <v>9.5</v>
      </c>
      <c r="D8" s="28" t="s">
        <v>40</v>
      </c>
      <c r="E8" s="28">
        <v>6045.0</v>
      </c>
      <c r="F8" s="28">
        <v>0.0</v>
      </c>
      <c r="G8" s="28">
        <v>1125.0</v>
      </c>
      <c r="H8" s="29">
        <f t="shared" si="1"/>
        <v>7170</v>
      </c>
      <c r="I8" s="30">
        <f t="shared" si="3"/>
        <v>125.475</v>
      </c>
      <c r="J8" s="29">
        <f t="shared" si="2"/>
        <v>7044.525</v>
      </c>
    </row>
    <row r="9">
      <c r="A9" s="25">
        <v>46150.0</v>
      </c>
      <c r="B9" s="26" t="s">
        <v>39</v>
      </c>
      <c r="C9" s="31">
        <v>8.0</v>
      </c>
      <c r="D9" s="28" t="s">
        <v>40</v>
      </c>
      <c r="E9" s="28">
        <v>4950.0</v>
      </c>
      <c r="F9" s="28">
        <v>0.0</v>
      </c>
      <c r="G9" s="32">
        <v>575.0</v>
      </c>
      <c r="H9" s="29">
        <f t="shared" si="1"/>
        <v>5525</v>
      </c>
      <c r="I9" s="30">
        <f t="shared" si="3"/>
        <v>96.6875</v>
      </c>
      <c r="J9" s="29">
        <f t="shared" si="2"/>
        <v>5428.3125</v>
      </c>
    </row>
    <row r="10">
      <c r="A10" s="25">
        <v>46151.0</v>
      </c>
      <c r="B10" s="26" t="s">
        <v>41</v>
      </c>
      <c r="C10" s="31">
        <v>6.5</v>
      </c>
      <c r="D10" s="28" t="s">
        <v>40</v>
      </c>
      <c r="E10" s="28">
        <v>4350.0</v>
      </c>
      <c r="F10" s="28">
        <v>0.0</v>
      </c>
      <c r="G10" s="28">
        <v>1350.0</v>
      </c>
      <c r="H10" s="29">
        <f t="shared" si="1"/>
        <v>5700</v>
      </c>
      <c r="I10" s="30">
        <f t="shared" si="3"/>
        <v>99.75</v>
      </c>
      <c r="J10" s="29">
        <f t="shared" si="2"/>
        <v>5600.25</v>
      </c>
    </row>
    <row r="11">
      <c r="A11" s="25">
        <v>46152.0</v>
      </c>
      <c r="B11" s="26" t="s">
        <v>42</v>
      </c>
      <c r="C11" s="33">
        <v>4.5</v>
      </c>
      <c r="D11" s="28" t="s">
        <v>40</v>
      </c>
      <c r="E11" s="34">
        <v>2850.0</v>
      </c>
      <c r="F11" s="28">
        <v>0.0</v>
      </c>
      <c r="G11" s="34">
        <v>550.0</v>
      </c>
      <c r="H11" s="29">
        <f t="shared" si="1"/>
        <v>3400</v>
      </c>
      <c r="I11" s="30">
        <f t="shared" si="3"/>
        <v>59.5</v>
      </c>
      <c r="J11" s="29">
        <f t="shared" si="2"/>
        <v>3340.5</v>
      </c>
    </row>
    <row r="12">
      <c r="A12" s="25">
        <v>46153.0</v>
      </c>
      <c r="B12" s="26" t="s">
        <v>43</v>
      </c>
      <c r="C12" s="31">
        <v>6.5</v>
      </c>
      <c r="D12" s="28" t="s">
        <v>40</v>
      </c>
      <c r="E12" s="28">
        <v>4245.0</v>
      </c>
      <c r="F12" s="28">
        <v>0.0</v>
      </c>
      <c r="G12" s="28">
        <v>850.0</v>
      </c>
      <c r="H12" s="29">
        <f t="shared" si="1"/>
        <v>5095</v>
      </c>
      <c r="I12" s="30">
        <f t="shared" si="3"/>
        <v>89.1625</v>
      </c>
      <c r="J12" s="29">
        <f t="shared" si="2"/>
        <v>5005.8375</v>
      </c>
    </row>
    <row r="13">
      <c r="A13" s="25">
        <v>46154.0</v>
      </c>
      <c r="B13" s="26" t="s">
        <v>44</v>
      </c>
      <c r="C13" s="31">
        <v>8.0</v>
      </c>
      <c r="D13" s="28" t="s">
        <v>40</v>
      </c>
      <c r="E13" s="28">
        <v>5100.0</v>
      </c>
      <c r="F13" s="28">
        <v>0.0</v>
      </c>
      <c r="G13" s="28">
        <v>600.0</v>
      </c>
      <c r="H13" s="29">
        <f t="shared" si="1"/>
        <v>5700</v>
      </c>
      <c r="I13" s="30">
        <f t="shared" si="3"/>
        <v>99.75</v>
      </c>
      <c r="J13" s="29">
        <f t="shared" si="2"/>
        <v>5600.25</v>
      </c>
    </row>
    <row r="14">
      <c r="A14" s="25">
        <v>46155.0</v>
      </c>
      <c r="B14" s="26" t="s">
        <v>45</v>
      </c>
      <c r="C14" s="31">
        <v>8.5</v>
      </c>
      <c r="D14" s="28" t="s">
        <v>40</v>
      </c>
      <c r="E14" s="28">
        <v>5470.0</v>
      </c>
      <c r="F14" s="28">
        <v>0.0</v>
      </c>
      <c r="G14" s="28">
        <v>150.0</v>
      </c>
      <c r="H14" s="29">
        <f t="shared" si="1"/>
        <v>5620</v>
      </c>
      <c r="I14" s="30">
        <f t="shared" si="3"/>
        <v>98.35</v>
      </c>
      <c r="J14" s="29">
        <f t="shared" si="2"/>
        <v>5521.65</v>
      </c>
    </row>
    <row r="15">
      <c r="A15" s="25">
        <v>46156.0</v>
      </c>
      <c r="B15" s="26" t="s">
        <v>46</v>
      </c>
      <c r="C15" s="31">
        <v>9.0</v>
      </c>
      <c r="D15" s="28" t="s">
        <v>40</v>
      </c>
      <c r="E15" s="28">
        <v>5850.0</v>
      </c>
      <c r="F15" s="28">
        <v>0.0</v>
      </c>
      <c r="G15" s="28">
        <v>1300.0</v>
      </c>
      <c r="H15" s="29">
        <f t="shared" si="1"/>
        <v>7150</v>
      </c>
      <c r="I15" s="30">
        <f t="shared" si="3"/>
        <v>125.125</v>
      </c>
      <c r="J15" s="29">
        <f t="shared" si="2"/>
        <v>7024.875</v>
      </c>
    </row>
    <row r="16">
      <c r="A16" s="25">
        <v>46157.0</v>
      </c>
      <c r="B16" s="26" t="s">
        <v>39</v>
      </c>
      <c r="C16" s="33">
        <v>7.5</v>
      </c>
      <c r="D16" s="28" t="s">
        <v>40</v>
      </c>
      <c r="E16" s="34">
        <v>4740.0</v>
      </c>
      <c r="F16" s="28">
        <v>0.0</v>
      </c>
      <c r="G16" s="34">
        <v>700.0</v>
      </c>
      <c r="H16" s="29">
        <f>SUM(E16:G16)</f>
        <v>5440</v>
      </c>
      <c r="I16" s="30">
        <f t="shared" si="3"/>
        <v>95.2</v>
      </c>
      <c r="J16" s="29">
        <f t="shared" si="2"/>
        <v>5344.8</v>
      </c>
    </row>
    <row r="17">
      <c r="A17" s="25">
        <v>46158.0</v>
      </c>
      <c r="B17" s="26" t="s">
        <v>41</v>
      </c>
      <c r="C17" s="31">
        <v>5.0</v>
      </c>
      <c r="D17" s="28" t="s">
        <v>40</v>
      </c>
      <c r="E17" s="35">
        <v>4350.0</v>
      </c>
      <c r="F17" s="28">
        <v>0.0</v>
      </c>
      <c r="G17" s="28">
        <v>350.0</v>
      </c>
      <c r="H17" s="29">
        <f>SUM(F17:G17)</f>
        <v>350</v>
      </c>
      <c r="I17" s="30">
        <f t="shared" si="3"/>
        <v>6.125</v>
      </c>
      <c r="J17" s="29">
        <f t="shared" si="2"/>
        <v>343.875</v>
      </c>
    </row>
    <row r="18">
      <c r="A18" s="25">
        <v>46159.0</v>
      </c>
      <c r="B18" s="26" t="s">
        <v>42</v>
      </c>
      <c r="C18" s="33">
        <v>4.0</v>
      </c>
      <c r="D18" s="28" t="s">
        <v>40</v>
      </c>
      <c r="E18" s="34">
        <v>2645.0</v>
      </c>
      <c r="F18" s="28">
        <v>0.0</v>
      </c>
      <c r="G18" s="34">
        <v>500.0</v>
      </c>
      <c r="H18" s="29">
        <f t="shared" ref="H18:H21" si="4">SUM(E18:G18)</f>
        <v>3145</v>
      </c>
      <c r="I18" s="30">
        <f t="shared" si="3"/>
        <v>55.0375</v>
      </c>
      <c r="J18" s="29">
        <f t="shared" si="2"/>
        <v>3089.9625</v>
      </c>
    </row>
    <row r="19">
      <c r="A19" s="25">
        <v>46160.0</v>
      </c>
      <c r="B19" s="26" t="s">
        <v>43</v>
      </c>
      <c r="C19" s="33">
        <v>10.0</v>
      </c>
      <c r="D19" s="28" t="s">
        <v>40</v>
      </c>
      <c r="E19" s="34">
        <v>6300.0</v>
      </c>
      <c r="F19" s="28">
        <v>0.0</v>
      </c>
      <c r="G19" s="34">
        <v>425.0</v>
      </c>
      <c r="H19" s="29">
        <f t="shared" si="4"/>
        <v>6725</v>
      </c>
      <c r="I19" s="30">
        <f t="shared" si="3"/>
        <v>117.6875</v>
      </c>
      <c r="J19" s="29">
        <f t="shared" si="2"/>
        <v>6607.3125</v>
      </c>
    </row>
    <row r="20">
      <c r="A20" s="25">
        <v>46161.0</v>
      </c>
      <c r="B20" s="26" t="s">
        <v>44</v>
      </c>
      <c r="C20" s="31">
        <v>10.0</v>
      </c>
      <c r="D20" s="28" t="s">
        <v>40</v>
      </c>
      <c r="E20" s="28">
        <v>6375.0</v>
      </c>
      <c r="F20" s="28">
        <v>0.0</v>
      </c>
      <c r="G20" s="28">
        <v>225.0</v>
      </c>
      <c r="H20" s="29">
        <f t="shared" si="4"/>
        <v>6600</v>
      </c>
      <c r="I20" s="30">
        <f t="shared" si="3"/>
        <v>115.5</v>
      </c>
      <c r="J20" s="29">
        <f t="shared" si="2"/>
        <v>6484.5</v>
      </c>
    </row>
    <row r="21">
      <c r="A21" s="25">
        <v>46162.0</v>
      </c>
      <c r="B21" s="26" t="s">
        <v>45</v>
      </c>
      <c r="C21" s="31">
        <v>3.0</v>
      </c>
      <c r="D21" s="28" t="s">
        <v>40</v>
      </c>
      <c r="E21" s="28">
        <v>2045.0</v>
      </c>
      <c r="F21" s="28">
        <v>0.0</v>
      </c>
      <c r="G21" s="28">
        <v>500.0</v>
      </c>
      <c r="H21" s="29">
        <f t="shared" si="4"/>
        <v>2545</v>
      </c>
      <c r="I21" s="30">
        <f t="shared" si="3"/>
        <v>44.5375</v>
      </c>
      <c r="J21" s="29">
        <f t="shared" si="2"/>
        <v>2500.4625</v>
      </c>
    </row>
    <row r="22">
      <c r="A22" s="25">
        <v>46163.0</v>
      </c>
      <c r="B22" s="26" t="s">
        <v>46</v>
      </c>
      <c r="C22" s="31">
        <v>8.0</v>
      </c>
      <c r="D22" s="28" t="s">
        <v>40</v>
      </c>
      <c r="E22" s="28">
        <v>5175.0</v>
      </c>
      <c r="F22" s="28">
        <v>0.0</v>
      </c>
      <c r="G22" s="28">
        <v>800.0</v>
      </c>
      <c r="H22" s="29">
        <f>sum(E22:G22)</f>
        <v>5975</v>
      </c>
      <c r="I22" s="30">
        <f t="shared" si="3"/>
        <v>104.5625</v>
      </c>
      <c r="J22" s="29">
        <f t="shared" si="2"/>
        <v>5870.4375</v>
      </c>
    </row>
    <row r="23">
      <c r="A23" s="25">
        <v>46164.0</v>
      </c>
      <c r="B23" s="26" t="s">
        <v>39</v>
      </c>
      <c r="C23" s="31">
        <v>2.5</v>
      </c>
      <c r="D23" s="28" t="s">
        <v>40</v>
      </c>
      <c r="E23" s="28">
        <v>1725.0</v>
      </c>
      <c r="F23" s="28">
        <v>0.0</v>
      </c>
      <c r="G23" s="28">
        <v>100.0</v>
      </c>
      <c r="H23" s="29">
        <f t="shared" ref="H23:H32" si="5">SUM(E23:G23)</f>
        <v>1825</v>
      </c>
      <c r="I23" s="30">
        <f t="shared" si="3"/>
        <v>31.9375</v>
      </c>
      <c r="J23" s="29">
        <f t="shared" si="2"/>
        <v>1793.0625</v>
      </c>
    </row>
    <row r="24">
      <c r="A24" s="25">
        <v>46165.0</v>
      </c>
      <c r="B24" s="26" t="s">
        <v>41</v>
      </c>
      <c r="C24" s="31">
        <v>4.0</v>
      </c>
      <c r="D24" s="28" t="s">
        <v>40</v>
      </c>
      <c r="E24" s="28">
        <v>2775.0</v>
      </c>
      <c r="F24" s="28">
        <v>0.0</v>
      </c>
      <c r="G24" s="28">
        <v>350.0</v>
      </c>
      <c r="H24" s="29">
        <f t="shared" si="5"/>
        <v>3125</v>
      </c>
      <c r="I24" s="30">
        <f t="shared" si="3"/>
        <v>54.6875</v>
      </c>
      <c r="J24" s="29">
        <f t="shared" si="2"/>
        <v>3070.3125</v>
      </c>
    </row>
    <row r="25">
      <c r="A25" s="25">
        <v>46166.0</v>
      </c>
      <c r="B25" s="26" t="s">
        <v>42</v>
      </c>
      <c r="C25" s="31">
        <v>2.0</v>
      </c>
      <c r="D25" s="28" t="s">
        <v>40</v>
      </c>
      <c r="E25" s="28">
        <v>1320.0</v>
      </c>
      <c r="F25" s="28">
        <v>0.0</v>
      </c>
      <c r="G25" s="28">
        <v>300.0</v>
      </c>
      <c r="H25" s="29">
        <f t="shared" si="5"/>
        <v>1620</v>
      </c>
      <c r="I25" s="30">
        <f t="shared" si="3"/>
        <v>28.35</v>
      </c>
      <c r="J25" s="29">
        <f t="shared" si="2"/>
        <v>1591.65</v>
      </c>
    </row>
    <row r="26">
      <c r="A26" s="25">
        <v>46167.0</v>
      </c>
      <c r="B26" s="26" t="s">
        <v>43</v>
      </c>
      <c r="C26" s="31">
        <v>3.5</v>
      </c>
      <c r="D26" s="28" t="s">
        <v>40</v>
      </c>
      <c r="E26" s="28">
        <v>2425.0</v>
      </c>
      <c r="F26" s="28">
        <v>0.0</v>
      </c>
      <c r="G26" s="28">
        <v>200.0</v>
      </c>
      <c r="H26" s="29">
        <f t="shared" si="5"/>
        <v>2625</v>
      </c>
      <c r="I26" s="30">
        <f t="shared" si="3"/>
        <v>45.9375</v>
      </c>
      <c r="J26" s="29">
        <f t="shared" si="2"/>
        <v>2579.0625</v>
      </c>
    </row>
    <row r="27">
      <c r="A27" s="25">
        <v>46168.0</v>
      </c>
      <c r="B27" s="26" t="s">
        <v>44</v>
      </c>
      <c r="C27" s="31">
        <v>5.0</v>
      </c>
      <c r="D27" s="28" t="s">
        <v>40</v>
      </c>
      <c r="E27" s="28">
        <v>3075.0</v>
      </c>
      <c r="F27" s="28">
        <v>0.0</v>
      </c>
      <c r="G27" s="28">
        <v>500.0</v>
      </c>
      <c r="H27" s="29">
        <f t="shared" si="5"/>
        <v>3575</v>
      </c>
      <c r="I27" s="30">
        <f t="shared" si="3"/>
        <v>62.5625</v>
      </c>
      <c r="J27" s="29">
        <f t="shared" si="2"/>
        <v>3512.4375</v>
      </c>
    </row>
    <row r="28">
      <c r="A28" s="25">
        <v>46169.0</v>
      </c>
      <c r="B28" s="26" t="s">
        <v>45</v>
      </c>
      <c r="C28" s="33">
        <v>9.0</v>
      </c>
      <c r="D28" s="28" t="s">
        <v>40</v>
      </c>
      <c r="E28" s="34">
        <v>5795.0</v>
      </c>
      <c r="F28" s="28">
        <v>0.0</v>
      </c>
      <c r="G28" s="34">
        <v>875.0</v>
      </c>
      <c r="H28" s="29">
        <f t="shared" si="5"/>
        <v>6670</v>
      </c>
      <c r="I28" s="30">
        <f t="shared" si="3"/>
        <v>116.725</v>
      </c>
      <c r="J28" s="29">
        <f t="shared" si="2"/>
        <v>6553.275</v>
      </c>
    </row>
    <row r="29">
      <c r="A29" s="25">
        <v>46170.0</v>
      </c>
      <c r="B29" s="26" t="s">
        <v>46</v>
      </c>
      <c r="C29" s="33">
        <v>7.0</v>
      </c>
      <c r="D29" s="28" t="s">
        <v>40</v>
      </c>
      <c r="E29" s="34">
        <v>4620.0</v>
      </c>
      <c r="F29" s="28">
        <v>0.0</v>
      </c>
      <c r="G29" s="34">
        <v>1350.0</v>
      </c>
      <c r="H29" s="29">
        <f t="shared" si="5"/>
        <v>5970</v>
      </c>
      <c r="I29" s="30">
        <f t="shared" si="3"/>
        <v>104.475</v>
      </c>
      <c r="J29" s="29">
        <f t="shared" si="2"/>
        <v>5865.525</v>
      </c>
    </row>
    <row r="30">
      <c r="A30" s="25">
        <v>46171.0</v>
      </c>
      <c r="B30" s="26" t="s">
        <v>39</v>
      </c>
      <c r="C30" s="31">
        <v>4.0</v>
      </c>
      <c r="D30" s="28" t="s">
        <v>40</v>
      </c>
      <c r="E30" s="28">
        <v>2700.0</v>
      </c>
      <c r="F30" s="28">
        <v>0.0</v>
      </c>
      <c r="G30" s="28">
        <v>1475.0</v>
      </c>
      <c r="H30" s="29">
        <f t="shared" si="5"/>
        <v>4175</v>
      </c>
      <c r="I30" s="30">
        <f t="shared" si="3"/>
        <v>73.0625</v>
      </c>
      <c r="J30" s="29">
        <f t="shared" si="2"/>
        <v>4101.9375</v>
      </c>
    </row>
    <row r="31">
      <c r="A31" s="25">
        <v>46172.0</v>
      </c>
      <c r="B31" s="26" t="s">
        <v>41</v>
      </c>
      <c r="C31" s="36">
        <v>2.5</v>
      </c>
      <c r="D31" s="28" t="s">
        <v>40</v>
      </c>
      <c r="E31" s="37">
        <v>1745.0</v>
      </c>
      <c r="F31" s="38">
        <v>0.0</v>
      </c>
      <c r="G31" s="37">
        <v>1425.0</v>
      </c>
      <c r="H31" s="29">
        <f t="shared" si="5"/>
        <v>3170</v>
      </c>
      <c r="I31" s="30">
        <f t="shared" si="3"/>
        <v>55.475</v>
      </c>
      <c r="J31" s="29">
        <f t="shared" si="2"/>
        <v>3114.525</v>
      </c>
    </row>
    <row r="32">
      <c r="A32" s="25">
        <v>46173.0</v>
      </c>
      <c r="B32" s="26" t="s">
        <v>42</v>
      </c>
      <c r="C32" s="27">
        <v>6.0</v>
      </c>
      <c r="D32" s="28" t="s">
        <v>40</v>
      </c>
      <c r="E32" s="38">
        <v>3915.0</v>
      </c>
      <c r="F32" s="38">
        <v>0.0</v>
      </c>
      <c r="G32" s="38">
        <v>625.0</v>
      </c>
      <c r="H32" s="29">
        <f t="shared" si="5"/>
        <v>4540</v>
      </c>
      <c r="I32" s="30">
        <f t="shared" si="3"/>
        <v>79.45</v>
      </c>
      <c r="J32" s="29">
        <f t="shared" si="2"/>
        <v>4460.55</v>
      </c>
    </row>
    <row r="33">
      <c r="A33" s="39" t="s">
        <v>47</v>
      </c>
      <c r="B33" s="40"/>
      <c r="C33" s="41">
        <f>SUM(C2:C32)</f>
        <v>173.5</v>
      </c>
      <c r="D33" s="41"/>
      <c r="E33" s="42">
        <f t="shared" ref="E33:J33" si="6">SUM(E2:E32)</f>
        <v>113755</v>
      </c>
      <c r="F33" s="42">
        <f t="shared" si="6"/>
        <v>0</v>
      </c>
      <c r="G33" s="42">
        <f t="shared" si="6"/>
        <v>19750</v>
      </c>
      <c r="H33" s="42">
        <f t="shared" si="6"/>
        <v>129155</v>
      </c>
      <c r="I33" s="42">
        <f t="shared" si="6"/>
        <v>2284.4525</v>
      </c>
      <c r="J33" s="42">
        <f t="shared" si="6"/>
        <v>126870.5475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4.38"/>
    <col customWidth="1" min="9" max="9" width="14.13"/>
  </cols>
  <sheetData>
    <row r="1">
      <c r="A1" s="43" t="s">
        <v>48</v>
      </c>
      <c r="B1" s="44" t="s">
        <v>29</v>
      </c>
      <c r="C1" s="44" t="s">
        <v>49</v>
      </c>
      <c r="D1" s="44" t="s">
        <v>50</v>
      </c>
      <c r="E1" s="45" t="s">
        <v>51</v>
      </c>
      <c r="F1" s="44" t="s">
        <v>38</v>
      </c>
      <c r="G1" s="46" t="s">
        <v>52</v>
      </c>
      <c r="H1" s="46" t="s">
        <v>53</v>
      </c>
      <c r="I1" s="44" t="s">
        <v>54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7"/>
      <c r="B2" s="16" t="s">
        <v>0</v>
      </c>
      <c r="C2" s="48">
        <v>87543.0</v>
      </c>
      <c r="D2" s="48">
        <v>5332.0</v>
      </c>
      <c r="E2" s="49">
        <v>959.0</v>
      </c>
      <c r="F2" s="50">
        <f>C2-D2-E2</f>
        <v>81252</v>
      </c>
      <c r="G2" s="48">
        <v>444.0</v>
      </c>
      <c r="H2" s="48">
        <v>88.0</v>
      </c>
      <c r="I2" s="48">
        <v>80718.0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1"/>
      <c r="B3" s="16"/>
      <c r="C3" s="16"/>
      <c r="D3" s="16"/>
      <c r="E3" s="52"/>
      <c r="F3" s="52"/>
      <c r="G3" s="16"/>
      <c r="H3" s="16"/>
      <c r="I3" s="1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1"/>
      <c r="B4" s="53" t="s">
        <v>47</v>
      </c>
      <c r="C4" s="54">
        <f>SUM(C2:C3)</f>
        <v>87543</v>
      </c>
      <c r="D4" s="55"/>
      <c r="E4" s="56"/>
      <c r="F4" s="57">
        <f>SUM(F2:F3)</f>
        <v>81252</v>
      </c>
      <c r="G4" s="55"/>
      <c r="H4" s="55"/>
      <c r="I4" s="54">
        <f>SUM(I2:I3)</f>
        <v>80718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7"/>
      <c r="B5" s="4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7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58" t="s">
        <v>48</v>
      </c>
      <c r="B1" s="44" t="s">
        <v>29</v>
      </c>
      <c r="C1" s="44" t="s">
        <v>55</v>
      </c>
      <c r="D1" s="44" t="s">
        <v>56</v>
      </c>
      <c r="E1" s="44" t="s">
        <v>38</v>
      </c>
      <c r="F1" s="44" t="s">
        <v>53</v>
      </c>
      <c r="G1" s="44" t="s">
        <v>52</v>
      </c>
      <c r="H1" s="44" t="s">
        <v>2</v>
      </c>
    </row>
    <row r="2">
      <c r="A2" s="16"/>
      <c r="B2" s="16" t="s">
        <v>0</v>
      </c>
      <c r="C2" s="49">
        <v>19250.0</v>
      </c>
      <c r="D2" s="49">
        <v>2593.0</v>
      </c>
      <c r="E2" s="50">
        <f>C2-D2</f>
        <v>16657</v>
      </c>
      <c r="F2" s="49">
        <v>16.0</v>
      </c>
      <c r="G2" s="49">
        <v>84.0</v>
      </c>
      <c r="H2" s="48">
        <v>17255.0</v>
      </c>
    </row>
    <row r="3">
      <c r="A3" s="16"/>
      <c r="B3" s="59" t="s">
        <v>47</v>
      </c>
      <c r="C3" s="57">
        <f>SUM(C2)</f>
        <v>19250</v>
      </c>
      <c r="D3" s="55"/>
      <c r="E3" s="57">
        <f>SUM(E2)</f>
        <v>16657</v>
      </c>
      <c r="F3" s="55"/>
      <c r="G3" s="55"/>
      <c r="H3" s="57">
        <f>SUM(H2)</f>
        <v>17255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60" t="s">
        <v>48</v>
      </c>
      <c r="B1" s="61" t="s">
        <v>29</v>
      </c>
      <c r="C1" s="61" t="s">
        <v>57</v>
      </c>
      <c r="D1" s="61" t="s">
        <v>50</v>
      </c>
      <c r="E1" s="61" t="s">
        <v>58</v>
      </c>
      <c r="F1" s="61" t="s">
        <v>38</v>
      </c>
      <c r="G1" s="61" t="s">
        <v>59</v>
      </c>
      <c r="H1" s="61" t="s">
        <v>60</v>
      </c>
      <c r="I1" s="61" t="s">
        <v>54</v>
      </c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63"/>
      <c r="B2" s="63" t="s">
        <v>0</v>
      </c>
      <c r="C2" s="64">
        <v>38749.0</v>
      </c>
      <c r="D2" s="64">
        <v>3071.0</v>
      </c>
      <c r="E2" s="65">
        <v>552.0</v>
      </c>
      <c r="F2" s="50">
        <f>C2-D2-E2</f>
        <v>35126</v>
      </c>
      <c r="G2" s="65">
        <v>38.0</v>
      </c>
      <c r="H2" s="65">
        <v>0.0</v>
      </c>
      <c r="I2" s="64">
        <v>35087.14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</row>
    <row r="3">
      <c r="A3" s="63"/>
      <c r="B3" s="66" t="s">
        <v>47</v>
      </c>
      <c r="C3" s="41">
        <f>sum(C2)</f>
        <v>38749</v>
      </c>
      <c r="D3" s="67"/>
      <c r="E3" s="68"/>
      <c r="F3" s="41">
        <f>sum(F2)</f>
        <v>35126</v>
      </c>
      <c r="G3" s="68"/>
      <c r="H3" s="68"/>
      <c r="I3" s="41">
        <f>sum(I2)</f>
        <v>35087.14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</row>
    <row r="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9" t="s">
        <v>48</v>
      </c>
      <c r="B1" s="44" t="s">
        <v>29</v>
      </c>
      <c r="C1" s="44" t="s">
        <v>61</v>
      </c>
      <c r="D1" s="44" t="s">
        <v>50</v>
      </c>
      <c r="E1" s="44" t="s">
        <v>54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1"/>
      <c r="B2" s="16" t="s">
        <v>0</v>
      </c>
      <c r="C2" s="48">
        <v>24275.0</v>
      </c>
      <c r="D2" s="70">
        <f>C2*5%</f>
        <v>1213.75</v>
      </c>
      <c r="E2" s="70">
        <f>C2-D2</f>
        <v>23061.25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1"/>
      <c r="B3" s="16"/>
      <c r="C3" s="16"/>
      <c r="D3" s="71"/>
      <c r="E3" s="71"/>
      <c r="F3" s="5"/>
      <c r="G3" s="5"/>
      <c r="H3" s="5"/>
      <c r="I3" s="5"/>
      <c r="J3" s="5"/>
      <c r="K3" s="72"/>
      <c r="L3" s="5"/>
      <c r="M3" s="72"/>
      <c r="N3" s="7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73" t="s">
        <v>47</v>
      </c>
      <c r="C4" s="74">
        <f>SUM(C2)</f>
        <v>24275</v>
      </c>
      <c r="D4" s="55"/>
      <c r="E4" s="74">
        <f>SUM(E2)</f>
        <v>23061.25</v>
      </c>
      <c r="F4" s="5"/>
      <c r="G4" s="5"/>
      <c r="H4" s="5"/>
      <c r="I4" s="5"/>
      <c r="J4" s="5"/>
      <c r="K4" s="72"/>
      <c r="L4" s="5"/>
      <c r="M4" s="72"/>
      <c r="N4" s="7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15.25"/>
  </cols>
  <sheetData>
    <row r="1">
      <c r="A1" s="75" t="s">
        <v>62</v>
      </c>
      <c r="B1" s="75" t="s">
        <v>63</v>
      </c>
      <c r="C1" s="75" t="s">
        <v>64</v>
      </c>
    </row>
    <row r="2">
      <c r="A2" s="76" t="s">
        <v>65</v>
      </c>
      <c r="B2" s="10" t="s">
        <v>66</v>
      </c>
      <c r="C2" s="77">
        <v>120000.0</v>
      </c>
    </row>
  </sheetData>
  <drawing r:id="rId1"/>
</worksheet>
</file>