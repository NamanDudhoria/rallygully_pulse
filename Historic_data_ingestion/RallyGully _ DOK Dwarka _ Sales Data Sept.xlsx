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Academy" sheetId="4" r:id="rId8"/>
  </sheets>
  <definedNames/>
  <calcPr/>
</workbook>
</file>

<file path=xl/sharedStrings.xml><?xml version="1.0" encoding="utf-8"?>
<sst xmlns="http://schemas.openxmlformats.org/spreadsheetml/2006/main" count="93" uniqueCount="66">
  <si>
    <t>Date</t>
  </si>
  <si>
    <t>1 - 30 Sept</t>
  </si>
  <si>
    <t>Day</t>
  </si>
  <si>
    <t>Link</t>
  </si>
  <si>
    <t>Offline booking hours</t>
  </si>
  <si>
    <t>Month</t>
  </si>
  <si>
    <t>Particulars</t>
  </si>
  <si>
    <t>Amount</t>
  </si>
  <si>
    <t>Booking Revenue</t>
  </si>
  <si>
    <t>Community Revenue</t>
  </si>
  <si>
    <t xml:space="preserve">Paddle Rental </t>
  </si>
  <si>
    <t>Total Revenue</t>
  </si>
  <si>
    <t>Pickleball</t>
  </si>
  <si>
    <t>Payment Gateway</t>
  </si>
  <si>
    <t>Coaching</t>
  </si>
  <si>
    <t>Sports Type</t>
  </si>
  <si>
    <t>Pay &amp; Play</t>
  </si>
  <si>
    <t>Type</t>
  </si>
  <si>
    <t>Amount Collected</t>
  </si>
  <si>
    <t>Net Revenue</t>
  </si>
  <si>
    <t>Sept</t>
  </si>
  <si>
    <t>Basketball Coaching</t>
  </si>
  <si>
    <t>Basketball</t>
  </si>
  <si>
    <t>3 days in week</t>
  </si>
  <si>
    <t>Tuesday</t>
  </si>
  <si>
    <t>Paid to District</t>
  </si>
  <si>
    <t>Commissions (₹)</t>
  </si>
  <si>
    <t>GST on Commission</t>
  </si>
  <si>
    <t xml:space="preserve">Online </t>
  </si>
  <si>
    <t>TCS</t>
  </si>
  <si>
    <t>District</t>
  </si>
  <si>
    <t>TDS</t>
  </si>
  <si>
    <t>Final Amount (₹)</t>
  </si>
  <si>
    <t>Hudle</t>
  </si>
  <si>
    <t>Playo</t>
  </si>
  <si>
    <t>Khelomore</t>
  </si>
  <si>
    <t>Zplys</t>
  </si>
  <si>
    <t>Offline</t>
  </si>
  <si>
    <t>Bookings</t>
  </si>
  <si>
    <t>Wednesday</t>
  </si>
  <si>
    <t>Memberships</t>
  </si>
  <si>
    <t>Community</t>
  </si>
  <si>
    <t>Thursday</t>
  </si>
  <si>
    <t>Pickup games</t>
  </si>
  <si>
    <t>Social Events/Tournaments</t>
  </si>
  <si>
    <t>Community Partnership</t>
  </si>
  <si>
    <t>Academy</t>
  </si>
  <si>
    <t>Friday</t>
  </si>
  <si>
    <t>(Note for CA Team: Please note that RallyGully hasn't received the 18000 rental for basketball rental service provided) - GST payment would have to be made by Drive &amp; Kick Team</t>
  </si>
  <si>
    <t>B2B</t>
  </si>
  <si>
    <t>Saturday</t>
  </si>
  <si>
    <t>Total</t>
  </si>
  <si>
    <t>Corporate events</t>
  </si>
  <si>
    <t>All B2B partnerships</t>
  </si>
  <si>
    <t>Commerce</t>
  </si>
  <si>
    <t>Sunday</t>
  </si>
  <si>
    <t>Product rental</t>
  </si>
  <si>
    <t>Product sales</t>
  </si>
  <si>
    <t>F&amp;B</t>
  </si>
  <si>
    <t>Other Income</t>
  </si>
  <si>
    <t>Total Gross Revenue</t>
  </si>
  <si>
    <t>Monday</t>
  </si>
  <si>
    <t xml:space="preserve">GST </t>
  </si>
  <si>
    <t>Net Revenue Post GST</t>
  </si>
  <si>
    <t>Commissions, Payment gateway &amp; Event Expense</t>
  </si>
  <si>
    <t xml:space="preserve">Net Revenue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</si>
</sst>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&gt;9999999][$₹]##\,##\,##\,##0;[&gt;99999][$₹]##\,##\,##0;[$₹]##,##0"/>
    <numFmt numFmtId="166" formatCode="[$₹]#,##0.0"/>
    <numFmt numFmtId="167" formatCode="d mmm"/>
    <numFmt numFmtId="168" formatCode="[$₹]#,##0.00"/>
    <numFmt numFmtId="169" formatCode="d m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7" xfId="0" applyAlignment="1" applyBorder="1" applyFont="1" applyNumberFormat="1">
      <alignment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3" fontId="4" numFmtId="169" xfId="0" applyAlignment="1" applyBorder="1" applyFill="1" applyFont="1" applyNumberFormat="1">
      <alignment horizontal="right" vertical="bottom"/>
    </xf>
    <xf borderId="1" fillId="0" fontId="2" numFmtId="170" xfId="0" applyAlignment="1" applyBorder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3" fontId="4" numFmtId="164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3" fontId="4" numFmtId="4" xfId="0" applyAlignment="1" applyBorder="1" applyFill="1" applyFont="1" applyNumberFormat="1">
      <alignment horizontal="right" vertical="bottom"/>
    </xf>
    <xf borderId="1" fillId="2" fontId="6" numFmtId="168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2" fontId="2" numFmtId="168" xfId="0" applyAlignment="1" applyBorder="1" applyFill="1" applyFont="1" applyNumberForma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2" fontId="2" numFmtId="170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2" fontId="4" numFmtId="168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shrinkToFit="0" vertical="bottom" wrapText="1"/>
    </xf>
    <xf borderId="2" fillId="0" fontId="2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readingOrder="0" vertical="bottom"/>
    </xf>
    <xf borderId="0" fillId="0" fontId="1" numFmtId="0" xfId="0" applyAlignment="1" applyFont="1">
      <alignment horizontal="left"/>
    </xf>
    <xf borderId="1" fillId="0" fontId="4" numFmtId="164" xfId="0" applyAlignment="1" applyBorder="1" applyFont="1" applyNumberFormat="1">
      <alignment horizontal="right" shrinkToFit="0" vertical="bottom" wrapText="1"/>
    </xf>
    <xf borderId="1" fillId="3" fontId="4" numFmtId="164" xfId="0" applyAlignment="1" applyBorder="1" applyFill="1" applyFont="1" applyNumberFormat="1">
      <alignment horizontal="right"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  <col customWidth="1" min="4" max="4" width="133.75"/>
  </cols>
  <sheetData>
    <row r="1">
      <c r="A1" s="1"/>
    </row>
    <row r="2">
      <c r="B2" s="3" t="s">
        <v>1</v>
      </c>
      <c r="C2" s="4"/>
    </row>
    <row r="3">
      <c r="B3" s="5" t="s">
        <v>6</v>
      </c>
      <c r="C3" s="5" t="s">
        <v>7</v>
      </c>
      <c r="E3" s="7"/>
    </row>
    <row r="4">
      <c r="B4" s="8"/>
      <c r="C4" s="10" t="s">
        <v>12</v>
      </c>
      <c r="E4" s="7"/>
    </row>
    <row r="5">
      <c r="B5" s="12" t="s">
        <v>16</v>
      </c>
      <c r="C5" s="21">
        <f>sum(C6,C12)</f>
        <v>26638</v>
      </c>
      <c r="E5" s="7"/>
    </row>
    <row r="6">
      <c r="B6" s="12" t="s">
        <v>28</v>
      </c>
      <c r="C6" s="21">
        <f>sum(C7:C11)</f>
        <v>23148</v>
      </c>
      <c r="E6" s="7"/>
    </row>
    <row r="7" outlineLevel="1">
      <c r="B7" s="14" t="s">
        <v>30</v>
      </c>
      <c r="C7" s="25">
        <f>District!C3</f>
        <v>23148</v>
      </c>
      <c r="E7" s="7"/>
    </row>
    <row r="8" outlineLevel="1">
      <c r="B8" s="14" t="s">
        <v>33</v>
      </c>
      <c r="C8" s="26">
        <v>0.0</v>
      </c>
      <c r="E8" s="7"/>
    </row>
    <row r="9" outlineLevel="1">
      <c r="B9" s="14" t="s">
        <v>34</v>
      </c>
      <c r="C9" s="26">
        <v>0.0</v>
      </c>
      <c r="E9" s="7"/>
    </row>
    <row r="10" outlineLevel="1">
      <c r="B10" s="27" t="s">
        <v>35</v>
      </c>
      <c r="C10" s="26">
        <v>0.0</v>
      </c>
      <c r="E10" s="28"/>
    </row>
    <row r="11" outlineLevel="1">
      <c r="B11" s="14" t="s">
        <v>36</v>
      </c>
      <c r="C11" s="26">
        <v>0.0</v>
      </c>
      <c r="E11" s="28"/>
    </row>
    <row r="12">
      <c r="B12" s="30" t="s">
        <v>37</v>
      </c>
      <c r="C12" s="21">
        <f>sum(C13:C14)</f>
        <v>3490</v>
      </c>
    </row>
    <row r="13" outlineLevel="1">
      <c r="B13" s="14" t="s">
        <v>38</v>
      </c>
      <c r="C13" s="25">
        <f>'Offline &amp; RG Community'!D32</f>
        <v>3490</v>
      </c>
    </row>
    <row r="14" outlineLevel="1">
      <c r="B14" s="34" t="s">
        <v>40</v>
      </c>
      <c r="C14" s="26">
        <v>0.0</v>
      </c>
      <c r="E14" s="7"/>
    </row>
    <row r="15">
      <c r="B15" s="30" t="s">
        <v>41</v>
      </c>
      <c r="C15" s="21">
        <f>sum(C16:C18)</f>
        <v>4897</v>
      </c>
      <c r="E15" s="7"/>
    </row>
    <row r="16" outlineLevel="1">
      <c r="B16" s="27" t="s">
        <v>43</v>
      </c>
      <c r="C16" s="25">
        <f>'Offline &amp; RG Community'!E32</f>
        <v>4897</v>
      </c>
      <c r="E16" s="7"/>
    </row>
    <row r="17" outlineLevel="1">
      <c r="B17" s="27" t="s">
        <v>44</v>
      </c>
      <c r="C17" s="26">
        <v>0.0</v>
      </c>
    </row>
    <row r="18">
      <c r="B18" s="13" t="s">
        <v>45</v>
      </c>
      <c r="C18" s="37">
        <v>0.0</v>
      </c>
      <c r="E18" s="7"/>
    </row>
    <row r="19">
      <c r="B19" s="30" t="s">
        <v>46</v>
      </c>
      <c r="C19" s="21">
        <f>Academy!E2</f>
        <v>18000</v>
      </c>
      <c r="D19" s="38" t="s">
        <v>48</v>
      </c>
      <c r="E19" s="7"/>
    </row>
    <row r="20">
      <c r="B20" s="39" t="s">
        <v>49</v>
      </c>
      <c r="C20" s="21">
        <f>sum(C21,C22)</f>
        <v>0</v>
      </c>
    </row>
    <row r="21" outlineLevel="1">
      <c r="B21" s="14" t="s">
        <v>52</v>
      </c>
      <c r="C21" s="41">
        <v>0.0</v>
      </c>
    </row>
    <row r="22" outlineLevel="1">
      <c r="B22" s="27" t="s">
        <v>53</v>
      </c>
      <c r="C22" s="37">
        <v>0.0</v>
      </c>
    </row>
    <row r="23">
      <c r="B23" s="12" t="s">
        <v>54</v>
      </c>
      <c r="C23" s="21">
        <f>sum(C24:C26)</f>
        <v>3200</v>
      </c>
    </row>
    <row r="24" outlineLevel="1">
      <c r="B24" s="14" t="s">
        <v>56</v>
      </c>
      <c r="C24" s="41">
        <f>'Offline &amp; RG Community'!F32</f>
        <v>3200</v>
      </c>
    </row>
    <row r="25" outlineLevel="1">
      <c r="B25" s="14" t="s">
        <v>57</v>
      </c>
      <c r="C25" s="26">
        <v>0.0</v>
      </c>
    </row>
    <row r="26" outlineLevel="1">
      <c r="B26" s="14" t="s">
        <v>58</v>
      </c>
      <c r="C26" s="26">
        <v>0.0</v>
      </c>
    </row>
    <row r="27">
      <c r="B27" s="12" t="s">
        <v>59</v>
      </c>
      <c r="C27" s="45">
        <v>0.0</v>
      </c>
    </row>
    <row r="28">
      <c r="B28" s="40" t="s">
        <v>60</v>
      </c>
      <c r="C28" s="47">
        <f>C5+C15+C19+C20+C23+C27</f>
        <v>52735</v>
      </c>
    </row>
    <row r="29">
      <c r="B29" s="48" t="s">
        <v>62</v>
      </c>
      <c r="C29" s="49">
        <f>C28-(C28/1.18)</f>
        <v>8044.322034</v>
      </c>
    </row>
    <row r="30">
      <c r="B30" s="50" t="s">
        <v>63</v>
      </c>
      <c r="C30" s="51">
        <f>C28-C29</f>
        <v>44690.67797</v>
      </c>
      <c r="D30" s="52"/>
    </row>
    <row r="31">
      <c r="B31" s="48" t="s">
        <v>64</v>
      </c>
      <c r="C31" s="49">
        <f>'Offline &amp; RG Community'!H32+District!D3+District!E3</f>
        <v>1856.7725</v>
      </c>
    </row>
    <row r="32">
      <c r="B32" s="53" t="s">
        <v>65</v>
      </c>
      <c r="C32" s="49">
        <f>C28-C29-C31</f>
        <v>42833.90547</v>
      </c>
      <c r="D32" s="54"/>
    </row>
    <row r="33">
      <c r="B33" s="14"/>
      <c r="C33" s="55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5" width="17.63"/>
    <col customWidth="1" min="6" max="8" width="15.25"/>
  </cols>
  <sheetData>
    <row r="1">
      <c r="A1" s="2" t="s">
        <v>0</v>
      </c>
      <c r="B1" s="2" t="s">
        <v>2</v>
      </c>
      <c r="C1" s="6" t="s">
        <v>4</v>
      </c>
      <c r="D1" s="2" t="s">
        <v>8</v>
      </c>
      <c r="E1" s="2" t="s">
        <v>9</v>
      </c>
      <c r="F1" s="2" t="s">
        <v>10</v>
      </c>
      <c r="G1" s="2" t="s">
        <v>11</v>
      </c>
      <c r="H1" s="11" t="s">
        <v>13</v>
      </c>
      <c r="I1" s="2" t="s">
        <v>19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7">
        <v>46266.0</v>
      </c>
      <c r="B2" s="20" t="s">
        <v>24</v>
      </c>
      <c r="C2" s="22">
        <v>0.5</v>
      </c>
      <c r="D2" s="24">
        <v>349.0</v>
      </c>
      <c r="E2" s="24">
        <v>0.0</v>
      </c>
      <c r="F2" s="24">
        <v>100.0</v>
      </c>
      <c r="G2" s="24">
        <f t="shared" ref="G2:G31" si="1">sum(D2:F2)</f>
        <v>449</v>
      </c>
      <c r="H2" s="29">
        <f t="shared" ref="H2:H31" si="2">G2*1.75%</f>
        <v>7.8575</v>
      </c>
      <c r="I2" s="24">
        <f t="shared" ref="I2:I31" si="3">G2-H2</f>
        <v>441.1425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7">
        <v>46267.0</v>
      </c>
      <c r="B3" s="20" t="s">
        <v>39</v>
      </c>
      <c r="C3" s="22">
        <v>0.0</v>
      </c>
      <c r="D3" s="24">
        <v>0.0</v>
      </c>
      <c r="E3" s="24">
        <v>0.0</v>
      </c>
      <c r="F3" s="24">
        <v>0.0</v>
      </c>
      <c r="G3" s="24">
        <f t="shared" si="1"/>
        <v>0</v>
      </c>
      <c r="H3" s="29">
        <f t="shared" si="2"/>
        <v>0</v>
      </c>
      <c r="I3" s="24">
        <f t="shared" si="3"/>
        <v>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7">
        <v>46268.0</v>
      </c>
      <c r="B4" s="20" t="s">
        <v>42</v>
      </c>
      <c r="C4" s="35">
        <v>0.0</v>
      </c>
      <c r="D4" s="24">
        <v>0.0</v>
      </c>
      <c r="E4" s="24">
        <v>0.0</v>
      </c>
      <c r="F4" s="24">
        <v>0.0</v>
      </c>
      <c r="G4" s="24">
        <f t="shared" si="1"/>
        <v>0</v>
      </c>
      <c r="H4" s="29">
        <f t="shared" si="2"/>
        <v>0</v>
      </c>
      <c r="I4" s="24">
        <f t="shared" si="3"/>
        <v>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7">
        <v>46269.0</v>
      </c>
      <c r="B5" s="20" t="s">
        <v>47</v>
      </c>
      <c r="C5" s="35">
        <v>0.0</v>
      </c>
      <c r="D5" s="24">
        <v>0.0</v>
      </c>
      <c r="E5" s="24">
        <v>0.0</v>
      </c>
      <c r="F5" s="24">
        <v>0.0</v>
      </c>
      <c r="G5" s="24">
        <f t="shared" si="1"/>
        <v>0</v>
      </c>
      <c r="H5" s="29">
        <f t="shared" si="2"/>
        <v>0</v>
      </c>
      <c r="I5" s="24">
        <f t="shared" si="3"/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7">
        <v>46270.0</v>
      </c>
      <c r="B6" s="20" t="s">
        <v>50</v>
      </c>
      <c r="C6" s="35">
        <v>0.0</v>
      </c>
      <c r="D6" s="24">
        <v>0.0</v>
      </c>
      <c r="E6" s="24">
        <v>0.0</v>
      </c>
      <c r="F6" s="24">
        <v>0.0</v>
      </c>
      <c r="G6" s="24">
        <f t="shared" si="1"/>
        <v>0</v>
      </c>
      <c r="H6" s="29">
        <f t="shared" si="2"/>
        <v>0</v>
      </c>
      <c r="I6" s="24">
        <f t="shared" si="3"/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7">
        <v>46271.0</v>
      </c>
      <c r="B7" s="20" t="s">
        <v>55</v>
      </c>
      <c r="C7" s="35">
        <v>1.0</v>
      </c>
      <c r="D7" s="24">
        <v>698.0</v>
      </c>
      <c r="E7" s="24">
        <v>0.0</v>
      </c>
      <c r="F7" s="43">
        <v>375.0</v>
      </c>
      <c r="G7" s="24">
        <f t="shared" si="1"/>
        <v>1073</v>
      </c>
      <c r="H7" s="29">
        <f t="shared" si="2"/>
        <v>18.7775</v>
      </c>
      <c r="I7" s="24">
        <f t="shared" si="3"/>
        <v>1054.2225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7">
        <v>46272.0</v>
      </c>
      <c r="B8" s="20" t="s">
        <v>61</v>
      </c>
      <c r="C8" s="35">
        <v>0.0</v>
      </c>
      <c r="D8" s="24">
        <v>0.0</v>
      </c>
      <c r="E8" s="24">
        <v>0.0</v>
      </c>
      <c r="F8" s="24">
        <v>0.0</v>
      </c>
      <c r="G8" s="24">
        <f t="shared" si="1"/>
        <v>0</v>
      </c>
      <c r="H8" s="29">
        <f t="shared" si="2"/>
        <v>0</v>
      </c>
      <c r="I8" s="24">
        <f t="shared" si="3"/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7">
        <v>46273.0</v>
      </c>
      <c r="B9" s="20" t="s">
        <v>24</v>
      </c>
      <c r="C9" s="35">
        <v>0.0</v>
      </c>
      <c r="D9" s="24">
        <v>0.0</v>
      </c>
      <c r="E9" s="24">
        <v>0.0</v>
      </c>
      <c r="F9" s="43">
        <v>0.0</v>
      </c>
      <c r="G9" s="24">
        <f t="shared" si="1"/>
        <v>0</v>
      </c>
      <c r="H9" s="29">
        <f t="shared" si="2"/>
        <v>0</v>
      </c>
      <c r="I9" s="24">
        <f t="shared" si="3"/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7">
        <v>46274.0</v>
      </c>
      <c r="B10" s="20" t="s">
        <v>39</v>
      </c>
      <c r="C10" s="35">
        <v>2.0</v>
      </c>
      <c r="D10" s="24">
        <v>1396.0</v>
      </c>
      <c r="E10" s="24">
        <v>0.0</v>
      </c>
      <c r="F10" s="24">
        <v>375.0</v>
      </c>
      <c r="G10" s="24">
        <f t="shared" si="1"/>
        <v>1771</v>
      </c>
      <c r="H10" s="29">
        <f t="shared" si="2"/>
        <v>30.9925</v>
      </c>
      <c r="I10" s="24">
        <f t="shared" si="3"/>
        <v>1740.0075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7">
        <v>46275.0</v>
      </c>
      <c r="B11" s="20" t="s">
        <v>42</v>
      </c>
      <c r="C11" s="35">
        <v>0.0</v>
      </c>
      <c r="D11" s="24">
        <v>0.0</v>
      </c>
      <c r="E11" s="24">
        <v>0.0</v>
      </c>
      <c r="F11" s="24">
        <v>0.0</v>
      </c>
      <c r="G11" s="24">
        <f t="shared" si="1"/>
        <v>0</v>
      </c>
      <c r="H11" s="29">
        <f t="shared" si="2"/>
        <v>0</v>
      </c>
      <c r="I11" s="24">
        <f t="shared" si="3"/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7">
        <v>46276.0</v>
      </c>
      <c r="B12" s="20" t="s">
        <v>47</v>
      </c>
      <c r="C12" s="35">
        <v>0.0</v>
      </c>
      <c r="D12" s="24">
        <v>0.0</v>
      </c>
      <c r="E12" s="24">
        <v>0.0</v>
      </c>
      <c r="F12" s="24">
        <v>0.0</v>
      </c>
      <c r="G12" s="24">
        <f t="shared" si="1"/>
        <v>0</v>
      </c>
      <c r="H12" s="29">
        <f t="shared" si="2"/>
        <v>0</v>
      </c>
      <c r="I12" s="24">
        <f t="shared" si="3"/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7">
        <v>46277.0</v>
      </c>
      <c r="B13" s="20" t="s">
        <v>50</v>
      </c>
      <c r="C13" s="35">
        <v>0.0</v>
      </c>
      <c r="D13" s="24">
        <v>0.0</v>
      </c>
      <c r="E13" s="24">
        <v>0.0</v>
      </c>
      <c r="F13" s="24">
        <v>0.0</v>
      </c>
      <c r="G13" s="24">
        <f t="shared" si="1"/>
        <v>0</v>
      </c>
      <c r="H13" s="29">
        <f t="shared" si="2"/>
        <v>0</v>
      </c>
      <c r="I13" s="24">
        <f t="shared" si="3"/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7">
        <v>46278.0</v>
      </c>
      <c r="B14" s="20" t="s">
        <v>55</v>
      </c>
      <c r="C14" s="35">
        <v>1.0</v>
      </c>
      <c r="D14" s="24">
        <v>0.0</v>
      </c>
      <c r="E14" s="24">
        <v>400.0</v>
      </c>
      <c r="F14" s="24">
        <v>700.0</v>
      </c>
      <c r="G14" s="24">
        <f t="shared" si="1"/>
        <v>1100</v>
      </c>
      <c r="H14" s="29">
        <f t="shared" si="2"/>
        <v>19.25</v>
      </c>
      <c r="I14" s="24">
        <f t="shared" si="3"/>
        <v>1080.75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7">
        <v>46279.0</v>
      </c>
      <c r="B15" s="20" t="s">
        <v>61</v>
      </c>
      <c r="C15" s="35">
        <v>0.0</v>
      </c>
      <c r="D15" s="24">
        <v>0.0</v>
      </c>
      <c r="E15" s="24">
        <v>0.0</v>
      </c>
      <c r="F15" s="24">
        <v>0.0</v>
      </c>
      <c r="G15" s="24">
        <f t="shared" si="1"/>
        <v>0</v>
      </c>
      <c r="H15" s="29">
        <f t="shared" si="2"/>
        <v>0</v>
      </c>
      <c r="I15" s="24">
        <f t="shared" si="3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7">
        <v>46280.0</v>
      </c>
      <c r="B16" s="20" t="s">
        <v>24</v>
      </c>
      <c r="C16" s="35">
        <v>0.0</v>
      </c>
      <c r="D16" s="24">
        <v>0.0</v>
      </c>
      <c r="E16" s="24">
        <v>0.0</v>
      </c>
      <c r="F16" s="24">
        <v>0.0</v>
      </c>
      <c r="G16" s="24">
        <f t="shared" si="1"/>
        <v>0</v>
      </c>
      <c r="H16" s="29">
        <f t="shared" si="2"/>
        <v>0</v>
      </c>
      <c r="I16" s="24">
        <f t="shared" si="3"/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7">
        <v>46281.0</v>
      </c>
      <c r="B17" s="20" t="s">
        <v>39</v>
      </c>
      <c r="C17" s="35">
        <v>0.0</v>
      </c>
      <c r="D17" s="43">
        <v>0.0</v>
      </c>
      <c r="E17" s="24">
        <v>500.0</v>
      </c>
      <c r="F17" s="24">
        <v>100.0</v>
      </c>
      <c r="G17" s="24">
        <f t="shared" si="1"/>
        <v>600</v>
      </c>
      <c r="H17" s="29">
        <f t="shared" si="2"/>
        <v>10.5</v>
      </c>
      <c r="I17" s="24">
        <f t="shared" si="3"/>
        <v>589.5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7">
        <v>46282.0</v>
      </c>
      <c r="B18" s="20" t="s">
        <v>42</v>
      </c>
      <c r="C18" s="35">
        <v>0.0</v>
      </c>
      <c r="D18" s="24">
        <v>0.0</v>
      </c>
      <c r="E18" s="24">
        <v>0.0</v>
      </c>
      <c r="F18" s="24">
        <v>0.0</v>
      </c>
      <c r="G18" s="24">
        <f t="shared" si="1"/>
        <v>0</v>
      </c>
      <c r="H18" s="29">
        <f t="shared" si="2"/>
        <v>0</v>
      </c>
      <c r="I18" s="24">
        <f t="shared" si="3"/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7">
        <v>46283.0</v>
      </c>
      <c r="B19" s="20" t="s">
        <v>47</v>
      </c>
      <c r="C19" s="35">
        <v>0.0</v>
      </c>
      <c r="D19" s="24">
        <v>0.0</v>
      </c>
      <c r="E19" s="24">
        <v>2200.0</v>
      </c>
      <c r="F19" s="24">
        <v>300.0</v>
      </c>
      <c r="G19" s="24">
        <f t="shared" si="1"/>
        <v>2500</v>
      </c>
      <c r="H19" s="29">
        <f t="shared" si="2"/>
        <v>43.75</v>
      </c>
      <c r="I19" s="24">
        <f t="shared" si="3"/>
        <v>2456.25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7">
        <v>46284.0</v>
      </c>
      <c r="B20" s="20" t="s">
        <v>50</v>
      </c>
      <c r="C20" s="35">
        <v>0.0</v>
      </c>
      <c r="D20" s="24">
        <v>0.0</v>
      </c>
      <c r="E20" s="24">
        <v>0.0</v>
      </c>
      <c r="F20" s="24">
        <v>0.0</v>
      </c>
      <c r="G20" s="24">
        <f t="shared" si="1"/>
        <v>0</v>
      </c>
      <c r="H20" s="29">
        <f t="shared" si="2"/>
        <v>0</v>
      </c>
      <c r="I20" s="24">
        <f t="shared" si="3"/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7">
        <v>46285.0</v>
      </c>
      <c r="B21" s="20" t="s">
        <v>55</v>
      </c>
      <c r="C21" s="35">
        <v>0.0</v>
      </c>
      <c r="D21" s="24">
        <v>0.0</v>
      </c>
      <c r="E21" s="24">
        <v>997.0</v>
      </c>
      <c r="F21" s="24">
        <v>0.0</v>
      </c>
      <c r="G21" s="24">
        <f t="shared" si="1"/>
        <v>997</v>
      </c>
      <c r="H21" s="29">
        <f t="shared" si="2"/>
        <v>17.4475</v>
      </c>
      <c r="I21" s="24">
        <f t="shared" si="3"/>
        <v>979.5525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7">
        <v>46286.0</v>
      </c>
      <c r="B22" s="20" t="s">
        <v>61</v>
      </c>
      <c r="C22" s="35">
        <v>0.0</v>
      </c>
      <c r="D22" s="24">
        <v>0.0</v>
      </c>
      <c r="E22" s="24">
        <v>0.0</v>
      </c>
      <c r="F22" s="24">
        <v>50.0</v>
      </c>
      <c r="G22" s="24">
        <f t="shared" si="1"/>
        <v>50</v>
      </c>
      <c r="H22" s="29">
        <f t="shared" si="2"/>
        <v>0.875</v>
      </c>
      <c r="I22" s="24">
        <f t="shared" si="3"/>
        <v>49.125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7">
        <v>46287.0</v>
      </c>
      <c r="B23" s="20" t="s">
        <v>24</v>
      </c>
      <c r="C23" s="35">
        <v>1.0</v>
      </c>
      <c r="D23" s="24">
        <v>698.0</v>
      </c>
      <c r="E23" s="24">
        <v>0.0</v>
      </c>
      <c r="F23" s="24">
        <v>200.0</v>
      </c>
      <c r="G23" s="24">
        <f t="shared" si="1"/>
        <v>898</v>
      </c>
      <c r="H23" s="29">
        <f t="shared" si="2"/>
        <v>15.715</v>
      </c>
      <c r="I23" s="24">
        <f t="shared" si="3"/>
        <v>882.285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7">
        <v>46288.0</v>
      </c>
      <c r="B24" s="20" t="s">
        <v>39</v>
      </c>
      <c r="C24" s="35">
        <v>0.0</v>
      </c>
      <c r="D24" s="24">
        <v>0.0</v>
      </c>
      <c r="E24" s="24">
        <v>400.0</v>
      </c>
      <c r="F24" s="24">
        <v>200.0</v>
      </c>
      <c r="G24" s="24">
        <f t="shared" si="1"/>
        <v>600</v>
      </c>
      <c r="H24" s="29">
        <f t="shared" si="2"/>
        <v>10.5</v>
      </c>
      <c r="I24" s="24">
        <f t="shared" si="3"/>
        <v>589.5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7">
        <v>46289.0</v>
      </c>
      <c r="B25" s="20" t="s">
        <v>42</v>
      </c>
      <c r="C25" s="35">
        <v>0.0</v>
      </c>
      <c r="D25" s="24">
        <v>0.0</v>
      </c>
      <c r="E25" s="24">
        <v>0.0</v>
      </c>
      <c r="F25" s="24">
        <v>100.0</v>
      </c>
      <c r="G25" s="24">
        <f t="shared" si="1"/>
        <v>100</v>
      </c>
      <c r="H25" s="29">
        <f t="shared" si="2"/>
        <v>1.75</v>
      </c>
      <c r="I25" s="24">
        <f t="shared" si="3"/>
        <v>98.25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7">
        <v>46290.0</v>
      </c>
      <c r="B26" s="20" t="s">
        <v>47</v>
      </c>
      <c r="C26" s="35">
        <v>0.5</v>
      </c>
      <c r="D26" s="24">
        <v>349.0</v>
      </c>
      <c r="E26" s="24">
        <v>400.0</v>
      </c>
      <c r="F26" s="24">
        <v>200.0</v>
      </c>
      <c r="G26" s="24">
        <f t="shared" si="1"/>
        <v>949</v>
      </c>
      <c r="H26" s="29">
        <f t="shared" si="2"/>
        <v>16.6075</v>
      </c>
      <c r="I26" s="24">
        <f t="shared" si="3"/>
        <v>932.3925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7">
        <v>46291.0</v>
      </c>
      <c r="B27" s="20" t="s">
        <v>50</v>
      </c>
      <c r="C27" s="35">
        <v>0.0</v>
      </c>
      <c r="D27" s="24">
        <v>0.0</v>
      </c>
      <c r="E27" s="24">
        <v>0.0</v>
      </c>
      <c r="F27" s="24">
        <v>0.0</v>
      </c>
      <c r="G27" s="24">
        <f t="shared" si="1"/>
        <v>0</v>
      </c>
      <c r="H27" s="29">
        <f t="shared" si="2"/>
        <v>0</v>
      </c>
      <c r="I27" s="24">
        <f t="shared" si="3"/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7">
        <v>46292.0</v>
      </c>
      <c r="B28" s="20" t="s">
        <v>55</v>
      </c>
      <c r="C28" s="35">
        <v>0.0</v>
      </c>
      <c r="D28" s="24">
        <v>0.0</v>
      </c>
      <c r="E28" s="24">
        <v>0.0</v>
      </c>
      <c r="F28" s="24">
        <v>350.0</v>
      </c>
      <c r="G28" s="24">
        <f t="shared" si="1"/>
        <v>350</v>
      </c>
      <c r="H28" s="29">
        <f t="shared" si="2"/>
        <v>6.125</v>
      </c>
      <c r="I28" s="24">
        <f t="shared" si="3"/>
        <v>343.875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7">
        <v>46293.0</v>
      </c>
      <c r="B29" s="20" t="s">
        <v>61</v>
      </c>
      <c r="C29" s="35">
        <v>0.0</v>
      </c>
      <c r="D29" s="24">
        <v>0.0</v>
      </c>
      <c r="E29" s="24">
        <v>0.0</v>
      </c>
      <c r="F29" s="24">
        <v>0.0</v>
      </c>
      <c r="G29" s="24">
        <f t="shared" si="1"/>
        <v>0</v>
      </c>
      <c r="H29" s="29">
        <f t="shared" si="2"/>
        <v>0</v>
      </c>
      <c r="I29" s="24">
        <f t="shared" si="3"/>
        <v>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7">
        <v>46294.0</v>
      </c>
      <c r="B30" s="20" t="s">
        <v>24</v>
      </c>
      <c r="C30" s="35">
        <v>0.0</v>
      </c>
      <c r="D30" s="24">
        <v>0.0</v>
      </c>
      <c r="E30" s="24">
        <v>0.0</v>
      </c>
      <c r="F30" s="24">
        <v>150.0</v>
      </c>
      <c r="G30" s="24">
        <f t="shared" si="1"/>
        <v>150</v>
      </c>
      <c r="H30" s="29">
        <f t="shared" si="2"/>
        <v>2.625</v>
      </c>
      <c r="I30" s="24">
        <f t="shared" si="3"/>
        <v>147.375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7">
        <v>46295.0</v>
      </c>
      <c r="B31" s="20" t="s">
        <v>39</v>
      </c>
      <c r="C31" s="22">
        <v>0.0</v>
      </c>
      <c r="D31" s="56">
        <v>0.0</v>
      </c>
      <c r="E31" s="56">
        <v>0.0</v>
      </c>
      <c r="F31" s="56">
        <v>0.0</v>
      </c>
      <c r="G31" s="24">
        <f t="shared" si="1"/>
        <v>0</v>
      </c>
      <c r="H31" s="29">
        <f t="shared" si="2"/>
        <v>0</v>
      </c>
      <c r="I31" s="24">
        <f t="shared" si="3"/>
        <v>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57" t="s">
        <v>51</v>
      </c>
      <c r="B32" s="58"/>
      <c r="C32" s="47"/>
      <c r="D32" s="47">
        <f t="shared" ref="D32:H32" si="4">SUM(D2:D31)</f>
        <v>3490</v>
      </c>
      <c r="E32" s="47">
        <f t="shared" si="4"/>
        <v>4897</v>
      </c>
      <c r="F32" s="47">
        <f t="shared" si="4"/>
        <v>3200</v>
      </c>
      <c r="G32" s="47">
        <f t="shared" si="4"/>
        <v>11587</v>
      </c>
      <c r="H32" s="47">
        <f t="shared" si="4"/>
        <v>202.7725</v>
      </c>
      <c r="I32" s="47">
        <f>SUM(I1:I31)</f>
        <v>11384.2275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6" t="s">
        <v>3</v>
      </c>
      <c r="B1" s="19" t="s">
        <v>0</v>
      </c>
      <c r="C1" s="19" t="s">
        <v>25</v>
      </c>
      <c r="D1" s="19" t="s">
        <v>26</v>
      </c>
      <c r="E1" s="23" t="s">
        <v>27</v>
      </c>
      <c r="F1" s="19" t="s">
        <v>19</v>
      </c>
      <c r="G1" s="19" t="s">
        <v>29</v>
      </c>
      <c r="H1" s="19" t="s">
        <v>31</v>
      </c>
      <c r="I1" s="19" t="s">
        <v>32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5"/>
      <c r="B2" s="31" t="s">
        <v>1</v>
      </c>
      <c r="C2" s="32">
        <v>23148.0</v>
      </c>
      <c r="D2" s="32">
        <v>1402.0</v>
      </c>
      <c r="E2" s="33">
        <v>252.0</v>
      </c>
      <c r="F2" s="36">
        <f>C2-D2-E2</f>
        <v>21494</v>
      </c>
      <c r="G2" s="32">
        <v>94.0</v>
      </c>
      <c r="H2" s="32">
        <v>19.0</v>
      </c>
      <c r="I2" s="32">
        <f>F2-G2-H2</f>
        <v>21381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0" t="s">
        <v>51</v>
      </c>
      <c r="B3" s="40"/>
      <c r="C3" s="42">
        <f t="shared" ref="C3:F3" si="1">SUM(C2)</f>
        <v>23148</v>
      </c>
      <c r="D3" s="42">
        <f t="shared" si="1"/>
        <v>1402</v>
      </c>
      <c r="E3" s="42">
        <f t="shared" si="1"/>
        <v>252</v>
      </c>
      <c r="F3" s="44">
        <f t="shared" si="1"/>
        <v>21494</v>
      </c>
      <c r="G3" s="46"/>
      <c r="H3" s="46"/>
      <c r="I3" s="42">
        <f>SUM(I2)</f>
        <v>21381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7.38"/>
    <col customWidth="1" min="5" max="5" width="15.25"/>
  </cols>
  <sheetData>
    <row r="1">
      <c r="A1" s="9" t="s">
        <v>5</v>
      </c>
      <c r="B1" s="9" t="s">
        <v>14</v>
      </c>
      <c r="C1" s="9" t="s">
        <v>15</v>
      </c>
      <c r="D1" s="9" t="s">
        <v>17</v>
      </c>
      <c r="E1" s="9" t="s">
        <v>18</v>
      </c>
    </row>
    <row r="2">
      <c r="A2" s="13" t="s">
        <v>20</v>
      </c>
      <c r="B2" s="12" t="s">
        <v>21</v>
      </c>
      <c r="C2" s="14" t="s">
        <v>22</v>
      </c>
      <c r="D2" s="15" t="s">
        <v>23</v>
      </c>
      <c r="E2" s="18">
        <v>18000.0</v>
      </c>
    </row>
  </sheetData>
  <drawing r:id="rId1"/>
</worksheet>
</file>