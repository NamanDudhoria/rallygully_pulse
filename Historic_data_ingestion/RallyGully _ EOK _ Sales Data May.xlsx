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Hudle" sheetId="4" r:id="rId8"/>
    <sheet state="visible" name="Courtly" sheetId="5" r:id="rId9"/>
    <sheet state="visible" name="Academy" sheetId="6" r:id="rId10"/>
  </sheets>
  <definedNames/>
  <calcPr/>
</workbook>
</file>

<file path=xl/sharedStrings.xml><?xml version="1.0" encoding="utf-8"?>
<sst xmlns="http://schemas.openxmlformats.org/spreadsheetml/2006/main" count="156" uniqueCount="78">
  <si>
    <t>Date</t>
  </si>
  <si>
    <t>1 - 31 May</t>
  </si>
  <si>
    <t>Day</t>
  </si>
  <si>
    <t>Link</t>
  </si>
  <si>
    <t>Offline booking hours</t>
  </si>
  <si>
    <t>Discount Given</t>
  </si>
  <si>
    <t>Booking Revenue</t>
  </si>
  <si>
    <t>Community Revenue</t>
  </si>
  <si>
    <t xml:space="preserve">Paddle Rental </t>
  </si>
  <si>
    <t>Particulars</t>
  </si>
  <si>
    <t>F&amp;B</t>
  </si>
  <si>
    <t>Total Revenue</t>
  </si>
  <si>
    <t>Payment Gateway</t>
  </si>
  <si>
    <t>Amount</t>
  </si>
  <si>
    <t>Net Revenue</t>
  </si>
  <si>
    <t>Pickleball</t>
  </si>
  <si>
    <t>Friday</t>
  </si>
  <si>
    <t>Pay &amp; Play</t>
  </si>
  <si>
    <t>0 and 10%</t>
  </si>
  <si>
    <t xml:space="preserve">Online </t>
  </si>
  <si>
    <t>District</t>
  </si>
  <si>
    <t>Saturday</t>
  </si>
  <si>
    <t>Paid to Hudle</t>
  </si>
  <si>
    <t>Paid to District</t>
  </si>
  <si>
    <t>Commisions (Including GST)</t>
  </si>
  <si>
    <t>Commissions (₹)</t>
  </si>
  <si>
    <t>Hudle</t>
  </si>
  <si>
    <t>TDS</t>
  </si>
  <si>
    <t>TCS</t>
  </si>
  <si>
    <t>GST on Commission</t>
  </si>
  <si>
    <t>Playo</t>
  </si>
  <si>
    <t>Khelomore</t>
  </si>
  <si>
    <t>Final Amount (₹)</t>
  </si>
  <si>
    <t>Zplys</t>
  </si>
  <si>
    <t>Sunday</t>
  </si>
  <si>
    <t>Offline</t>
  </si>
  <si>
    <t>Monday</t>
  </si>
  <si>
    <t>Tuesday</t>
  </si>
  <si>
    <t>Bookings</t>
  </si>
  <si>
    <t>Memberships</t>
  </si>
  <si>
    <t>Community</t>
  </si>
  <si>
    <t>Wednesday</t>
  </si>
  <si>
    <t>Total</t>
  </si>
  <si>
    <t>Pickup games</t>
  </si>
  <si>
    <t>Thursday</t>
  </si>
  <si>
    <t>Social Events/Tournaments</t>
  </si>
  <si>
    <t>Academy</t>
  </si>
  <si>
    <t>Events &amp; Partnership</t>
  </si>
  <si>
    <t>Corporate events</t>
  </si>
  <si>
    <t>All B2B partnerships</t>
  </si>
  <si>
    <t>Commerce</t>
  </si>
  <si>
    <t>Product rental</t>
  </si>
  <si>
    <t>Product sales</t>
  </si>
  <si>
    <t>Other Income</t>
  </si>
  <si>
    <t>Total Gross Revenue</t>
  </si>
  <si>
    <t>Total Net Revenue (Post Commissions)</t>
  </si>
  <si>
    <t>Total Revenue post GST</t>
  </si>
  <si>
    <t>Expenses</t>
  </si>
  <si>
    <t>Venue Manager + Cleaner</t>
  </si>
  <si>
    <t>Marketing, Branding &amp; Community</t>
  </si>
  <si>
    <t>Balls Expense</t>
  </si>
  <si>
    <t>Branding Revamp</t>
  </si>
  <si>
    <t>F&amp;B Inventory Cost</t>
  </si>
  <si>
    <t>Total Expenses</t>
  </si>
  <si>
    <t>Net Profit (Revenue - Expenses)</t>
  </si>
  <si>
    <t>School's Profit Share (65%)</t>
  </si>
  <si>
    <t>RallyGully's Profit Share (35%)</t>
  </si>
  <si>
    <t>Paid to Courtly</t>
  </si>
  <si>
    <t xml:space="preserve">Post Comission </t>
  </si>
  <si>
    <t xml:space="preserve">TDS </t>
  </si>
  <si>
    <t>Sports</t>
  </si>
  <si>
    <t>Month</t>
  </si>
  <si>
    <t>Amt</t>
  </si>
  <si>
    <t>Number of People</t>
  </si>
  <si>
    <t>May</t>
  </si>
  <si>
    <t>16,17 and 23 May</t>
  </si>
  <si>
    <t>8 Kids</t>
  </si>
  <si>
    <t>Offine DUPR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</si>
</sst>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₹]#,##0"/>
    <numFmt numFmtId="165" formatCode="d mmmm"/>
    <numFmt numFmtId="166" formatCode="[&gt;9999999][$₹]##\,##\,##\,##0;[&gt;99999][$₹]##\,##\,##0;[$₹]##,##0"/>
    <numFmt numFmtId="167" formatCode="[$₹]#,##0.00"/>
    <numFmt numFmtId="168" formatCode="[$₹]#,##0.0"/>
    <numFmt numFmtId="169" formatCode="d mmm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1155CC"/>
      <name val="Arial"/>
    </font>
    <font>
      <b/>
      <sz val="11.0"/>
      <color theme="1"/>
      <name val="Calibri"/>
    </font>
    <font>
      <color theme="1"/>
      <name val="Arial"/>
      <scheme val="minor"/>
    </font>
    <font>
      <b/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164" xfId="0" applyAlignment="1" applyBorder="1" applyFill="1" applyFont="1" applyNumberFormat="1">
      <alignment horizontal="center" vertical="bottom"/>
    </xf>
    <xf borderId="2" fillId="2" fontId="2" numFmtId="0" xfId="0" applyAlignment="1" applyBorder="1" applyFill="1" applyFont="1">
      <alignment horizontal="center" readingOrder="0" vertical="bottom"/>
    </xf>
    <xf borderId="1" fillId="2" fontId="2" numFmtId="3" xfId="0" applyAlignment="1" applyBorder="1" applyFill="1" applyFont="1" applyNumberFormat="1">
      <alignment horizontal="center" vertical="bottom"/>
    </xf>
    <xf borderId="3" fillId="0" fontId="3" numFmtId="0" xfId="0" applyBorder="1" applyFont="1"/>
    <xf borderId="1" fillId="0" fontId="2" numFmtId="0" xfId="0" applyAlignment="1" applyBorder="1" applyFont="1">
      <alignment horizontal="center" vertical="bottom"/>
    </xf>
    <xf borderId="1" fillId="2" fontId="2" numFmtId="164" xfId="0" applyAlignment="1" applyBorder="1" applyFill="1" applyFont="1" applyNumberFormat="1">
      <alignment horizontal="center" readingOrder="0" vertical="bottom"/>
    </xf>
    <xf borderId="0" fillId="0" fontId="4" numFmtId="0" xfId="0" applyAlignment="1" applyFont="1">
      <alignment vertical="bottom"/>
    </xf>
    <xf borderId="1" fillId="2" fontId="2" numFmtId="0" xfId="0" applyAlignment="1" applyBorder="1" applyFill="1" applyFont="1">
      <alignment vertical="bottom"/>
    </xf>
    <xf borderId="1" fillId="2" fontId="4" numFmtId="0" xfId="0" applyAlignment="1" applyBorder="1" applyFill="1" applyFont="1">
      <alignment vertical="bottom"/>
    </xf>
    <xf borderId="1" fillId="3" fontId="4" numFmtId="165" xfId="0" applyAlignment="1" applyBorder="1" applyFill="1" applyFont="1" applyNumberFormat="1">
      <alignment horizontal="right" vertical="bottom"/>
    </xf>
    <xf borderId="1" fillId="2" fontId="2" numFmtId="166" xfId="0" applyAlignment="1" applyBorder="1" applyFill="1" applyFont="1" applyNumberFormat="1">
      <alignment horizontal="center" vertical="bottom"/>
    </xf>
    <xf borderId="1" fillId="3" fontId="4" numFmtId="164" xfId="0" applyAlignment="1" applyBorder="1" applyFill="1" applyFont="1" applyNumberFormat="1">
      <alignment vertical="bottom"/>
    </xf>
    <xf borderId="1" fillId="0" fontId="2" numFmtId="0" xfId="0" applyAlignment="1" applyBorder="1" applyFont="1">
      <alignment vertical="bottom"/>
    </xf>
    <xf borderId="1" fillId="3" fontId="4" numFmtId="3" xfId="0" applyAlignment="1" applyBorder="1" applyFill="1" applyFont="1" applyNumberFormat="1">
      <alignment horizontal="right" readingOrder="0" vertical="bottom"/>
    </xf>
    <xf borderId="1" fillId="0" fontId="4" numFmtId="164" xfId="0" applyAlignment="1" applyBorder="1" applyFont="1" applyNumberFormat="1">
      <alignment horizontal="right" vertical="bottom"/>
    </xf>
    <xf borderId="1" fillId="0" fontId="4" numFmtId="164" xfId="0" applyAlignment="1" applyBorder="1" applyFont="1" applyNumberFormat="1">
      <alignment horizontal="right" readingOrder="0" vertical="bottom"/>
    </xf>
    <xf borderId="1" fillId="0" fontId="2" numFmtId="166" xfId="0" applyAlignment="1" applyBorder="1" applyFont="1" applyNumberFormat="1">
      <alignment horizontal="right" vertical="bottom"/>
    </xf>
    <xf borderId="1" fillId="2" fontId="5" numFmtId="167" xfId="0" applyAlignment="1" applyBorder="1" applyFill="1" applyFont="1" applyNumberFormat="1">
      <alignment horizontal="center" vertical="bottom"/>
    </xf>
    <xf borderId="1" fillId="0" fontId="4" numFmtId="0" xfId="0" applyAlignment="1" applyBorder="1" applyFont="1">
      <alignment vertical="bottom"/>
    </xf>
    <xf borderId="1" fillId="0" fontId="4" numFmtId="166" xfId="0" applyAlignment="1" applyBorder="1" applyFont="1" applyNumberFormat="1">
      <alignment vertical="bottom"/>
    </xf>
    <xf borderId="0" fillId="2" fontId="6" numFmtId="164" xfId="0" applyAlignment="1" applyFill="1" applyFont="1" applyNumberFormat="1">
      <alignment vertical="bottom"/>
    </xf>
    <xf borderId="1" fillId="0" fontId="4" numFmtId="164" xfId="0" applyAlignment="1" applyBorder="1" applyFont="1" applyNumberFormat="1">
      <alignment horizontal="right" vertical="bottom"/>
    </xf>
    <xf borderId="1" fillId="0" fontId="4" numFmtId="166" xfId="0" applyAlignment="1" applyBorder="1" applyFont="1" applyNumberFormat="1">
      <alignment readingOrder="0" vertical="bottom"/>
    </xf>
    <xf borderId="0" fillId="2" fontId="2" numFmtId="164" xfId="0" applyAlignment="1" applyFill="1" applyFont="1" applyNumberFormat="1">
      <alignment horizontal="center" vertical="bottom"/>
    </xf>
    <xf borderId="1" fillId="0" fontId="4" numFmtId="0" xfId="0" applyAlignment="1" applyBorder="1" applyFont="1">
      <alignment vertical="bottom"/>
    </xf>
    <xf borderId="1" fillId="0" fontId="4" numFmtId="166" xfId="0" applyAlignment="1" applyBorder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4" numFmtId="3" xfId="0" applyAlignment="1" applyBorder="1" applyFont="1" applyNumberFormat="1">
      <alignment horizontal="right" readingOrder="0" vertical="bottom"/>
    </xf>
    <xf borderId="0" fillId="0" fontId="4" numFmtId="164" xfId="0" applyAlignment="1" applyFont="1" applyNumberFormat="1">
      <alignment vertical="bottom"/>
    </xf>
    <xf borderId="1" fillId="0" fontId="4" numFmtId="167" xfId="0" applyAlignment="1" applyBorder="1" applyFont="1" applyNumberFormat="1">
      <alignment vertical="bottom"/>
    </xf>
    <xf borderId="0" fillId="0" fontId="7" numFmtId="166" xfId="0" applyFont="1" applyNumberFormat="1"/>
    <xf borderId="1" fillId="0" fontId="4" numFmtId="166" xfId="0" applyAlignment="1" applyBorder="1" applyFont="1" applyNumberFormat="1">
      <alignment horizontal="right" vertical="bottom"/>
    </xf>
    <xf borderId="0" fillId="0" fontId="4" numFmtId="166" xfId="0" applyAlignment="1" applyFont="1" applyNumberFormat="1">
      <alignment vertical="bottom"/>
    </xf>
    <xf borderId="0" fillId="0" fontId="4" numFmtId="164" xfId="0" applyAlignment="1" applyFont="1" applyNumberFormat="1">
      <alignment horizontal="right" readingOrder="0" vertical="bottom"/>
    </xf>
    <xf borderId="1" fillId="2" fontId="2" numFmtId="166" xfId="0" applyAlignment="1" applyBorder="1" applyFill="1" applyFont="1" applyNumberFormat="1">
      <alignment vertical="bottom"/>
    </xf>
    <xf borderId="1" fillId="2" fontId="2" numFmtId="166" xfId="0" applyAlignment="1" applyBorder="1" applyFill="1" applyFont="1" applyNumberFormat="1">
      <alignment horizontal="right" vertical="bottom"/>
    </xf>
    <xf borderId="1" fillId="2" fontId="4" numFmtId="166" xfId="0" applyAlignment="1" applyBorder="1" applyFill="1" applyFont="1" applyNumberFormat="1">
      <alignment vertical="bottom"/>
    </xf>
    <xf borderId="1" fillId="0" fontId="4" numFmtId="164" xfId="0" applyAlignment="1" applyBorder="1" applyFont="1" applyNumberFormat="1">
      <alignment vertical="bottom"/>
    </xf>
    <xf borderId="1" fillId="2" fontId="2" numFmtId="164" xfId="0" applyAlignment="1" applyBorder="1" applyFill="1" applyFont="1" applyNumberFormat="1">
      <alignment vertical="bottom"/>
    </xf>
    <xf borderId="1" fillId="2" fontId="2" numFmtId="164" xfId="0" applyAlignment="1" applyBorder="1" applyFill="1" applyFont="1" applyNumberFormat="1">
      <alignment horizontal="right" vertical="bottom"/>
    </xf>
    <xf borderId="1" fillId="2" fontId="4" numFmtId="164" xfId="0" applyAlignment="1" applyBorder="1" applyFill="1" applyFont="1" applyNumberFormat="1">
      <alignment vertical="bottom"/>
    </xf>
    <xf borderId="0" fillId="0" fontId="4" numFmtId="168" xfId="0" applyAlignment="1" applyFont="1" applyNumberFormat="1">
      <alignment horizontal="right" readingOrder="0" vertical="bottom"/>
    </xf>
    <xf borderId="1" fillId="0" fontId="4" numFmtId="0" xfId="0" applyAlignment="1" applyBorder="1" applyFont="1">
      <alignment shrinkToFit="0" vertical="bottom" wrapText="1"/>
    </xf>
    <xf borderId="1" fillId="0" fontId="2" numFmtId="167" xfId="0" applyAlignment="1" applyBorder="1" applyFont="1" applyNumberFormat="1">
      <alignment vertical="bottom"/>
    </xf>
    <xf borderId="1" fillId="0" fontId="4" numFmtId="0" xfId="0" applyAlignment="1" applyBorder="1" applyFont="1">
      <alignment readingOrder="0" vertical="bottom"/>
    </xf>
    <xf borderId="1" fillId="3" fontId="4" numFmtId="164" xfId="0" applyAlignment="1" applyBorder="1" applyFill="1" applyFont="1" applyNumberFormat="1">
      <alignment horizontal="right" readingOrder="0" vertical="bottom"/>
    </xf>
    <xf borderId="1" fillId="2" fontId="2" numFmtId="4" xfId="0" applyAlignment="1" applyBorder="1" applyFill="1" applyFont="1" applyNumberFormat="1">
      <alignment horizontal="right" vertical="bottom"/>
    </xf>
    <xf borderId="1" fillId="2" fontId="8" numFmtId="0" xfId="0" applyAlignment="1" applyBorder="1" applyFill="1" applyFon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167" xfId="0" applyAlignment="1" applyBorder="1" applyFill="1" applyFont="1" applyNumberFormat="1">
      <alignment horizontal="center" vertical="bottom"/>
    </xf>
    <xf borderId="1" fillId="2" fontId="2" numFmtId="168" xfId="0" applyAlignment="1" applyBorder="1" applyFill="1" applyFont="1" applyNumberFormat="1">
      <alignment vertical="bottom"/>
    </xf>
    <xf borderId="1" fillId="0" fontId="4" numFmtId="167" xfId="0" applyAlignment="1" applyBorder="1" applyFont="1" applyNumberFormat="1">
      <alignment horizontal="right" readingOrder="0" vertical="bottom"/>
    </xf>
    <xf borderId="1" fillId="0" fontId="4" numFmtId="0" xfId="0" applyAlignment="1" applyBorder="1" applyFont="1">
      <alignment horizontal="right" readingOrder="0" vertical="bottom"/>
    </xf>
    <xf borderId="1" fillId="0" fontId="4" numFmtId="167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horizontal="right" vertical="bottom"/>
    </xf>
    <xf borderId="1" fillId="2" fontId="2" numFmtId="0" xfId="0" applyAlignment="1" applyBorder="1" applyFill="1" applyFont="1">
      <alignment horizontal="right" vertical="bottom"/>
    </xf>
    <xf borderId="1" fillId="2" fontId="4" numFmtId="167" xfId="0" applyAlignment="1" applyBorder="1" applyFill="1" applyFont="1" applyNumberFormat="1">
      <alignment vertical="bottom"/>
    </xf>
    <xf borderId="1" fillId="2" fontId="2" numFmtId="0" xfId="0" applyAlignment="1" applyBorder="1" applyFill="1" applyFont="1">
      <alignment horizontal="center" readingOrder="0" vertical="bottom"/>
    </xf>
    <xf borderId="1" fillId="2" fontId="2" numFmtId="168" xfId="0" applyAlignment="1" applyBorder="1" applyFill="1" applyFont="1" applyNumberFormat="1">
      <alignment horizontal="center" vertical="bottom"/>
    </xf>
    <xf borderId="0" fillId="0" fontId="4" numFmtId="16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jxXkKP_xd_TbdEJ3ZZb2rn7lRYGMSsN670CuwINbHs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x_eNbvMgFN7CObWRv63Tn3k5DxAM_ekSMT0jQX6s52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XWJOlIp44TCRDCjyucAj-kwgR0-UBsuhBxZXJcu6bg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3" t="s">
        <v>1</v>
      </c>
      <c r="C2" s="5"/>
    </row>
    <row r="3">
      <c r="B3" s="6" t="s">
        <v>9</v>
      </c>
      <c r="C3" s="6" t="s">
        <v>13</v>
      </c>
      <c r="E3" s="8"/>
    </row>
    <row r="4">
      <c r="B4" s="10"/>
      <c r="C4" s="12" t="s">
        <v>15</v>
      </c>
      <c r="E4" s="8"/>
    </row>
    <row r="5">
      <c r="B5" s="14" t="s">
        <v>17</v>
      </c>
      <c r="C5" s="18">
        <f>sum(C6,C12)</f>
        <v>209404</v>
      </c>
      <c r="E5" s="8"/>
    </row>
    <row r="6">
      <c r="B6" s="14" t="s">
        <v>19</v>
      </c>
      <c r="C6" s="18">
        <f>sum(C7:C11)</f>
        <v>179124</v>
      </c>
      <c r="E6" s="8"/>
    </row>
    <row r="7" outlineLevel="1">
      <c r="B7" s="20" t="s">
        <v>20</v>
      </c>
      <c r="C7" s="21">
        <f>District!C4</f>
        <v>164897</v>
      </c>
      <c r="E7" s="8"/>
    </row>
    <row r="8" outlineLevel="1">
      <c r="B8" s="20" t="s">
        <v>26</v>
      </c>
      <c r="C8" s="21">
        <f>Hudle!C3</f>
        <v>14227</v>
      </c>
      <c r="E8" s="8"/>
    </row>
    <row r="9" outlineLevel="1">
      <c r="B9" s="20" t="s">
        <v>30</v>
      </c>
      <c r="C9" s="24">
        <v>0.0</v>
      </c>
      <c r="E9" s="8"/>
    </row>
    <row r="10" outlineLevel="1">
      <c r="B10" s="26" t="s">
        <v>31</v>
      </c>
      <c r="C10" s="24">
        <v>0.0</v>
      </c>
      <c r="E10" s="28"/>
    </row>
    <row r="11" outlineLevel="1">
      <c r="B11" s="20" t="s">
        <v>33</v>
      </c>
      <c r="C11" s="24">
        <v>0.0</v>
      </c>
      <c r="E11" s="28"/>
    </row>
    <row r="12">
      <c r="B12" s="29" t="s">
        <v>35</v>
      </c>
      <c r="C12" s="18">
        <f>sum(C13:C14)</f>
        <v>30280</v>
      </c>
      <c r="F12" s="33">
        <f>C13+C16+C23+C25</f>
        <v>102670</v>
      </c>
    </row>
    <row r="13" outlineLevel="1">
      <c r="B13" s="20" t="s">
        <v>38</v>
      </c>
      <c r="C13" s="21">
        <f>'Offline &amp; RG Community'!E33</f>
        <v>30280</v>
      </c>
    </row>
    <row r="14" outlineLevel="1">
      <c r="B14" s="32" t="s">
        <v>39</v>
      </c>
      <c r="C14" s="24">
        <v>0.0</v>
      </c>
      <c r="E14" s="8"/>
    </row>
    <row r="15">
      <c r="B15" s="29" t="s">
        <v>40</v>
      </c>
      <c r="C15" s="18">
        <f>sum(C16:C17)</f>
        <v>92550</v>
      </c>
      <c r="E15" s="8"/>
    </row>
    <row r="16" outlineLevel="1">
      <c r="B16" s="26" t="s">
        <v>43</v>
      </c>
      <c r="C16" s="21">
        <f>'Offline &amp; RG Community'!F33</f>
        <v>61500</v>
      </c>
      <c r="E16" s="8"/>
    </row>
    <row r="17" outlineLevel="1">
      <c r="B17" s="26" t="s">
        <v>45</v>
      </c>
      <c r="C17" s="24">
        <f>Courtly!B4+Courtly!B6</f>
        <v>31050</v>
      </c>
    </row>
    <row r="18">
      <c r="B18" s="29" t="s">
        <v>46</v>
      </c>
      <c r="C18" s="18">
        <f>Academy!C2</f>
        <v>38000</v>
      </c>
      <c r="E18" s="8"/>
    </row>
    <row r="19">
      <c r="B19" s="14" t="s">
        <v>47</v>
      </c>
      <c r="C19" s="18">
        <f>sum(C20,C21)</f>
        <v>0</v>
      </c>
    </row>
    <row r="20" outlineLevel="1">
      <c r="B20" s="20" t="s">
        <v>48</v>
      </c>
      <c r="C20" s="34">
        <v>0.0</v>
      </c>
    </row>
    <row r="21" outlineLevel="1">
      <c r="B21" s="26" t="s">
        <v>49</v>
      </c>
      <c r="C21" s="27">
        <v>0.0</v>
      </c>
    </row>
    <row r="22">
      <c r="B22" s="14" t="s">
        <v>50</v>
      </c>
      <c r="C22" s="18">
        <f>sum(C23:C25)</f>
        <v>10890</v>
      </c>
    </row>
    <row r="23" outlineLevel="1">
      <c r="B23" s="20" t="s">
        <v>51</v>
      </c>
      <c r="C23" s="34">
        <f>'Offline &amp; RG Community'!G33</f>
        <v>8500</v>
      </c>
    </row>
    <row r="24" outlineLevel="1">
      <c r="B24" s="20" t="s">
        <v>52</v>
      </c>
      <c r="C24" s="24">
        <v>0.0</v>
      </c>
    </row>
    <row r="25" outlineLevel="1">
      <c r="B25" s="20" t="s">
        <v>10</v>
      </c>
      <c r="C25" s="34">
        <f>'Offline &amp; RG Community'!H33</f>
        <v>2390</v>
      </c>
    </row>
    <row r="26">
      <c r="B26" s="14" t="s">
        <v>53</v>
      </c>
      <c r="C26" s="18">
        <v>0.0</v>
      </c>
    </row>
    <row r="27">
      <c r="B27" s="9" t="s">
        <v>54</v>
      </c>
      <c r="C27" s="38">
        <f>sum(C26+C22+C19+C18+C15+C12+C6)</f>
        <v>350844</v>
      </c>
    </row>
    <row r="28">
      <c r="B28" s="45" t="s">
        <v>55</v>
      </c>
      <c r="C28" s="46">
        <f>'Offline &amp; RG Community'!K33+District!F4+Hudle!E3+Courtly!D4+Courtly!D6+Academy!F2</f>
        <v>330445.8245</v>
      </c>
    </row>
    <row r="29">
      <c r="B29" s="14" t="s">
        <v>56</v>
      </c>
      <c r="C29" s="18">
        <f>C28/1.18</f>
        <v>280038.8343</v>
      </c>
    </row>
    <row r="30">
      <c r="B30" s="14" t="s">
        <v>57</v>
      </c>
      <c r="C30" s="21"/>
    </row>
    <row r="31">
      <c r="B31" s="20" t="s">
        <v>58</v>
      </c>
      <c r="C31" s="27">
        <v>60164.0</v>
      </c>
    </row>
    <row r="32">
      <c r="B32" s="20" t="s">
        <v>59</v>
      </c>
      <c r="C32" s="34">
        <v>15000.0</v>
      </c>
    </row>
    <row r="33">
      <c r="B33" s="20" t="s">
        <v>60</v>
      </c>
      <c r="C33" s="34">
        <v>9500.0</v>
      </c>
    </row>
    <row r="34">
      <c r="B34" s="47" t="s">
        <v>61</v>
      </c>
      <c r="C34" s="27">
        <v>12595.0</v>
      </c>
    </row>
    <row r="35">
      <c r="B35" s="47" t="s">
        <v>62</v>
      </c>
      <c r="C35" s="27">
        <v>3024.0</v>
      </c>
    </row>
    <row r="36">
      <c r="B36" s="14" t="s">
        <v>63</v>
      </c>
      <c r="C36" s="18">
        <f>C31+C32+C33+C34+C35</f>
        <v>100283</v>
      </c>
    </row>
    <row r="37">
      <c r="B37" s="14" t="s">
        <v>64</v>
      </c>
      <c r="C37" s="18">
        <f>C29-C36</f>
        <v>179755.8343</v>
      </c>
    </row>
    <row r="38">
      <c r="B38" s="20"/>
      <c r="C38" s="21"/>
    </row>
    <row r="39">
      <c r="B39" s="14" t="s">
        <v>65</v>
      </c>
      <c r="C39" s="18">
        <f>C37*65%</f>
        <v>116841.2923</v>
      </c>
    </row>
    <row r="40">
      <c r="B40" s="14" t="s">
        <v>66</v>
      </c>
      <c r="C40" s="18">
        <f>C37*35%</f>
        <v>62914.54201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3" width="18.25"/>
    <col customWidth="1" min="4" max="4" width="13.25"/>
    <col customWidth="1" min="5" max="5" width="15.13"/>
    <col customWidth="1" min="6" max="6" width="17.63"/>
    <col customWidth="1" min="8" max="8" width="6.13"/>
    <col customWidth="1" min="10" max="10" width="15.25"/>
  </cols>
  <sheetData>
    <row r="1">
      <c r="A1" s="2" t="s">
        <v>0</v>
      </c>
      <c r="B1" s="2" t="s">
        <v>2</v>
      </c>
      <c r="C1" s="4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10</v>
      </c>
      <c r="I1" s="2" t="s">
        <v>11</v>
      </c>
      <c r="J1" s="7" t="s">
        <v>12</v>
      </c>
      <c r="K1" s="9" t="s">
        <v>14</v>
      </c>
    </row>
    <row r="2">
      <c r="A2" s="11">
        <v>46143.0</v>
      </c>
      <c r="B2" s="13" t="s">
        <v>16</v>
      </c>
      <c r="C2" s="15">
        <v>1.0</v>
      </c>
      <c r="D2" s="16" t="s">
        <v>18</v>
      </c>
      <c r="E2" s="17">
        <v>1050.0</v>
      </c>
      <c r="F2" s="17">
        <v>2400.0</v>
      </c>
      <c r="G2" s="17">
        <v>600.0</v>
      </c>
      <c r="H2" s="17">
        <v>140.0</v>
      </c>
      <c r="I2" s="16">
        <f t="shared" ref="I2:I15" si="1">sum(E2:H2)</f>
        <v>4190</v>
      </c>
      <c r="J2" s="16">
        <f>I2*2.5%*1.18</f>
        <v>123.605</v>
      </c>
      <c r="K2" s="16">
        <f t="shared" ref="K2:K32" si="2">I2-J2</f>
        <v>4066.395</v>
      </c>
    </row>
    <row r="3">
      <c r="A3" s="11">
        <v>46144.0</v>
      </c>
      <c r="B3" s="13" t="s">
        <v>21</v>
      </c>
      <c r="C3" s="15">
        <v>1.0</v>
      </c>
      <c r="D3" s="16" t="s">
        <v>18</v>
      </c>
      <c r="E3" s="17">
        <v>1000.0</v>
      </c>
      <c r="F3" s="17">
        <v>2400.0</v>
      </c>
      <c r="G3" s="17">
        <v>950.0</v>
      </c>
      <c r="H3" s="17">
        <v>105.0</v>
      </c>
      <c r="I3" s="16">
        <f t="shared" si="1"/>
        <v>4455</v>
      </c>
      <c r="J3" s="23">
        <f t="shared" ref="J3:J32" si="3">I3*1.75%</f>
        <v>77.9625</v>
      </c>
      <c r="K3" s="16">
        <f t="shared" si="2"/>
        <v>4377.0375</v>
      </c>
    </row>
    <row r="4">
      <c r="A4" s="11">
        <v>46145.0</v>
      </c>
      <c r="B4" s="13" t="s">
        <v>34</v>
      </c>
      <c r="C4" s="30">
        <v>2.0</v>
      </c>
      <c r="D4" s="16" t="s">
        <v>18</v>
      </c>
      <c r="E4" s="17">
        <v>2000.0</v>
      </c>
      <c r="F4" s="17">
        <v>4800.0</v>
      </c>
      <c r="G4" s="17">
        <v>600.0</v>
      </c>
      <c r="H4" s="17">
        <v>140.0</v>
      </c>
      <c r="I4" s="16">
        <f t="shared" si="1"/>
        <v>7540</v>
      </c>
      <c r="J4" s="23">
        <f t="shared" si="3"/>
        <v>131.95</v>
      </c>
      <c r="K4" s="16">
        <f t="shared" si="2"/>
        <v>7408.05</v>
      </c>
    </row>
    <row r="5">
      <c r="A5" s="11">
        <v>46146.0</v>
      </c>
      <c r="B5" s="13" t="s">
        <v>36</v>
      </c>
      <c r="C5" s="30">
        <v>1.5</v>
      </c>
      <c r="D5" s="16" t="s">
        <v>18</v>
      </c>
      <c r="E5" s="17">
        <v>1400.0</v>
      </c>
      <c r="F5" s="17">
        <v>2400.0</v>
      </c>
      <c r="G5" s="17">
        <v>400.0</v>
      </c>
      <c r="H5" s="17">
        <v>315.0</v>
      </c>
      <c r="I5" s="16">
        <f t="shared" si="1"/>
        <v>4515</v>
      </c>
      <c r="J5" s="23">
        <f t="shared" si="3"/>
        <v>79.0125</v>
      </c>
      <c r="K5" s="16">
        <f t="shared" si="2"/>
        <v>4435.9875</v>
      </c>
    </row>
    <row r="6">
      <c r="A6" s="11">
        <v>46147.0</v>
      </c>
      <c r="B6" s="13" t="s">
        <v>37</v>
      </c>
      <c r="C6" s="30">
        <v>2.0</v>
      </c>
      <c r="D6" s="16" t="s">
        <v>18</v>
      </c>
      <c r="E6" s="17">
        <v>0.0</v>
      </c>
      <c r="F6" s="17">
        <v>3000.0</v>
      </c>
      <c r="G6" s="17">
        <v>300.0</v>
      </c>
      <c r="H6" s="17">
        <v>105.0</v>
      </c>
      <c r="I6" s="16">
        <f t="shared" si="1"/>
        <v>3405</v>
      </c>
      <c r="J6" s="23">
        <f t="shared" si="3"/>
        <v>59.5875</v>
      </c>
      <c r="K6" s="16">
        <f t="shared" si="2"/>
        <v>3345.4125</v>
      </c>
    </row>
    <row r="7">
      <c r="A7" s="11">
        <v>46148.0</v>
      </c>
      <c r="B7" s="13" t="s">
        <v>41</v>
      </c>
      <c r="C7" s="30">
        <v>4.5</v>
      </c>
      <c r="D7" s="16" t="s">
        <v>18</v>
      </c>
      <c r="E7" s="17">
        <v>7560.0</v>
      </c>
      <c r="F7" s="17">
        <v>0.0</v>
      </c>
      <c r="G7" s="36">
        <v>100.0</v>
      </c>
      <c r="H7" s="17">
        <v>0.0</v>
      </c>
      <c r="I7" s="16">
        <f t="shared" si="1"/>
        <v>7660</v>
      </c>
      <c r="J7" s="23">
        <f t="shared" si="3"/>
        <v>134.05</v>
      </c>
      <c r="K7" s="16">
        <f t="shared" si="2"/>
        <v>7525.95</v>
      </c>
    </row>
    <row r="8">
      <c r="A8" s="11">
        <v>46149.0</v>
      </c>
      <c r="B8" s="13" t="s">
        <v>44</v>
      </c>
      <c r="C8" s="30">
        <v>4.0</v>
      </c>
      <c r="D8" s="16" t="s">
        <v>18</v>
      </c>
      <c r="E8" s="17">
        <v>3700.0</v>
      </c>
      <c r="F8" s="17">
        <v>3900.0</v>
      </c>
      <c r="G8" s="17">
        <v>100.0</v>
      </c>
      <c r="H8" s="17">
        <v>0.0</v>
      </c>
      <c r="I8" s="16">
        <f t="shared" si="1"/>
        <v>7700</v>
      </c>
      <c r="J8" s="23">
        <f t="shared" si="3"/>
        <v>134.75</v>
      </c>
      <c r="K8" s="16">
        <f t="shared" si="2"/>
        <v>7565.25</v>
      </c>
    </row>
    <row r="9">
      <c r="A9" s="11">
        <v>46150.0</v>
      </c>
      <c r="B9" s="13" t="s">
        <v>16</v>
      </c>
      <c r="C9" s="30">
        <v>1.0</v>
      </c>
      <c r="D9" s="16" t="s">
        <v>18</v>
      </c>
      <c r="E9" s="17">
        <v>1050.0</v>
      </c>
      <c r="F9" s="17">
        <v>3000.0</v>
      </c>
      <c r="G9" s="36">
        <v>300.0</v>
      </c>
      <c r="H9" s="17">
        <v>0.0</v>
      </c>
      <c r="I9" s="16">
        <f t="shared" si="1"/>
        <v>4350</v>
      </c>
      <c r="J9" s="23">
        <f t="shared" si="3"/>
        <v>76.125</v>
      </c>
      <c r="K9" s="16">
        <f t="shared" si="2"/>
        <v>4273.875</v>
      </c>
    </row>
    <row r="10">
      <c r="A10" s="11">
        <v>46151.0</v>
      </c>
      <c r="B10" s="13" t="s">
        <v>21</v>
      </c>
      <c r="C10" s="30">
        <v>0.5</v>
      </c>
      <c r="D10" s="16" t="s">
        <v>18</v>
      </c>
      <c r="E10" s="17">
        <v>500.0</v>
      </c>
      <c r="F10" s="17">
        <v>0.0</v>
      </c>
      <c r="G10" s="17">
        <v>350.0</v>
      </c>
      <c r="H10" s="17">
        <v>0.0</v>
      </c>
      <c r="I10" s="16">
        <f t="shared" si="1"/>
        <v>850</v>
      </c>
      <c r="J10" s="23">
        <f t="shared" si="3"/>
        <v>14.875</v>
      </c>
      <c r="K10" s="16">
        <f t="shared" si="2"/>
        <v>835.125</v>
      </c>
    </row>
    <row r="11">
      <c r="A11" s="11">
        <v>46152.0</v>
      </c>
      <c r="B11" s="13" t="s">
        <v>34</v>
      </c>
      <c r="C11" s="30">
        <v>1.0</v>
      </c>
      <c r="D11" s="16" t="s">
        <v>18</v>
      </c>
      <c r="E11" s="17">
        <v>1000.0</v>
      </c>
      <c r="F11" s="17">
        <v>600.0</v>
      </c>
      <c r="G11" s="17">
        <v>0.0</v>
      </c>
      <c r="H11" s="17">
        <v>0.0</v>
      </c>
      <c r="I11" s="16">
        <f t="shared" si="1"/>
        <v>1600</v>
      </c>
      <c r="J11" s="23">
        <f t="shared" si="3"/>
        <v>28</v>
      </c>
      <c r="K11" s="16">
        <f t="shared" si="2"/>
        <v>1572</v>
      </c>
    </row>
    <row r="12">
      <c r="A12" s="11">
        <v>46153.0</v>
      </c>
      <c r="B12" s="13" t="s">
        <v>36</v>
      </c>
      <c r="C12" s="30">
        <v>3.0</v>
      </c>
      <c r="D12" s="16" t="s">
        <v>18</v>
      </c>
      <c r="E12" s="17">
        <v>0.0</v>
      </c>
      <c r="F12" s="17">
        <v>4200.0</v>
      </c>
      <c r="G12" s="17">
        <v>600.0</v>
      </c>
      <c r="H12" s="17">
        <v>0.0</v>
      </c>
      <c r="I12" s="16">
        <f t="shared" si="1"/>
        <v>4800</v>
      </c>
      <c r="J12" s="23">
        <f t="shared" si="3"/>
        <v>84</v>
      </c>
      <c r="K12" s="16">
        <f t="shared" si="2"/>
        <v>4716</v>
      </c>
    </row>
    <row r="13">
      <c r="A13" s="11">
        <v>46154.0</v>
      </c>
      <c r="B13" s="13" t="s">
        <v>37</v>
      </c>
      <c r="C13" s="30">
        <v>3.0</v>
      </c>
      <c r="D13" s="16" t="s">
        <v>18</v>
      </c>
      <c r="E13" s="17">
        <v>0.0</v>
      </c>
      <c r="F13" s="17">
        <v>4200.0</v>
      </c>
      <c r="G13" s="17">
        <v>0.0</v>
      </c>
      <c r="H13" s="17">
        <v>140.0</v>
      </c>
      <c r="I13" s="16">
        <f t="shared" si="1"/>
        <v>4340</v>
      </c>
      <c r="J13" s="23">
        <f t="shared" si="3"/>
        <v>75.95</v>
      </c>
      <c r="K13" s="16">
        <f t="shared" si="2"/>
        <v>4264.05</v>
      </c>
    </row>
    <row r="14">
      <c r="A14" s="11">
        <v>46155.0</v>
      </c>
      <c r="B14" s="13" t="s">
        <v>41</v>
      </c>
      <c r="C14" s="30">
        <v>0.0</v>
      </c>
      <c r="D14" s="16" t="s">
        <v>18</v>
      </c>
      <c r="E14" s="17">
        <v>0.0</v>
      </c>
      <c r="F14" s="17">
        <v>0.0</v>
      </c>
      <c r="G14" s="17">
        <v>0.0</v>
      </c>
      <c r="H14" s="17">
        <v>0.0</v>
      </c>
      <c r="I14" s="16">
        <f t="shared" si="1"/>
        <v>0</v>
      </c>
      <c r="J14" s="23">
        <f t="shared" si="3"/>
        <v>0</v>
      </c>
      <c r="K14" s="16">
        <f t="shared" si="2"/>
        <v>0</v>
      </c>
    </row>
    <row r="15">
      <c r="A15" s="11">
        <v>46156.0</v>
      </c>
      <c r="B15" s="13" t="s">
        <v>44</v>
      </c>
      <c r="C15" s="30">
        <v>2.0</v>
      </c>
      <c r="D15" s="16" t="s">
        <v>18</v>
      </c>
      <c r="E15" s="17">
        <v>0.0</v>
      </c>
      <c r="F15" s="17">
        <v>3000.0</v>
      </c>
      <c r="G15" s="17">
        <v>400.0</v>
      </c>
      <c r="H15" s="17">
        <v>140.0</v>
      </c>
      <c r="I15" s="16">
        <f t="shared" si="1"/>
        <v>3540</v>
      </c>
      <c r="J15" s="23">
        <f t="shared" si="3"/>
        <v>61.95</v>
      </c>
      <c r="K15" s="16">
        <f t="shared" si="2"/>
        <v>3478.05</v>
      </c>
    </row>
    <row r="16">
      <c r="A16" s="11">
        <v>46157.0</v>
      </c>
      <c r="B16" s="13" t="s">
        <v>16</v>
      </c>
      <c r="C16" s="30">
        <v>2.0</v>
      </c>
      <c r="D16" s="16" t="s">
        <v>18</v>
      </c>
      <c r="E16" s="17">
        <v>1200.0</v>
      </c>
      <c r="F16" s="17">
        <v>1200.0</v>
      </c>
      <c r="G16" s="17">
        <v>0.0</v>
      </c>
      <c r="H16" s="17">
        <v>0.0</v>
      </c>
      <c r="I16" s="16">
        <f>SUM(E16:H16)</f>
        <v>2400</v>
      </c>
      <c r="J16" s="23">
        <f t="shared" si="3"/>
        <v>42</v>
      </c>
      <c r="K16" s="16">
        <f t="shared" si="2"/>
        <v>2358</v>
      </c>
    </row>
    <row r="17">
      <c r="A17" s="11">
        <v>46158.0</v>
      </c>
      <c r="B17" s="13" t="s">
        <v>21</v>
      </c>
      <c r="C17" s="30">
        <v>1.5</v>
      </c>
      <c r="D17" s="16" t="s">
        <v>18</v>
      </c>
      <c r="E17" s="44">
        <v>1620.0</v>
      </c>
      <c r="F17" s="17">
        <v>0.0</v>
      </c>
      <c r="G17" s="17">
        <v>300.0</v>
      </c>
      <c r="H17" s="17">
        <v>175.0</v>
      </c>
      <c r="I17" s="16">
        <f>SUM(F17:H17)</f>
        <v>475</v>
      </c>
      <c r="J17" s="23">
        <f t="shared" si="3"/>
        <v>8.3125</v>
      </c>
      <c r="K17" s="16">
        <f t="shared" si="2"/>
        <v>466.6875</v>
      </c>
    </row>
    <row r="18">
      <c r="A18" s="11">
        <v>46159.0</v>
      </c>
      <c r="B18" s="13" t="s">
        <v>34</v>
      </c>
      <c r="C18" s="30">
        <v>0.5</v>
      </c>
      <c r="D18" s="16" t="s">
        <v>18</v>
      </c>
      <c r="E18" s="17">
        <v>600.0</v>
      </c>
      <c r="F18" s="17">
        <v>0.0</v>
      </c>
      <c r="G18" s="17">
        <v>900.0</v>
      </c>
      <c r="H18" s="17">
        <v>0.0</v>
      </c>
      <c r="I18" s="16">
        <f t="shared" ref="I18:I21" si="4">SUM(E18:H18)</f>
        <v>1500</v>
      </c>
      <c r="J18" s="23">
        <f t="shared" si="3"/>
        <v>26.25</v>
      </c>
      <c r="K18" s="16">
        <f t="shared" si="2"/>
        <v>1473.75</v>
      </c>
    </row>
    <row r="19">
      <c r="A19" s="11">
        <v>46160.0</v>
      </c>
      <c r="B19" s="13" t="s">
        <v>36</v>
      </c>
      <c r="C19" s="30">
        <v>3.0</v>
      </c>
      <c r="D19" s="16" t="s">
        <v>18</v>
      </c>
      <c r="E19" s="17">
        <v>900.0</v>
      </c>
      <c r="F19" s="17">
        <v>3600.0</v>
      </c>
      <c r="G19" s="17">
        <v>100.0</v>
      </c>
      <c r="H19" s="17">
        <v>315.0</v>
      </c>
      <c r="I19" s="16">
        <f t="shared" si="4"/>
        <v>4915</v>
      </c>
      <c r="J19" s="23">
        <f t="shared" si="3"/>
        <v>86.0125</v>
      </c>
      <c r="K19" s="16">
        <f t="shared" si="2"/>
        <v>4828.9875</v>
      </c>
    </row>
    <row r="20">
      <c r="A20" s="11">
        <v>46161.0</v>
      </c>
      <c r="B20" s="13" t="s">
        <v>37</v>
      </c>
      <c r="C20" s="30">
        <v>2.0</v>
      </c>
      <c r="D20" s="16" t="s">
        <v>18</v>
      </c>
      <c r="E20" s="17">
        <v>0.0</v>
      </c>
      <c r="F20" s="17">
        <v>3300.0</v>
      </c>
      <c r="G20" s="17">
        <v>400.0</v>
      </c>
      <c r="H20" s="17">
        <v>115.0</v>
      </c>
      <c r="I20" s="16">
        <f t="shared" si="4"/>
        <v>3815</v>
      </c>
      <c r="J20" s="23">
        <f t="shared" si="3"/>
        <v>66.7625</v>
      </c>
      <c r="K20" s="16">
        <f t="shared" si="2"/>
        <v>3748.2375</v>
      </c>
    </row>
    <row r="21">
      <c r="A21" s="11">
        <v>46162.0</v>
      </c>
      <c r="B21" s="13" t="s">
        <v>41</v>
      </c>
      <c r="C21" s="30">
        <v>2.0</v>
      </c>
      <c r="D21" s="16" t="s">
        <v>18</v>
      </c>
      <c r="E21" s="17">
        <v>0.0</v>
      </c>
      <c r="F21" s="17">
        <v>2400.0</v>
      </c>
      <c r="G21" s="17">
        <v>100.0</v>
      </c>
      <c r="H21" s="17">
        <v>70.0</v>
      </c>
      <c r="I21" s="16">
        <f t="shared" si="4"/>
        <v>2570</v>
      </c>
      <c r="J21" s="23">
        <f t="shared" si="3"/>
        <v>44.975</v>
      </c>
      <c r="K21" s="16">
        <f t="shared" si="2"/>
        <v>2525.025</v>
      </c>
    </row>
    <row r="22">
      <c r="A22" s="11">
        <v>46163.0</v>
      </c>
      <c r="B22" s="13" t="s">
        <v>44</v>
      </c>
      <c r="C22" s="30">
        <v>1.0</v>
      </c>
      <c r="D22" s="16" t="s">
        <v>18</v>
      </c>
      <c r="E22" s="17">
        <v>0.0</v>
      </c>
      <c r="F22" s="17">
        <v>900.0</v>
      </c>
      <c r="G22" s="17">
        <v>0.0</v>
      </c>
      <c r="H22" s="17">
        <v>0.0</v>
      </c>
      <c r="I22" s="16">
        <f>sum(E22:H22)</f>
        <v>900</v>
      </c>
      <c r="J22" s="23">
        <f t="shared" si="3"/>
        <v>15.75</v>
      </c>
      <c r="K22" s="16">
        <f t="shared" si="2"/>
        <v>884.25</v>
      </c>
    </row>
    <row r="23">
      <c r="A23" s="11">
        <v>46164.0</v>
      </c>
      <c r="B23" s="13" t="s">
        <v>16</v>
      </c>
      <c r="C23" s="30">
        <v>3.0</v>
      </c>
      <c r="D23" s="16" t="s">
        <v>18</v>
      </c>
      <c r="E23" s="17">
        <v>0.0</v>
      </c>
      <c r="F23" s="17">
        <v>5700.0</v>
      </c>
      <c r="G23" s="17">
        <v>0.0</v>
      </c>
      <c r="H23" s="17">
        <v>0.0</v>
      </c>
      <c r="I23" s="16">
        <f t="shared" ref="I23:I32" si="5">SUM(E23:H23)</f>
        <v>5700</v>
      </c>
      <c r="J23" s="23">
        <f t="shared" si="3"/>
        <v>99.75</v>
      </c>
      <c r="K23" s="16">
        <f t="shared" si="2"/>
        <v>5600.25</v>
      </c>
    </row>
    <row r="24">
      <c r="A24" s="11">
        <v>46165.0</v>
      </c>
      <c r="B24" s="13" t="s">
        <v>21</v>
      </c>
      <c r="C24" s="30">
        <v>0.5</v>
      </c>
      <c r="D24" s="16" t="s">
        <v>18</v>
      </c>
      <c r="E24" s="17">
        <v>600.0</v>
      </c>
      <c r="F24" s="17">
        <v>0.0</v>
      </c>
      <c r="G24" s="17">
        <v>1000.0</v>
      </c>
      <c r="H24" s="17">
        <v>175.0</v>
      </c>
      <c r="I24" s="16">
        <f t="shared" si="5"/>
        <v>1775</v>
      </c>
      <c r="J24" s="23">
        <f t="shared" si="3"/>
        <v>31.0625</v>
      </c>
      <c r="K24" s="16">
        <f t="shared" si="2"/>
        <v>1743.9375</v>
      </c>
    </row>
    <row r="25">
      <c r="A25" s="11">
        <v>46166.0</v>
      </c>
      <c r="B25" s="13" t="s">
        <v>34</v>
      </c>
      <c r="C25" s="30">
        <v>1.0</v>
      </c>
      <c r="D25" s="16" t="s">
        <v>18</v>
      </c>
      <c r="E25" s="17">
        <v>900.0</v>
      </c>
      <c r="F25" s="17">
        <v>2400.0</v>
      </c>
      <c r="G25" s="17">
        <v>0.0</v>
      </c>
      <c r="H25" s="17">
        <v>70.0</v>
      </c>
      <c r="I25" s="16">
        <f t="shared" si="5"/>
        <v>3370</v>
      </c>
      <c r="J25" s="23">
        <f t="shared" si="3"/>
        <v>58.975</v>
      </c>
      <c r="K25" s="16">
        <f t="shared" si="2"/>
        <v>3311.025</v>
      </c>
    </row>
    <row r="26">
      <c r="A26" s="11">
        <v>46167.0</v>
      </c>
      <c r="B26" s="13" t="s">
        <v>36</v>
      </c>
      <c r="C26" s="30">
        <v>0.0</v>
      </c>
      <c r="D26" s="16" t="s">
        <v>18</v>
      </c>
      <c r="E26" s="17">
        <v>0.0</v>
      </c>
      <c r="F26" s="17">
        <v>4200.0</v>
      </c>
      <c r="G26" s="17">
        <v>0.0</v>
      </c>
      <c r="H26" s="17">
        <v>175.0</v>
      </c>
      <c r="I26" s="16">
        <f t="shared" si="5"/>
        <v>4375</v>
      </c>
      <c r="J26" s="23">
        <f t="shared" si="3"/>
        <v>76.5625</v>
      </c>
      <c r="K26" s="16">
        <f t="shared" si="2"/>
        <v>4298.4375</v>
      </c>
    </row>
    <row r="27">
      <c r="A27" s="11">
        <v>46168.0</v>
      </c>
      <c r="B27" s="13" t="s">
        <v>37</v>
      </c>
      <c r="C27" s="30">
        <v>0.0</v>
      </c>
      <c r="D27" s="16" t="s">
        <v>18</v>
      </c>
      <c r="E27" s="17">
        <v>0.0</v>
      </c>
      <c r="F27" s="17">
        <v>900.0</v>
      </c>
      <c r="G27" s="17">
        <v>0.0</v>
      </c>
      <c r="H27" s="17">
        <v>0.0</v>
      </c>
      <c r="I27" s="16">
        <f t="shared" si="5"/>
        <v>900</v>
      </c>
      <c r="J27" s="23">
        <f t="shared" si="3"/>
        <v>15.75</v>
      </c>
      <c r="K27" s="16">
        <f t="shared" si="2"/>
        <v>884.25</v>
      </c>
    </row>
    <row r="28">
      <c r="A28" s="11">
        <v>46169.0</v>
      </c>
      <c r="B28" s="13" t="s">
        <v>41</v>
      </c>
      <c r="C28" s="30">
        <v>0.0</v>
      </c>
      <c r="D28" s="16" t="s">
        <v>18</v>
      </c>
      <c r="E28" s="17">
        <v>0.0</v>
      </c>
      <c r="F28" s="17">
        <v>0.0</v>
      </c>
      <c r="G28" s="17">
        <v>0.0</v>
      </c>
      <c r="H28" s="17">
        <v>0.0</v>
      </c>
      <c r="I28" s="16">
        <f t="shared" si="5"/>
        <v>0</v>
      </c>
      <c r="J28" s="23">
        <f t="shared" si="3"/>
        <v>0</v>
      </c>
      <c r="K28" s="16">
        <f t="shared" si="2"/>
        <v>0</v>
      </c>
    </row>
    <row r="29">
      <c r="A29" s="11">
        <v>46170.0</v>
      </c>
      <c r="B29" s="13" t="s">
        <v>44</v>
      </c>
      <c r="C29" s="30">
        <v>0.0</v>
      </c>
      <c r="D29" s="16" t="s">
        <v>18</v>
      </c>
      <c r="E29" s="17">
        <v>0.0</v>
      </c>
      <c r="F29" s="17">
        <v>0.0</v>
      </c>
      <c r="G29" s="17">
        <v>100.0</v>
      </c>
      <c r="H29" s="17">
        <v>0.0</v>
      </c>
      <c r="I29" s="16">
        <f t="shared" si="5"/>
        <v>100</v>
      </c>
      <c r="J29" s="23">
        <f t="shared" si="3"/>
        <v>1.75</v>
      </c>
      <c r="K29" s="16">
        <f t="shared" si="2"/>
        <v>98.25</v>
      </c>
    </row>
    <row r="30">
      <c r="A30" s="11">
        <v>46171.0</v>
      </c>
      <c r="B30" s="13" t="s">
        <v>16</v>
      </c>
      <c r="C30" s="30">
        <v>3.0</v>
      </c>
      <c r="D30" s="16" t="s">
        <v>18</v>
      </c>
      <c r="E30" s="17">
        <v>3800.0</v>
      </c>
      <c r="F30" s="17">
        <v>0.0</v>
      </c>
      <c r="G30" s="17">
        <v>0.0</v>
      </c>
      <c r="H30" s="17">
        <v>175.0</v>
      </c>
      <c r="I30" s="16">
        <f t="shared" si="5"/>
        <v>3975</v>
      </c>
      <c r="J30" s="23">
        <f t="shared" si="3"/>
        <v>69.5625</v>
      </c>
      <c r="K30" s="16">
        <f t="shared" si="2"/>
        <v>3905.4375</v>
      </c>
    </row>
    <row r="31">
      <c r="A31" s="11">
        <v>46172.0</v>
      </c>
      <c r="B31" s="13" t="s">
        <v>21</v>
      </c>
      <c r="C31" s="15">
        <v>0.0</v>
      </c>
      <c r="D31" s="16" t="s">
        <v>18</v>
      </c>
      <c r="E31" s="48">
        <v>0.0</v>
      </c>
      <c r="F31" s="48">
        <v>0.0</v>
      </c>
      <c r="G31" s="48">
        <v>0.0</v>
      </c>
      <c r="H31" s="48">
        <v>0.0</v>
      </c>
      <c r="I31" s="16">
        <f t="shared" si="5"/>
        <v>0</v>
      </c>
      <c r="J31" s="23">
        <f t="shared" si="3"/>
        <v>0</v>
      </c>
      <c r="K31" s="16">
        <f t="shared" si="2"/>
        <v>0</v>
      </c>
    </row>
    <row r="32">
      <c r="A32" s="11">
        <v>46173.0</v>
      </c>
      <c r="B32" s="13" t="s">
        <v>34</v>
      </c>
      <c r="C32" s="15">
        <v>3.5</v>
      </c>
      <c r="D32" s="16" t="s">
        <v>18</v>
      </c>
      <c r="E32" s="48">
        <v>1400.0</v>
      </c>
      <c r="F32" s="48">
        <v>3000.0</v>
      </c>
      <c r="G32" s="48">
        <v>900.0</v>
      </c>
      <c r="H32" s="48">
        <v>35.0</v>
      </c>
      <c r="I32" s="16">
        <f t="shared" si="5"/>
        <v>5335</v>
      </c>
      <c r="J32" s="23">
        <f t="shared" si="3"/>
        <v>93.3625</v>
      </c>
      <c r="K32" s="16">
        <f t="shared" si="2"/>
        <v>5241.6375</v>
      </c>
    </row>
    <row r="33">
      <c r="A33" s="41" t="s">
        <v>42</v>
      </c>
      <c r="B33" s="43"/>
      <c r="C33" s="49">
        <f>SUM(C2:C32)</f>
        <v>49.5</v>
      </c>
      <c r="D33" s="43"/>
      <c r="E33" s="42">
        <f t="shared" ref="E33:K33" si="6">SUM(E2:E32)</f>
        <v>30280</v>
      </c>
      <c r="F33" s="42">
        <f t="shared" si="6"/>
        <v>61500</v>
      </c>
      <c r="G33" s="42">
        <f t="shared" si="6"/>
        <v>8500</v>
      </c>
      <c r="H33" s="42">
        <f t="shared" si="6"/>
        <v>2390</v>
      </c>
      <c r="I33" s="42">
        <f t="shared" si="6"/>
        <v>101050</v>
      </c>
      <c r="J33" s="42">
        <f t="shared" si="6"/>
        <v>1818.655</v>
      </c>
      <c r="K33" s="42">
        <f t="shared" si="6"/>
        <v>99231.345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75"/>
    <col customWidth="1" min="4" max="4" width="14.38"/>
    <col customWidth="1" min="5" max="5" width="16.0"/>
    <col customWidth="1" min="6" max="6" width="11.13"/>
    <col customWidth="1" min="7" max="8" width="6.88"/>
    <col customWidth="1" min="9" max="9" width="14.13"/>
  </cols>
  <sheetData>
    <row r="1">
      <c r="A1" s="19" t="s">
        <v>3</v>
      </c>
      <c r="B1" s="2" t="s">
        <v>0</v>
      </c>
      <c r="C1" s="2" t="s">
        <v>23</v>
      </c>
      <c r="D1" s="2" t="s">
        <v>25</v>
      </c>
      <c r="E1" s="22" t="s">
        <v>29</v>
      </c>
      <c r="F1" s="2" t="s">
        <v>14</v>
      </c>
      <c r="G1" s="25" t="s">
        <v>28</v>
      </c>
      <c r="H1" s="25" t="s">
        <v>27</v>
      </c>
      <c r="I1" s="2" t="s">
        <v>32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31"/>
      <c r="B2" s="32" t="s">
        <v>1</v>
      </c>
      <c r="C2" s="17">
        <v>164897.0</v>
      </c>
      <c r="D2" s="17">
        <v>10736.0</v>
      </c>
      <c r="E2" s="17">
        <v>1932.0</v>
      </c>
      <c r="F2" s="16">
        <f>C2-D2-E2</f>
        <v>152229</v>
      </c>
      <c r="G2" s="17">
        <v>894.0</v>
      </c>
      <c r="H2" s="17">
        <v>178.0</v>
      </c>
      <c r="I2" s="17">
        <v>151153.0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31"/>
      <c r="B3" s="40"/>
      <c r="C3" s="40"/>
      <c r="D3" s="40"/>
      <c r="E3" s="40"/>
      <c r="F3" s="40"/>
      <c r="G3" s="40"/>
      <c r="H3" s="40"/>
      <c r="I3" s="40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31"/>
      <c r="B4" s="41" t="s">
        <v>42</v>
      </c>
      <c r="C4" s="42">
        <f>SUM(C2:C3)</f>
        <v>164897</v>
      </c>
      <c r="D4" s="43"/>
      <c r="E4" s="43"/>
      <c r="F4" s="42">
        <f>SUM(F2:F3)</f>
        <v>152229</v>
      </c>
      <c r="G4" s="43"/>
      <c r="H4" s="43"/>
      <c r="I4" s="42">
        <f>SUM(I2:I3)</f>
        <v>151153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75"/>
    <col customWidth="1" min="4" max="4" width="23.88"/>
    <col customWidth="1" min="5" max="5" width="11.13"/>
    <col customWidth="1" min="6" max="6" width="6.13"/>
    <col customWidth="1" min="7" max="7" width="7.0"/>
  </cols>
  <sheetData>
    <row r="1">
      <c r="A1" s="19" t="s">
        <v>3</v>
      </c>
      <c r="B1" s="12" t="s">
        <v>0</v>
      </c>
      <c r="C1" s="12" t="s">
        <v>22</v>
      </c>
      <c r="D1" s="12" t="s">
        <v>24</v>
      </c>
      <c r="E1" s="12" t="s">
        <v>14</v>
      </c>
      <c r="F1" s="12" t="s">
        <v>27</v>
      </c>
      <c r="G1" s="12" t="s">
        <v>28</v>
      </c>
      <c r="H1" s="12" t="s">
        <v>13</v>
      </c>
    </row>
    <row r="2">
      <c r="A2" s="21"/>
      <c r="B2" s="21" t="s">
        <v>1</v>
      </c>
      <c r="C2" s="27">
        <v>14227.0</v>
      </c>
      <c r="D2" s="27">
        <v>1700.0</v>
      </c>
      <c r="E2" s="34">
        <f>C2-D2</f>
        <v>12527</v>
      </c>
      <c r="F2" s="27">
        <v>11.0</v>
      </c>
      <c r="G2" s="27">
        <v>55.0</v>
      </c>
      <c r="H2" s="27">
        <v>11312.0</v>
      </c>
    </row>
    <row r="3">
      <c r="A3" s="35"/>
      <c r="B3" s="37" t="s">
        <v>42</v>
      </c>
      <c r="C3" s="38">
        <f>SUM(C2)</f>
        <v>14227</v>
      </c>
      <c r="D3" s="39"/>
      <c r="E3" s="38">
        <f>SUM(E2)</f>
        <v>12527</v>
      </c>
      <c r="F3" s="39"/>
      <c r="G3" s="39"/>
      <c r="H3" s="38">
        <f>SUM(H2)</f>
        <v>11312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4.38"/>
    <col customWidth="1" min="3" max="3" width="17.75"/>
    <col customWidth="1" min="6" max="6" width="14.13"/>
  </cols>
  <sheetData>
    <row r="1">
      <c r="A1" s="50" t="s">
        <v>0</v>
      </c>
      <c r="B1" s="51" t="s">
        <v>67</v>
      </c>
      <c r="C1" s="52" t="s">
        <v>68</v>
      </c>
      <c r="D1" s="51" t="s">
        <v>14</v>
      </c>
      <c r="E1" s="51" t="s">
        <v>69</v>
      </c>
      <c r="F1" s="51" t="s">
        <v>32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55" t="s">
        <v>75</v>
      </c>
      <c r="B2" s="34">
        <f>7595+7304+12152</f>
        <v>27051</v>
      </c>
      <c r="C2" s="56">
        <f>B2*5%</f>
        <v>1352.55</v>
      </c>
      <c r="D2" s="34">
        <f>B2-C2</f>
        <v>25698.45</v>
      </c>
      <c r="E2" s="57">
        <f>B2*2%</f>
        <v>541.02</v>
      </c>
      <c r="F2" s="34">
        <f>D2-E2</f>
        <v>25157.43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0"/>
      <c r="B3" s="21"/>
      <c r="C3" s="32"/>
      <c r="D3" s="21"/>
      <c r="E3" s="20"/>
      <c r="F3" s="2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58" t="s">
        <v>42</v>
      </c>
      <c r="B4" s="38">
        <f>SUM(B2)</f>
        <v>27051</v>
      </c>
      <c r="C4" s="59"/>
      <c r="D4" s="38">
        <f>SUM(D2)</f>
        <v>25698.45</v>
      </c>
      <c r="E4" s="10"/>
      <c r="F4" s="38">
        <f>SUM(F2)</f>
        <v>25157.43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60" t="s">
        <v>77</v>
      </c>
      <c r="B5" s="60" t="s">
        <v>72</v>
      </c>
      <c r="C5" s="61" t="s">
        <v>12</v>
      </c>
      <c r="D5" s="51" t="s">
        <v>14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5" t="s">
        <v>75</v>
      </c>
      <c r="B6" s="32">
        <f>1599+2400</f>
        <v>3999</v>
      </c>
      <c r="C6" s="16">
        <f>B6*2.5%*1.18</f>
        <v>117.9705</v>
      </c>
      <c r="D6" s="16">
        <f>B6-C6</f>
        <v>3881.0295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6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6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6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4" max="5" width="15.25"/>
  </cols>
  <sheetData>
    <row r="1">
      <c r="A1" s="9" t="s">
        <v>70</v>
      </c>
      <c r="B1" s="9" t="s">
        <v>71</v>
      </c>
      <c r="C1" s="9" t="s">
        <v>72</v>
      </c>
      <c r="D1" s="9" t="s">
        <v>73</v>
      </c>
      <c r="E1" s="53" t="s">
        <v>12</v>
      </c>
      <c r="F1" s="9" t="s">
        <v>14</v>
      </c>
    </row>
    <row r="2">
      <c r="A2" s="26" t="s">
        <v>15</v>
      </c>
      <c r="B2" s="26" t="s">
        <v>74</v>
      </c>
      <c r="C2" s="54">
        <v>38000.0</v>
      </c>
      <c r="D2" s="27" t="s">
        <v>76</v>
      </c>
      <c r="E2" s="16">
        <f>C2*2.5%*1.18</f>
        <v>1121</v>
      </c>
      <c r="F2" s="16">
        <f>C2-E2</f>
        <v>36879</v>
      </c>
    </row>
  </sheetData>
  <drawing r:id="rId1"/>
</worksheet>
</file>