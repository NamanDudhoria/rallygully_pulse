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</sheets>
  <definedNames/>
  <calcPr/>
</workbook>
</file>

<file path=xl/sharedStrings.xml><?xml version="1.0" encoding="utf-8"?>
<sst xmlns="http://schemas.openxmlformats.org/spreadsheetml/2006/main" count="79" uniqueCount="52">
  <si>
    <t>Link</t>
  </si>
  <si>
    <t>Date</t>
  </si>
  <si>
    <t>1 - 30 June</t>
  </si>
  <si>
    <t>Day</t>
  </si>
  <si>
    <t>Offline booking hours</t>
  </si>
  <si>
    <t>Particulars</t>
  </si>
  <si>
    <t>Discount Given</t>
  </si>
  <si>
    <t>Booking Revenue (Turf)</t>
  </si>
  <si>
    <t>Amount</t>
  </si>
  <si>
    <t>Total Revenue</t>
  </si>
  <si>
    <t>Payment Gateway</t>
  </si>
  <si>
    <t>Net Revenue</t>
  </si>
  <si>
    <t>Pickleball</t>
  </si>
  <si>
    <t>Monday</t>
  </si>
  <si>
    <t>Pay &amp; Play</t>
  </si>
  <si>
    <t>Paid to District</t>
  </si>
  <si>
    <t>Commissions (₹)</t>
  </si>
  <si>
    <t>GST on Commission</t>
  </si>
  <si>
    <t>TCS</t>
  </si>
  <si>
    <t>TDS</t>
  </si>
  <si>
    <t>Final Amount (₹)</t>
  </si>
  <si>
    <t xml:space="preserve">Online </t>
  </si>
  <si>
    <t>District</t>
  </si>
  <si>
    <t>Tuesday</t>
  </si>
  <si>
    <t>Wednesday</t>
  </si>
  <si>
    <t>Thursday</t>
  </si>
  <si>
    <t>Friday</t>
  </si>
  <si>
    <t>Saturday</t>
  </si>
  <si>
    <t>Hudle</t>
  </si>
  <si>
    <t>Playo</t>
  </si>
  <si>
    <t>Khelomore</t>
  </si>
  <si>
    <t>Sunday</t>
  </si>
  <si>
    <t>Zplys</t>
  </si>
  <si>
    <t>Offline</t>
  </si>
  <si>
    <t>Total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</si>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</sst>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"/>
    <numFmt numFmtId="166" formatCode="d mmmm"/>
    <numFmt numFmtId="167" formatCode="[&gt;9999999][$₹]##\,##\,##\,##0;[&gt;99999][$₹]##\,##\,##0;[$₹]##,##0"/>
    <numFmt numFmtId="168" formatCode="[$₹]#,##0.00"/>
    <numFmt numFmtId="169" formatCode="d mmm"/>
    <numFmt numFmtId="170" formatCode="[&gt;9999999][$₹]##\,##\,##\,##0.00;[&gt;99999][$₹]##\,##\,##0.00;[$₹]#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2" numFmtId="3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2" fontId="4" numFmtId="0" xfId="0" applyAlignment="1" applyBorder="1" applyFill="1" applyFont="1">
      <alignment vertical="bottom"/>
    </xf>
    <xf borderId="1" fillId="3" fontId="4" numFmtId="166" xfId="0" applyAlignment="1" applyBorder="1" applyFill="1" applyFont="1" applyNumberFormat="1">
      <alignment horizontal="right" vertical="bottom"/>
    </xf>
    <xf borderId="1" fillId="2" fontId="2" numFmtId="167" xfId="0" applyAlignment="1" applyBorder="1" applyFill="1" applyFont="1" applyNumberFormat="1">
      <alignment horizontal="center" vertical="bottom"/>
    </xf>
    <xf borderId="1" fillId="2" fontId="5" numFmtId="168" xfId="0" applyAlignment="1" applyBorder="1" applyFill="1" applyFont="1" applyNumberFormat="1">
      <alignment horizontal="center" readingOrder="0" vertical="bottom"/>
    </xf>
    <xf borderId="1" fillId="3" fontId="4" numFmtId="164" xfId="0" applyAlignment="1" applyBorder="1" applyFill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3" fontId="4" numFmtId="3" xfId="0" applyAlignment="1" applyBorder="1" applyFill="1" applyFont="1" applyNumberFormat="1">
      <alignment horizontal="right" vertical="bottom"/>
    </xf>
    <xf borderId="1" fillId="2" fontId="2" numFmtId="168" xfId="0" applyAlignment="1" applyBorder="1" applyFill="1" applyFont="1" applyNumberFormat="1">
      <alignment horizontal="center" vertical="bottom"/>
    </xf>
    <xf borderId="1" fillId="0" fontId="4" numFmtId="9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0" fillId="2" fontId="6" numFmtId="168" xfId="0" applyAlignment="1" applyFill="1" applyFont="1" applyNumberFormat="1">
      <alignment vertical="bottom"/>
    </xf>
    <xf borderId="0" fillId="2" fontId="2" numFmtId="168" xfId="0" applyAlignment="1" applyFill="1" applyFont="1" applyNumberFormat="1">
      <alignment horizontal="center" vertical="bottom"/>
    </xf>
    <xf borderId="1" fillId="0" fontId="2" numFmtId="167" xfId="0" applyAlignment="1" applyBorder="1" applyFont="1" applyNumberFormat="1">
      <alignment horizontal="right" vertical="bottom"/>
    </xf>
    <xf borderId="0" fillId="0" fontId="4" numFmtId="169" xfId="0" applyAlignment="1" applyFont="1" applyNumberFormat="1">
      <alignment vertical="bottom"/>
    </xf>
    <xf borderId="1" fillId="0" fontId="4" numFmtId="168" xfId="0" applyAlignment="1" applyBorder="1" applyFont="1" applyNumberFormat="1">
      <alignment readingOrder="0" vertical="bottom"/>
    </xf>
    <xf borderId="1" fillId="0" fontId="4" numFmtId="168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70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vertical="bottom"/>
    </xf>
    <xf borderId="1" fillId="0" fontId="4" numFmtId="3" xfId="0" applyAlignment="1" applyBorder="1" applyFont="1" applyNumberFormat="1">
      <alignment horizontal="right" vertical="bottom"/>
    </xf>
    <xf borderId="1" fillId="0" fontId="4" numFmtId="170" xfId="0" applyAlignment="1" applyBorder="1" applyFont="1" applyNumberFormat="1">
      <alignment horizontal="right" vertical="bottom"/>
    </xf>
    <xf borderId="1" fillId="0" fontId="4" numFmtId="167" xfId="0" applyAlignment="1" applyBorder="1" applyFont="1" applyNumberFormat="1">
      <alignment vertical="bottom"/>
    </xf>
    <xf borderId="1" fillId="0" fontId="4" numFmtId="167" xfId="0" applyAlignment="1" applyBorder="1" applyFont="1" applyNumberFormat="1">
      <alignment readingOrder="0" vertical="bottom"/>
    </xf>
    <xf borderId="0" fillId="0" fontId="4" numFmtId="168" xfId="0" applyAlignment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4" numFmtId="168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1" fillId="0" fontId="4" numFmtId="170" xfId="0" applyAlignment="1" applyBorder="1" applyFont="1" applyNumberFormat="1">
      <alignment readingOrder="0" vertical="bottom"/>
    </xf>
    <xf borderId="1" fillId="0" fontId="2" numFmtId="0" xfId="0" applyAlignment="1" applyBorder="1" applyFont="1">
      <alignment vertical="bottom"/>
    </xf>
    <xf borderId="1" fillId="2" fontId="2" numFmtId="168" xfId="0" applyAlignment="1" applyBorder="1" applyFill="1" applyFont="1" applyNumberFormat="1">
      <alignment vertical="bottom"/>
    </xf>
    <xf borderId="1" fillId="2" fontId="2" numFmtId="168" xfId="0" applyAlignment="1" applyBorder="1" applyFill="1" applyFont="1" applyNumberFormat="1">
      <alignment horizontal="right" vertical="bottom"/>
    </xf>
    <xf borderId="1" fillId="2" fontId="4" numFmtId="168" xfId="0" applyAlignment="1" applyBorder="1" applyFill="1" applyFont="1" applyNumberFormat="1">
      <alignment vertical="bottom"/>
    </xf>
    <xf borderId="1" fillId="2" fontId="4" numFmtId="170" xfId="0" applyAlignment="1" applyBorder="1" applyFill="1" applyFont="1" applyNumberFormat="1">
      <alignment vertical="bottom"/>
    </xf>
    <xf borderId="1" fillId="2" fontId="2" numFmtId="170" xfId="0" applyAlignment="1" applyBorder="1" applyFill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1" fillId="0" fontId="4" numFmtId="167" xfId="0" applyAlignment="1" applyBorder="1" applyFont="1" applyNumberFormat="1">
      <alignment horizontal="right"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0" fontId="2" numFmtId="167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1" fillId="2" fontId="2" numFmtId="167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shrinkToFit="0" vertical="bottom" wrapText="1"/>
    </xf>
    <xf borderId="1" fillId="3" fontId="4" numFmtId="164" xfId="0" applyAlignment="1" applyBorder="1" applyFill="1" applyFont="1" applyNumberFormat="1">
      <alignment horizontal="right" vertical="bottom"/>
    </xf>
    <xf borderId="1" fillId="0" fontId="2" numFmtId="168" xfId="0" applyAlignment="1" applyBorder="1" applyFont="1" applyNumberForma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2" fontId="4" numFmtId="164" xfId="0" applyAlignment="1" applyBorder="1" applyFill="1" applyFont="1" applyNumberFormat="1">
      <alignment vertical="bottom"/>
    </xf>
    <xf borderId="1" fillId="2" fontId="4" numFmtId="4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Gkk9R_-n86yEtOKMIHPfVB4rh5fkdiW9mdI9HfhTdY/edit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  <col customWidth="1" min="4" max="4" width="133.75"/>
  </cols>
  <sheetData>
    <row r="1">
      <c r="A1" s="1"/>
    </row>
    <row r="2">
      <c r="B2" s="3" t="s">
        <v>2</v>
      </c>
      <c r="C2" s="4"/>
    </row>
    <row r="3">
      <c r="B3" s="6" t="s">
        <v>5</v>
      </c>
      <c r="C3" s="6" t="s">
        <v>8</v>
      </c>
      <c r="E3" s="7"/>
    </row>
    <row r="4">
      <c r="B4" s="9"/>
      <c r="C4" s="11" t="s">
        <v>12</v>
      </c>
      <c r="E4" s="7"/>
    </row>
    <row r="5">
      <c r="B5" s="14" t="s">
        <v>14</v>
      </c>
      <c r="C5" s="21">
        <f>sum(C6,C12)</f>
        <v>49974</v>
      </c>
      <c r="E5" s="7"/>
    </row>
    <row r="6">
      <c r="B6" s="14" t="s">
        <v>21</v>
      </c>
      <c r="C6" s="21">
        <f>sum(C7:C11)</f>
        <v>19180</v>
      </c>
      <c r="E6" s="7"/>
    </row>
    <row r="7" outlineLevel="1">
      <c r="B7" s="27" t="s">
        <v>22</v>
      </c>
      <c r="C7" s="30">
        <f>District!C4</f>
        <v>19180</v>
      </c>
      <c r="E7" s="7"/>
    </row>
    <row r="8" outlineLevel="1">
      <c r="B8" s="27" t="s">
        <v>28</v>
      </c>
      <c r="C8" s="31">
        <v>0.0</v>
      </c>
      <c r="E8" s="7"/>
    </row>
    <row r="9" outlineLevel="1">
      <c r="B9" s="27" t="s">
        <v>29</v>
      </c>
      <c r="C9" s="31">
        <v>0.0</v>
      </c>
      <c r="E9" s="7"/>
    </row>
    <row r="10" outlineLevel="1">
      <c r="B10" s="33" t="s">
        <v>30</v>
      </c>
      <c r="C10" s="31">
        <v>0.0</v>
      </c>
      <c r="E10" s="35"/>
    </row>
    <row r="11" outlineLevel="1">
      <c r="B11" s="27" t="s">
        <v>32</v>
      </c>
      <c r="C11" s="31">
        <v>0.0</v>
      </c>
      <c r="E11" s="35"/>
    </row>
    <row r="12">
      <c r="B12" s="37" t="s">
        <v>33</v>
      </c>
      <c r="C12" s="21">
        <f>sum(C13:C14)</f>
        <v>30794</v>
      </c>
    </row>
    <row r="13" outlineLevel="1">
      <c r="B13" s="27" t="s">
        <v>35</v>
      </c>
      <c r="C13" s="30">
        <f>'Offline &amp; RG Community'!E32</f>
        <v>30794</v>
      </c>
    </row>
    <row r="14" outlineLevel="1">
      <c r="B14" s="34" t="s">
        <v>36</v>
      </c>
      <c r="C14" s="31">
        <v>0.0</v>
      </c>
      <c r="E14" s="7"/>
    </row>
    <row r="15">
      <c r="B15" s="37" t="s">
        <v>37</v>
      </c>
      <c r="C15" s="21">
        <f>sum(C16:C17)</f>
        <v>0</v>
      </c>
      <c r="E15" s="7"/>
    </row>
    <row r="16" outlineLevel="1">
      <c r="B16" s="33" t="s">
        <v>38</v>
      </c>
      <c r="C16" s="31">
        <v>0.0</v>
      </c>
      <c r="E16" s="7"/>
    </row>
    <row r="17" outlineLevel="1">
      <c r="B17" s="33" t="s">
        <v>39</v>
      </c>
      <c r="C17" s="31">
        <v>0.0</v>
      </c>
    </row>
    <row r="18">
      <c r="B18" s="37" t="s">
        <v>40</v>
      </c>
      <c r="C18" s="21">
        <v>0.0</v>
      </c>
      <c r="E18" s="7"/>
    </row>
    <row r="19">
      <c r="B19" s="14" t="s">
        <v>41</v>
      </c>
      <c r="C19" s="21">
        <f>sum(C20,C21)</f>
        <v>0</v>
      </c>
    </row>
    <row r="20" outlineLevel="1">
      <c r="B20" s="27" t="s">
        <v>42</v>
      </c>
      <c r="C20" s="44">
        <v>0.0</v>
      </c>
    </row>
    <row r="21" outlineLevel="1">
      <c r="B21" s="33" t="s">
        <v>43</v>
      </c>
      <c r="C21" s="45">
        <v>0.0</v>
      </c>
    </row>
    <row r="22">
      <c r="B22" s="14" t="s">
        <v>44</v>
      </c>
      <c r="C22" s="21">
        <f>sum(C23:C25)</f>
        <v>0</v>
      </c>
    </row>
    <row r="23" outlineLevel="1">
      <c r="B23" s="27" t="s">
        <v>45</v>
      </c>
      <c r="C23" s="45">
        <v>0.0</v>
      </c>
    </row>
    <row r="24" outlineLevel="1">
      <c r="B24" s="27" t="s">
        <v>46</v>
      </c>
      <c r="C24" s="31">
        <v>0.0</v>
      </c>
    </row>
    <row r="25" outlineLevel="1">
      <c r="B25" s="27" t="s">
        <v>47</v>
      </c>
      <c r="C25" s="45">
        <v>0.0</v>
      </c>
    </row>
    <row r="26">
      <c r="B26" s="14" t="s">
        <v>48</v>
      </c>
      <c r="C26" s="46">
        <v>0.0</v>
      </c>
      <c r="D26" s="47"/>
    </row>
    <row r="27">
      <c r="B27" s="48" t="s">
        <v>49</v>
      </c>
      <c r="C27" s="49">
        <f>sum(C26+C22+C19+C18+C15+C12+C6)</f>
        <v>49974</v>
      </c>
    </row>
    <row r="28">
      <c r="B28" s="50" t="s">
        <v>50</v>
      </c>
      <c r="C28" s="52">
        <f>'Offline &amp; RG Community'!H32+District!F4</f>
        <v>47296.355</v>
      </c>
    </row>
    <row r="29">
      <c r="B29" s="14" t="s">
        <v>51</v>
      </c>
      <c r="C29" s="21">
        <f>C28/1.18</f>
        <v>40081.65678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3.25"/>
    <col customWidth="1" min="5" max="5" width="15.13"/>
    <col customWidth="1" min="6" max="6" width="17.63"/>
    <col customWidth="1" min="7" max="8" width="15.25"/>
  </cols>
  <sheetData>
    <row r="1">
      <c r="A1" s="2" t="s">
        <v>1</v>
      </c>
      <c r="B1" s="2" t="s">
        <v>3</v>
      </c>
      <c r="C1" s="5" t="s">
        <v>4</v>
      </c>
      <c r="D1" s="2" t="s">
        <v>6</v>
      </c>
      <c r="E1" s="2" t="s">
        <v>7</v>
      </c>
      <c r="F1" s="2" t="s">
        <v>9</v>
      </c>
      <c r="G1" s="8" t="s">
        <v>10</v>
      </c>
      <c r="H1" s="2" t="s">
        <v>11</v>
      </c>
    </row>
    <row r="2">
      <c r="A2" s="10">
        <v>46174.0</v>
      </c>
      <c r="B2" s="13" t="s">
        <v>13</v>
      </c>
      <c r="C2" s="15">
        <v>0.0</v>
      </c>
      <c r="D2" s="17">
        <v>0.2</v>
      </c>
      <c r="E2" s="18">
        <v>0.0</v>
      </c>
      <c r="F2" s="18">
        <f t="shared" ref="F2:F15" si="1">sum(E2)</f>
        <v>0</v>
      </c>
      <c r="G2" s="25">
        <f t="shared" ref="G2:G31" si="2">F2*1.75%</f>
        <v>0</v>
      </c>
      <c r="H2" s="18">
        <f t="shared" ref="H2:H31" si="3">F2-G2</f>
        <v>0</v>
      </c>
    </row>
    <row r="3">
      <c r="A3" s="10">
        <v>46175.0</v>
      </c>
      <c r="B3" s="13" t="s">
        <v>23</v>
      </c>
      <c r="C3" s="15">
        <v>0.0</v>
      </c>
      <c r="D3" s="17">
        <v>0.2</v>
      </c>
      <c r="E3" s="18">
        <v>0.0</v>
      </c>
      <c r="F3" s="18">
        <f t="shared" si="1"/>
        <v>0</v>
      </c>
      <c r="G3" s="25">
        <f t="shared" si="2"/>
        <v>0</v>
      </c>
      <c r="H3" s="18">
        <f t="shared" si="3"/>
        <v>0</v>
      </c>
    </row>
    <row r="4">
      <c r="A4" s="10">
        <v>46176.0</v>
      </c>
      <c r="B4" s="13" t="s">
        <v>24</v>
      </c>
      <c r="C4" s="28">
        <v>0.0</v>
      </c>
      <c r="D4" s="17">
        <v>0.2</v>
      </c>
      <c r="E4" s="18">
        <v>0.0</v>
      </c>
      <c r="F4" s="18">
        <f t="shared" si="1"/>
        <v>0</v>
      </c>
      <c r="G4" s="25">
        <f t="shared" si="2"/>
        <v>0</v>
      </c>
      <c r="H4" s="18">
        <f t="shared" si="3"/>
        <v>0</v>
      </c>
    </row>
    <row r="5">
      <c r="A5" s="10">
        <v>46177.0</v>
      </c>
      <c r="B5" s="13" t="s">
        <v>25</v>
      </c>
      <c r="C5" s="28">
        <v>0.0</v>
      </c>
      <c r="D5" s="17">
        <v>0.2</v>
      </c>
      <c r="E5" s="18">
        <v>0.0</v>
      </c>
      <c r="F5" s="18">
        <f t="shared" si="1"/>
        <v>0</v>
      </c>
      <c r="G5" s="25">
        <f t="shared" si="2"/>
        <v>0</v>
      </c>
      <c r="H5" s="18">
        <f t="shared" si="3"/>
        <v>0</v>
      </c>
    </row>
    <row r="6">
      <c r="A6" s="10">
        <v>46178.0</v>
      </c>
      <c r="B6" s="13" t="s">
        <v>26</v>
      </c>
      <c r="C6" s="28">
        <v>0.0</v>
      </c>
      <c r="D6" s="17">
        <v>0.2</v>
      </c>
      <c r="E6" s="18">
        <v>0.0</v>
      </c>
      <c r="F6" s="18">
        <f t="shared" si="1"/>
        <v>0</v>
      </c>
      <c r="G6" s="25">
        <f t="shared" si="2"/>
        <v>0</v>
      </c>
      <c r="H6" s="18">
        <f t="shared" si="3"/>
        <v>0</v>
      </c>
    </row>
    <row r="7">
      <c r="A7" s="10">
        <v>46179.0</v>
      </c>
      <c r="B7" s="13" t="s">
        <v>27</v>
      </c>
      <c r="C7" s="28">
        <v>1.0</v>
      </c>
      <c r="D7" s="17">
        <v>0.2</v>
      </c>
      <c r="E7" s="18">
        <f>1200+2400</f>
        <v>3600</v>
      </c>
      <c r="F7" s="18">
        <f t="shared" si="1"/>
        <v>3600</v>
      </c>
      <c r="G7" s="25">
        <f t="shared" si="2"/>
        <v>63</v>
      </c>
      <c r="H7" s="18">
        <f t="shared" si="3"/>
        <v>3537</v>
      </c>
    </row>
    <row r="8">
      <c r="A8" s="10">
        <v>46180.0</v>
      </c>
      <c r="B8" s="13" t="s">
        <v>31</v>
      </c>
      <c r="C8" s="28">
        <v>3.0</v>
      </c>
      <c r="D8" s="17">
        <v>0.2</v>
      </c>
      <c r="E8" s="18">
        <f>2000+2400</f>
        <v>4400</v>
      </c>
      <c r="F8" s="18">
        <f t="shared" si="1"/>
        <v>4400</v>
      </c>
      <c r="G8" s="25">
        <f t="shared" si="2"/>
        <v>77</v>
      </c>
      <c r="H8" s="18">
        <f t="shared" si="3"/>
        <v>4323</v>
      </c>
    </row>
    <row r="9">
      <c r="A9" s="10">
        <v>46181.0</v>
      </c>
      <c r="B9" s="13" t="s">
        <v>13</v>
      </c>
      <c r="C9" s="28">
        <v>2.0</v>
      </c>
      <c r="D9" s="17">
        <v>0.2</v>
      </c>
      <c r="E9" s="18">
        <v>2400.0</v>
      </c>
      <c r="F9" s="18">
        <f t="shared" si="1"/>
        <v>2400</v>
      </c>
      <c r="G9" s="25">
        <f t="shared" si="2"/>
        <v>42</v>
      </c>
      <c r="H9" s="18">
        <f t="shared" si="3"/>
        <v>2358</v>
      </c>
    </row>
    <row r="10">
      <c r="A10" s="10">
        <v>46182.0</v>
      </c>
      <c r="B10" s="13" t="s">
        <v>23</v>
      </c>
      <c r="C10" s="28">
        <v>0.0</v>
      </c>
      <c r="D10" s="17">
        <v>0.2</v>
      </c>
      <c r="E10" s="18">
        <v>0.0</v>
      </c>
      <c r="F10" s="18">
        <f t="shared" si="1"/>
        <v>0</v>
      </c>
      <c r="G10" s="25">
        <f t="shared" si="2"/>
        <v>0</v>
      </c>
      <c r="H10" s="18">
        <f t="shared" si="3"/>
        <v>0</v>
      </c>
    </row>
    <row r="11">
      <c r="A11" s="10">
        <v>46183.0</v>
      </c>
      <c r="B11" s="13" t="s">
        <v>24</v>
      </c>
      <c r="C11" s="28">
        <v>2.0</v>
      </c>
      <c r="D11" s="17">
        <v>0.2</v>
      </c>
      <c r="E11" s="18">
        <v>2400.0</v>
      </c>
      <c r="F11" s="18">
        <f t="shared" si="1"/>
        <v>2400</v>
      </c>
      <c r="G11" s="25">
        <f t="shared" si="2"/>
        <v>42</v>
      </c>
      <c r="H11" s="18">
        <f t="shared" si="3"/>
        <v>2358</v>
      </c>
    </row>
    <row r="12">
      <c r="A12" s="10">
        <v>46184.0</v>
      </c>
      <c r="B12" s="13" t="s">
        <v>25</v>
      </c>
      <c r="C12" s="28">
        <v>0.0</v>
      </c>
      <c r="D12" s="17">
        <v>0.2</v>
      </c>
      <c r="E12" s="18">
        <v>0.0</v>
      </c>
      <c r="F12" s="18">
        <f t="shared" si="1"/>
        <v>0</v>
      </c>
      <c r="G12" s="25">
        <f t="shared" si="2"/>
        <v>0</v>
      </c>
      <c r="H12" s="18">
        <f t="shared" si="3"/>
        <v>0</v>
      </c>
    </row>
    <row r="13">
      <c r="A13" s="10">
        <v>46185.0</v>
      </c>
      <c r="B13" s="13" t="s">
        <v>26</v>
      </c>
      <c r="C13" s="28">
        <v>0.0</v>
      </c>
      <c r="D13" s="17">
        <v>0.2</v>
      </c>
      <c r="E13" s="18">
        <v>0.0</v>
      </c>
      <c r="F13" s="18">
        <f t="shared" si="1"/>
        <v>0</v>
      </c>
      <c r="G13" s="25">
        <f t="shared" si="2"/>
        <v>0</v>
      </c>
      <c r="H13" s="18">
        <f t="shared" si="3"/>
        <v>0</v>
      </c>
    </row>
    <row r="14">
      <c r="A14" s="10">
        <v>46186.0</v>
      </c>
      <c r="B14" s="13" t="s">
        <v>27</v>
      </c>
      <c r="C14" s="28">
        <v>2.0</v>
      </c>
      <c r="D14" s="17">
        <v>0.2</v>
      </c>
      <c r="E14" s="18">
        <v>2400.0</v>
      </c>
      <c r="F14" s="18">
        <f t="shared" si="1"/>
        <v>2400</v>
      </c>
      <c r="G14" s="25">
        <f t="shared" si="2"/>
        <v>42</v>
      </c>
      <c r="H14" s="18">
        <f t="shared" si="3"/>
        <v>2358</v>
      </c>
    </row>
    <row r="15">
      <c r="A15" s="10">
        <v>46187.0</v>
      </c>
      <c r="B15" s="13" t="s">
        <v>31</v>
      </c>
      <c r="C15" s="28">
        <v>0.0</v>
      </c>
      <c r="D15" s="17">
        <v>0.2</v>
      </c>
      <c r="E15" s="18">
        <v>0.0</v>
      </c>
      <c r="F15" s="18">
        <f t="shared" si="1"/>
        <v>0</v>
      </c>
      <c r="G15" s="25">
        <f t="shared" si="2"/>
        <v>0</v>
      </c>
      <c r="H15" s="18">
        <f t="shared" si="3"/>
        <v>0</v>
      </c>
    </row>
    <row r="16">
      <c r="A16" s="10">
        <v>46188.0</v>
      </c>
      <c r="B16" s="13" t="s">
        <v>13</v>
      </c>
      <c r="C16" s="28">
        <v>1.0</v>
      </c>
      <c r="D16" s="17">
        <v>0.2</v>
      </c>
      <c r="E16" s="18">
        <v>700.0</v>
      </c>
      <c r="F16" s="18">
        <v>0.0</v>
      </c>
      <c r="G16" s="25">
        <f t="shared" si="2"/>
        <v>0</v>
      </c>
      <c r="H16" s="18">
        <f t="shared" si="3"/>
        <v>0</v>
      </c>
    </row>
    <row r="17">
      <c r="A17" s="10">
        <v>46189.0</v>
      </c>
      <c r="B17" s="13" t="s">
        <v>23</v>
      </c>
      <c r="C17" s="28">
        <v>0.0</v>
      </c>
      <c r="D17" s="17">
        <v>0.2</v>
      </c>
      <c r="E17" s="43">
        <v>0.0</v>
      </c>
      <c r="F17" s="18">
        <f>sum(E17)</f>
        <v>0</v>
      </c>
      <c r="G17" s="25">
        <f t="shared" si="2"/>
        <v>0</v>
      </c>
      <c r="H17" s="18">
        <f t="shared" si="3"/>
        <v>0</v>
      </c>
    </row>
    <row r="18">
      <c r="A18" s="10">
        <v>46190.0</v>
      </c>
      <c r="B18" s="13" t="s">
        <v>24</v>
      </c>
      <c r="C18" s="28">
        <v>1.0</v>
      </c>
      <c r="D18" s="17">
        <v>0.2</v>
      </c>
      <c r="E18" s="18">
        <v>1200.0</v>
      </c>
      <c r="F18" s="18">
        <f t="shared" ref="F18:F21" si="4">SUM(E18)</f>
        <v>1200</v>
      </c>
      <c r="G18" s="25">
        <f t="shared" si="2"/>
        <v>21</v>
      </c>
      <c r="H18" s="18">
        <f t="shared" si="3"/>
        <v>1179</v>
      </c>
    </row>
    <row r="19">
      <c r="A19" s="10">
        <v>46191.0</v>
      </c>
      <c r="B19" s="13" t="s">
        <v>25</v>
      </c>
      <c r="C19" s="28">
        <v>0.0</v>
      </c>
      <c r="D19" s="17">
        <v>0.2</v>
      </c>
      <c r="E19" s="18">
        <v>0.0</v>
      </c>
      <c r="F19" s="18">
        <f t="shared" si="4"/>
        <v>0</v>
      </c>
      <c r="G19" s="25">
        <f t="shared" si="2"/>
        <v>0</v>
      </c>
      <c r="H19" s="18">
        <f t="shared" si="3"/>
        <v>0</v>
      </c>
    </row>
    <row r="20">
      <c r="A20" s="10">
        <v>46192.0</v>
      </c>
      <c r="B20" s="13" t="s">
        <v>26</v>
      </c>
      <c r="C20" s="28">
        <v>0.0</v>
      </c>
      <c r="D20" s="17">
        <v>0.2</v>
      </c>
      <c r="E20" s="18">
        <v>0.0</v>
      </c>
      <c r="F20" s="18">
        <f t="shared" si="4"/>
        <v>0</v>
      </c>
      <c r="G20" s="25">
        <f t="shared" si="2"/>
        <v>0</v>
      </c>
      <c r="H20" s="18">
        <f t="shared" si="3"/>
        <v>0</v>
      </c>
    </row>
    <row r="21">
      <c r="A21" s="10">
        <v>46193.0</v>
      </c>
      <c r="B21" s="13" t="s">
        <v>27</v>
      </c>
      <c r="C21" s="28">
        <v>3.0</v>
      </c>
      <c r="D21" s="17">
        <v>0.2</v>
      </c>
      <c r="E21" s="18">
        <v>4294.0</v>
      </c>
      <c r="F21" s="18">
        <f t="shared" si="4"/>
        <v>4294</v>
      </c>
      <c r="G21" s="25">
        <f t="shared" si="2"/>
        <v>75.145</v>
      </c>
      <c r="H21" s="18">
        <f t="shared" si="3"/>
        <v>4218.855</v>
      </c>
    </row>
    <row r="22">
      <c r="A22" s="10">
        <v>46194.0</v>
      </c>
      <c r="B22" s="13" t="s">
        <v>31</v>
      </c>
      <c r="C22" s="28">
        <v>0.0</v>
      </c>
      <c r="D22" s="17">
        <v>0.2</v>
      </c>
      <c r="E22" s="18">
        <v>0.0</v>
      </c>
      <c r="F22" s="18">
        <f>sum(E22)</f>
        <v>0</v>
      </c>
      <c r="G22" s="25">
        <f t="shared" si="2"/>
        <v>0</v>
      </c>
      <c r="H22" s="18">
        <f t="shared" si="3"/>
        <v>0</v>
      </c>
    </row>
    <row r="23">
      <c r="A23" s="10">
        <v>46195.0</v>
      </c>
      <c r="B23" s="13" t="s">
        <v>13</v>
      </c>
      <c r="C23" s="28">
        <v>1.0</v>
      </c>
      <c r="D23" s="17">
        <v>0.2</v>
      </c>
      <c r="E23" s="18">
        <v>1100.0</v>
      </c>
      <c r="F23" s="18">
        <f t="shared" ref="F23:F31" si="5">SUM(E23)</f>
        <v>1100</v>
      </c>
      <c r="G23" s="25">
        <f t="shared" si="2"/>
        <v>19.25</v>
      </c>
      <c r="H23" s="18">
        <f t="shared" si="3"/>
        <v>1080.75</v>
      </c>
    </row>
    <row r="24">
      <c r="A24" s="10">
        <v>46196.0</v>
      </c>
      <c r="B24" s="13" t="s">
        <v>23</v>
      </c>
      <c r="C24" s="28">
        <v>0.0</v>
      </c>
      <c r="D24" s="17">
        <v>0.2</v>
      </c>
      <c r="E24" s="18">
        <v>0.0</v>
      </c>
      <c r="F24" s="18">
        <f t="shared" si="5"/>
        <v>0</v>
      </c>
      <c r="G24" s="25">
        <f t="shared" si="2"/>
        <v>0</v>
      </c>
      <c r="H24" s="18">
        <f t="shared" si="3"/>
        <v>0</v>
      </c>
    </row>
    <row r="25">
      <c r="A25" s="10">
        <v>46197.0</v>
      </c>
      <c r="B25" s="13" t="s">
        <v>24</v>
      </c>
      <c r="C25" s="28">
        <v>0.0</v>
      </c>
      <c r="D25" s="17">
        <v>0.2</v>
      </c>
      <c r="E25" s="18">
        <v>0.0</v>
      </c>
      <c r="F25" s="18">
        <f t="shared" si="5"/>
        <v>0</v>
      </c>
      <c r="G25" s="25">
        <f t="shared" si="2"/>
        <v>0</v>
      </c>
      <c r="H25" s="18">
        <f t="shared" si="3"/>
        <v>0</v>
      </c>
    </row>
    <row r="26">
      <c r="A26" s="10">
        <v>46198.0</v>
      </c>
      <c r="B26" s="13" t="s">
        <v>25</v>
      </c>
      <c r="C26" s="28">
        <v>0.0</v>
      </c>
      <c r="D26" s="17">
        <v>0.2</v>
      </c>
      <c r="E26" s="18">
        <v>0.0</v>
      </c>
      <c r="F26" s="18">
        <f t="shared" si="5"/>
        <v>0</v>
      </c>
      <c r="G26" s="25">
        <f t="shared" si="2"/>
        <v>0</v>
      </c>
      <c r="H26" s="18">
        <f t="shared" si="3"/>
        <v>0</v>
      </c>
    </row>
    <row r="27">
      <c r="A27" s="10">
        <v>46199.0</v>
      </c>
      <c r="B27" s="13" t="s">
        <v>26</v>
      </c>
      <c r="C27" s="28">
        <v>2.0</v>
      </c>
      <c r="D27" s="17">
        <v>0.2</v>
      </c>
      <c r="E27" s="18">
        <v>2400.0</v>
      </c>
      <c r="F27" s="18">
        <f t="shared" si="5"/>
        <v>2400</v>
      </c>
      <c r="G27" s="25">
        <f t="shared" si="2"/>
        <v>42</v>
      </c>
      <c r="H27" s="18">
        <f t="shared" si="3"/>
        <v>2358</v>
      </c>
    </row>
    <row r="28">
      <c r="A28" s="10">
        <v>46200.0</v>
      </c>
      <c r="B28" s="13" t="s">
        <v>27</v>
      </c>
      <c r="C28" s="28">
        <v>1.0</v>
      </c>
      <c r="D28" s="17">
        <v>0.2</v>
      </c>
      <c r="E28" s="18">
        <v>800.0</v>
      </c>
      <c r="F28" s="18">
        <f t="shared" si="5"/>
        <v>800</v>
      </c>
      <c r="G28" s="25">
        <f t="shared" si="2"/>
        <v>14</v>
      </c>
      <c r="H28" s="18">
        <f t="shared" si="3"/>
        <v>786</v>
      </c>
    </row>
    <row r="29">
      <c r="A29" s="10">
        <v>46201.0</v>
      </c>
      <c r="B29" s="13" t="s">
        <v>31</v>
      </c>
      <c r="C29" s="28">
        <v>1.0</v>
      </c>
      <c r="D29" s="17">
        <v>0.2</v>
      </c>
      <c r="E29" s="18">
        <v>1200.0</v>
      </c>
      <c r="F29" s="18">
        <f t="shared" si="5"/>
        <v>1200</v>
      </c>
      <c r="G29" s="25">
        <f t="shared" si="2"/>
        <v>21</v>
      </c>
      <c r="H29" s="18">
        <f t="shared" si="3"/>
        <v>1179</v>
      </c>
    </row>
    <row r="30">
      <c r="A30" s="10">
        <v>46202.0</v>
      </c>
      <c r="B30" s="13" t="s">
        <v>13</v>
      </c>
      <c r="C30" s="28">
        <v>2.0</v>
      </c>
      <c r="D30" s="17">
        <v>0.2</v>
      </c>
      <c r="E30" s="18">
        <v>2400.0</v>
      </c>
      <c r="F30" s="18">
        <f t="shared" si="5"/>
        <v>2400</v>
      </c>
      <c r="G30" s="25">
        <f t="shared" si="2"/>
        <v>42</v>
      </c>
      <c r="H30" s="18">
        <f t="shared" si="3"/>
        <v>2358</v>
      </c>
    </row>
    <row r="31">
      <c r="A31" s="10">
        <v>46203.0</v>
      </c>
      <c r="B31" s="13" t="s">
        <v>23</v>
      </c>
      <c r="C31" s="15">
        <v>0.0</v>
      </c>
      <c r="D31" s="17">
        <v>0.2</v>
      </c>
      <c r="E31" s="51">
        <v>1500.0</v>
      </c>
      <c r="F31" s="18">
        <f t="shared" si="5"/>
        <v>1500</v>
      </c>
      <c r="G31" s="25">
        <f t="shared" si="2"/>
        <v>26.25</v>
      </c>
      <c r="H31" s="18">
        <f t="shared" si="3"/>
        <v>1473.75</v>
      </c>
    </row>
    <row r="32">
      <c r="A32" s="53" t="s">
        <v>34</v>
      </c>
      <c r="B32" s="54"/>
      <c r="C32" s="55"/>
      <c r="D32" s="54"/>
      <c r="E32" s="56">
        <f t="shared" ref="E32:H32" si="6">SUM(E1:E31)</f>
        <v>30794</v>
      </c>
      <c r="F32" s="56">
        <f t="shared" si="6"/>
        <v>30094</v>
      </c>
      <c r="G32" s="56">
        <f t="shared" si="6"/>
        <v>526.645</v>
      </c>
      <c r="H32" s="56">
        <f t="shared" si="6"/>
        <v>29567.355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2" t="s">
        <v>0</v>
      </c>
      <c r="B1" s="16" t="s">
        <v>1</v>
      </c>
      <c r="C1" s="16" t="s">
        <v>15</v>
      </c>
      <c r="D1" s="16" t="s">
        <v>16</v>
      </c>
      <c r="E1" s="19" t="s">
        <v>17</v>
      </c>
      <c r="F1" s="16" t="s">
        <v>11</v>
      </c>
      <c r="G1" s="20" t="s">
        <v>18</v>
      </c>
      <c r="H1" s="20" t="s">
        <v>19</v>
      </c>
      <c r="I1" s="16" t="s">
        <v>20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2"/>
      <c r="B2" s="23" t="s">
        <v>2</v>
      </c>
      <c r="C2" s="24">
        <v>19180.0</v>
      </c>
      <c r="D2" s="24">
        <v>1230.0</v>
      </c>
      <c r="E2" s="26">
        <v>221.0</v>
      </c>
      <c r="F2" s="29">
        <f>C2-D2-E2</f>
        <v>17729</v>
      </c>
      <c r="G2" s="24">
        <v>95.0</v>
      </c>
      <c r="H2" s="24">
        <v>19.0</v>
      </c>
      <c r="I2" s="24">
        <f>F2-G2-H2</f>
        <v>17615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2"/>
      <c r="B3" s="34"/>
      <c r="C3" s="23"/>
      <c r="D3" s="23"/>
      <c r="E3" s="36"/>
      <c r="F3" s="29"/>
      <c r="G3" s="23"/>
      <c r="H3" s="23"/>
      <c r="I3" s="3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2"/>
      <c r="B4" s="38" t="s">
        <v>34</v>
      </c>
      <c r="C4" s="39">
        <f>SUM(C2:C3)</f>
        <v>19180</v>
      </c>
      <c r="D4" s="40"/>
      <c r="E4" s="41"/>
      <c r="F4" s="42">
        <f>SUM(F2:F3)</f>
        <v>17729</v>
      </c>
      <c r="G4" s="40"/>
      <c r="H4" s="40"/>
      <c r="I4" s="39">
        <f>SUM(I2:I3)</f>
        <v>17615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</sheetData>
  <hyperlinks>
    <hyperlink r:id="rId1" ref="A1"/>
  </hyperlinks>
  <drawing r:id="rId2"/>
</worksheet>
</file>