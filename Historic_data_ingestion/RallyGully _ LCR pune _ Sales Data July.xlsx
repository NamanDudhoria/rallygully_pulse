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<sst xmlns="http://schemas.openxmlformats.org/spreadsheetml/2006/main" count="114" uniqueCount="65">
  <si>
    <t>Link</t>
  </si>
  <si>
    <t>Date</t>
  </si>
  <si>
    <t>Day</t>
  </si>
  <si>
    <t>1 - 31 July</t>
  </si>
  <si>
    <t>Offline booking hours</t>
  </si>
  <si>
    <t>Booking Revenue</t>
  </si>
  <si>
    <t>Community Revenue</t>
  </si>
  <si>
    <t xml:space="preserve">Paddle Rental </t>
  </si>
  <si>
    <t>F&amp;B</t>
  </si>
  <si>
    <t>Total Revenue</t>
  </si>
  <si>
    <t>Payment Gateway</t>
  </si>
  <si>
    <t>Particulars</t>
  </si>
  <si>
    <t>Net Revenue</t>
  </si>
  <si>
    <t>Amount</t>
  </si>
  <si>
    <t>Wednesday</t>
  </si>
  <si>
    <t>Pickleball</t>
  </si>
  <si>
    <t>Pay &amp; Play</t>
  </si>
  <si>
    <t>Paid to District</t>
  </si>
  <si>
    <t>Commissions (₹)</t>
  </si>
  <si>
    <t>GST on Commission</t>
  </si>
  <si>
    <t xml:space="preserve">Online </t>
  </si>
  <si>
    <t>TCS</t>
  </si>
  <si>
    <t>TDS</t>
  </si>
  <si>
    <t>Paid to Hudle</t>
  </si>
  <si>
    <t>Final Amount (₹)</t>
  </si>
  <si>
    <t>Commisions (Including GST)</t>
  </si>
  <si>
    <t>Thursday</t>
  </si>
  <si>
    <t>District</t>
  </si>
  <si>
    <t>Friday</t>
  </si>
  <si>
    <t>Saturday</t>
  </si>
  <si>
    <t>Sunday</t>
  </si>
  <si>
    <t>Hudle</t>
  </si>
  <si>
    <t>Monday</t>
  </si>
  <si>
    <t>Tuesday</t>
  </si>
  <si>
    <t>Playo</t>
  </si>
  <si>
    <t>Khelomore</t>
  </si>
  <si>
    <t>Total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</si>
  <si>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</si>
  <si>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</si>
  <si>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</si>
  <si>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</si>
  <si>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</si>
  <si>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</si>
  <si>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</si>
  <si>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</si>
  <si>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</si>
  <si>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</si>
  <si>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</si>
  <si>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</si>
  <si>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</si>
  <si>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</si>
  <si>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</si>
  <si>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Total Gross Revenue</t>
  </si>
  <si>
    <t>Total Net Revenue (Post Commissions)</t>
  </si>
  <si>
    <t>Total Revenue post GST</t>
  </si>
  <si>
    <t>Paid to Khelomore (₹)</t>
  </si>
  <si>
    <t>Paid to Playo (₹)</t>
  </si>
  <si>
    <t>GST (₹)</t>
  </si>
  <si>
    <t>TDS (₹)</t>
  </si>
  <si>
    <t>TCS (₹)</t>
  </si>
  <si>
    <t>Month</t>
  </si>
  <si>
    <t>Sports Type</t>
  </si>
  <si>
    <t>Amount Collected</t>
  </si>
  <si>
    <t>July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</si>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</sst>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d mmmm"/>
    <numFmt numFmtId="167" formatCode="[&gt;9999999][$₹]##\,##\,##\,##0;[&gt;99999][$₹]##\,##\,##0;[$₹]##,##0"/>
    <numFmt numFmtId="168" formatCode="[$₹]#,##0.00"/>
    <numFmt numFmtId="169" formatCode="d mmm"/>
    <numFmt numFmtId="170" formatCode="[&gt;9999999][$₹]##\,##\,##\,##0.00;[&gt;99999][$₹]##\,##\,##0.00;[$₹]#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165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3" fontId="4" numFmtId="166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2" fontId="6" numFmtId="0" xfId="0" applyAlignment="1" applyBorder="1" applyFill="1" applyFont="1">
      <alignment horizontal="center" readingOrder="0" vertical="bottom"/>
    </xf>
    <xf borderId="1" fillId="0" fontId="2" numFmtId="167" xfId="0" applyAlignment="1" applyBorder="1" applyFont="1" applyNumberFormat="1">
      <alignment horizontal="right" vertical="bottom"/>
    </xf>
    <xf borderId="0" fillId="2" fontId="7" numFmtId="168" xfId="0" applyAlignment="1" applyFill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0" fillId="2" fontId="2" numFmtId="168" xfId="0" applyAlignment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vertical="bottom"/>
    </xf>
    <xf borderId="0" fillId="0" fontId="4" numFmtId="169" xfId="0" applyAlignment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vertical="bottom"/>
    </xf>
    <xf borderId="1" fillId="0" fontId="4" numFmtId="167" xfId="0" applyAlignment="1" applyBorder="1" applyFont="1" applyNumberFormat="1">
      <alignment vertical="bottom"/>
    </xf>
    <xf borderId="1" fillId="0" fontId="4" numFmtId="170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2" fontId="2" numFmtId="167" xfId="0" applyAlignment="1" applyBorder="1" applyFill="1" applyFont="1" applyNumberForma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2" fontId="2" numFmtId="170" xfId="0" applyAlignment="1" applyBorder="1" applyFill="1" applyFont="1" applyNumberFormat="1">
      <alignment horizontal="right" vertical="bottom"/>
    </xf>
    <xf borderId="1" fillId="2" fontId="4" numFmtId="168" xfId="0" applyAlignment="1" applyBorder="1" applyFill="1" applyFont="1" applyNumberFormat="1">
      <alignment vertical="bottom"/>
    </xf>
    <xf borderId="0" fillId="0" fontId="4" numFmtId="168" xfId="0" applyAlignment="1" applyFont="1" applyNumberFormat="1">
      <alignment vertical="bottom"/>
    </xf>
    <xf borderId="1" fillId="0" fontId="4" numFmtId="170" xfId="0" applyAlignment="1" applyBorder="1" applyFont="1" applyNumberFormat="1">
      <alignment vertical="bottom"/>
    </xf>
    <xf borderId="1" fillId="2" fontId="2" numFmtId="168" xfId="0" applyAlignment="1" applyBorder="1" applyFill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2" fontId="4" numFmtId="170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horizontal="right" vertical="bottom"/>
    </xf>
    <xf borderId="1" fillId="2" fontId="2" numFmtId="167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3" fontId="4" numFmtId="164" xfId="0" applyAlignment="1" applyBorder="1" applyFill="1" applyFont="1" applyNumberFormat="1">
      <alignment horizontal="right" vertical="bottom"/>
    </xf>
    <xf borderId="1" fillId="0" fontId="2" numFmtId="168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2" fontId="4" numFmtId="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8" numFmtId="165" xfId="0" applyAlignment="1" applyBorder="1" applyFill="1" applyFont="1" applyNumberFormat="1">
      <alignment horizontal="center"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0" fillId="0" fontId="9" numFmtId="165" xfId="0" applyFont="1" applyNumberFormat="1"/>
    <xf borderId="1" fillId="3" fontId="4" numFmtId="165" xfId="0" applyAlignment="1" applyBorder="1" applyFill="1" applyFont="1" applyNumberFormat="1">
      <alignment vertical="bottom"/>
    </xf>
    <xf borderId="1" fillId="3" fontId="4" numFmtId="168" xfId="0" applyAlignment="1" applyBorder="1" applyFill="1" applyFont="1" applyNumberFormat="1">
      <alignment horizontal="right" vertical="bottom"/>
    </xf>
    <xf borderId="1" fillId="3" fontId="4" numFmtId="4" xfId="0" applyAlignment="1" applyBorder="1" applyFill="1" applyFont="1" applyNumberFormat="1">
      <alignment horizontal="right" readingOrder="0" vertical="bottom"/>
    </xf>
    <xf borderId="1" fillId="3" fontId="4" numFmtId="165" xfId="0" applyAlignment="1" applyBorder="1" applyFill="1" applyFont="1" applyNumberFormat="1">
      <alignment horizontal="right" readingOrder="0" vertical="bottom"/>
    </xf>
    <xf borderId="1" fillId="3" fontId="4" numFmtId="168" xfId="0" applyAlignment="1" applyBorder="1" applyFill="1" applyFont="1" applyNumberFormat="1">
      <alignment vertical="bottom"/>
    </xf>
    <xf borderId="0" fillId="0" fontId="4" numFmtId="1" xfId="0" applyAlignment="1" applyFont="1" applyNumberFormat="1">
      <alignment vertical="bottom"/>
    </xf>
    <xf borderId="1" fillId="2" fontId="2" numFmtId="169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7" numFmtId="168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170" xfId="0" applyAlignment="1" applyBorder="1" applyFont="1" applyNumberFormat="1">
      <alignment horizontal="right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4" numFmtId="165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caLIILkMLo-ixvhy6P7P3SDWm9Fb8IGR7Rw0_-UPMA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Ym8S8uTMdumdaoCn5aF-mbyK6lmHcjIlWETTcfBby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4" t="s">
        <v>3</v>
      </c>
      <c r="C2" s="5"/>
    </row>
    <row r="3">
      <c r="B3" s="7" t="s">
        <v>11</v>
      </c>
      <c r="C3" s="7" t="s">
        <v>13</v>
      </c>
      <c r="E3" s="9"/>
    </row>
    <row r="4">
      <c r="B4" s="12"/>
      <c r="C4" s="15" t="s">
        <v>15</v>
      </c>
      <c r="E4" s="9"/>
    </row>
    <row r="5">
      <c r="B5" s="16" t="s">
        <v>16</v>
      </c>
      <c r="C5" s="20">
        <f>sum(C6,C12)</f>
        <v>74328</v>
      </c>
      <c r="E5" s="9"/>
    </row>
    <row r="6">
      <c r="B6" s="16" t="s">
        <v>20</v>
      </c>
      <c r="C6" s="20">
        <f>sum(C7:C11)</f>
        <v>59528</v>
      </c>
      <c r="E6" s="9"/>
    </row>
    <row r="7" outlineLevel="1">
      <c r="B7" s="24" t="s">
        <v>27</v>
      </c>
      <c r="C7" s="31">
        <f>District!C4</f>
        <v>42153</v>
      </c>
      <c r="E7" s="9"/>
    </row>
    <row r="8" outlineLevel="1">
      <c r="B8" s="24" t="s">
        <v>31</v>
      </c>
      <c r="C8" s="33">
        <f>Hudle!C3</f>
        <v>3650</v>
      </c>
      <c r="E8" s="9"/>
    </row>
    <row r="9" outlineLevel="1">
      <c r="B9" s="24" t="s">
        <v>34</v>
      </c>
      <c r="C9" s="33">
        <f>Playo!C3</f>
        <v>9600</v>
      </c>
      <c r="E9" s="9"/>
    </row>
    <row r="10" outlineLevel="1">
      <c r="B10" s="35" t="s">
        <v>35</v>
      </c>
      <c r="C10" s="33">
        <f>Khelomore!B4</f>
        <v>4125</v>
      </c>
      <c r="E10" s="37"/>
    </row>
    <row r="11" outlineLevel="1">
      <c r="B11" s="24" t="s">
        <v>37</v>
      </c>
      <c r="C11" s="31">
        <v>0.0</v>
      </c>
      <c r="E11" s="37"/>
    </row>
    <row r="12">
      <c r="B12" s="38" t="s">
        <v>38</v>
      </c>
      <c r="C12" s="20">
        <f>sum(C13:C14)</f>
        <v>14800</v>
      </c>
    </row>
    <row r="13" outlineLevel="1">
      <c r="B13" s="24" t="s">
        <v>39</v>
      </c>
      <c r="C13" s="33">
        <f>'Offline &amp; RG Community'!D33</f>
        <v>14800</v>
      </c>
    </row>
    <row r="14" outlineLevel="1">
      <c r="B14" s="26" t="s">
        <v>40</v>
      </c>
      <c r="C14" s="31">
        <v>0.0</v>
      </c>
      <c r="E14" s="9"/>
    </row>
    <row r="15">
      <c r="B15" s="38" t="s">
        <v>41</v>
      </c>
      <c r="C15" s="20">
        <f>sum(C16:C17)</f>
        <v>0</v>
      </c>
      <c r="E15" s="9"/>
    </row>
    <row r="16" outlineLevel="1">
      <c r="B16" s="35" t="s">
        <v>42</v>
      </c>
      <c r="C16" s="31">
        <f>0</f>
        <v>0</v>
      </c>
      <c r="E16" s="9"/>
    </row>
    <row r="17" outlineLevel="1">
      <c r="B17" s="35" t="s">
        <v>43</v>
      </c>
      <c r="C17" s="31">
        <v>0.0</v>
      </c>
    </row>
    <row r="18">
      <c r="B18" s="38" t="s">
        <v>44</v>
      </c>
      <c r="C18" s="20">
        <v>0.0</v>
      </c>
      <c r="E18" s="9"/>
    </row>
    <row r="19">
      <c r="B19" s="16" t="s">
        <v>45</v>
      </c>
      <c r="C19" s="20">
        <f>sum(C20,C21)</f>
        <v>0</v>
      </c>
    </row>
    <row r="20" outlineLevel="1">
      <c r="B20" s="24" t="s">
        <v>46</v>
      </c>
      <c r="C20" s="46">
        <v>0.0</v>
      </c>
    </row>
    <row r="21" outlineLevel="1">
      <c r="B21" s="35" t="s">
        <v>47</v>
      </c>
      <c r="C21" s="46">
        <v>0.0</v>
      </c>
    </row>
    <row r="22">
      <c r="B22" s="16" t="s">
        <v>48</v>
      </c>
      <c r="C22" s="20">
        <f>sum(C23:C25)</f>
        <v>10150</v>
      </c>
    </row>
    <row r="23" outlineLevel="1">
      <c r="B23" s="24" t="s">
        <v>49</v>
      </c>
      <c r="C23" s="48">
        <f>'Offline &amp; RG Community'!F33</f>
        <v>10150</v>
      </c>
    </row>
    <row r="24" outlineLevel="1">
      <c r="B24" s="24" t="s">
        <v>50</v>
      </c>
      <c r="C24" s="31">
        <v>0.0</v>
      </c>
    </row>
    <row r="25" outlineLevel="1">
      <c r="B25" s="24" t="s">
        <v>8</v>
      </c>
      <c r="C25" s="46">
        <v>0.0</v>
      </c>
    </row>
    <row r="26">
      <c r="B26" s="16" t="s">
        <v>51</v>
      </c>
      <c r="C26" s="20">
        <f>'Other income'!C2</f>
        <v>120000</v>
      </c>
    </row>
    <row r="27">
      <c r="B27" s="8" t="s">
        <v>52</v>
      </c>
      <c r="C27" s="49">
        <f>sum(C26+C22+C19+C18+C15+C12+C6)</f>
        <v>204478</v>
      </c>
    </row>
    <row r="28">
      <c r="B28" s="50" t="s">
        <v>53</v>
      </c>
      <c r="C28" s="52">
        <f>'Offline &amp; RG Community'!J33+District!F4+Hudle!E3+Playo!F3+Khelomore!D4+'Other income'!C2</f>
        <v>198821.125</v>
      </c>
    </row>
    <row r="29">
      <c r="B29" s="16" t="s">
        <v>54</v>
      </c>
      <c r="C29" s="20">
        <f>(C27/1.18)-(C27-C28)</f>
        <v>167629.5657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7.63"/>
    <col customWidth="1" min="8" max="8" width="15.25"/>
  </cols>
  <sheetData>
    <row r="1">
      <c r="A1" s="2" t="s">
        <v>1</v>
      </c>
      <c r="B1" s="2" t="s">
        <v>2</v>
      </c>
      <c r="C1" s="3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6" t="s">
        <v>10</v>
      </c>
      <c r="J1" s="8" t="s">
        <v>12</v>
      </c>
    </row>
    <row r="2">
      <c r="A2" s="10">
        <v>46204.0</v>
      </c>
      <c r="B2" s="11" t="s">
        <v>14</v>
      </c>
      <c r="C2" s="13">
        <v>0.0</v>
      </c>
      <c r="D2" s="14">
        <v>0.0</v>
      </c>
      <c r="E2" s="14">
        <v>0.0</v>
      </c>
      <c r="F2" s="14">
        <v>0.0</v>
      </c>
      <c r="G2" s="14">
        <v>0.0</v>
      </c>
      <c r="H2" s="14">
        <f t="shared" ref="H2:H33" si="1">sum(D2:G2)</f>
        <v>0</v>
      </c>
      <c r="I2" s="22">
        <f t="shared" ref="I2:I32" si="2">H2*1.75%</f>
        <v>0</v>
      </c>
      <c r="J2" s="14">
        <f t="shared" ref="J2:J32" si="3">H2-I2</f>
        <v>0</v>
      </c>
    </row>
    <row r="3">
      <c r="A3" s="10">
        <v>46205.0</v>
      </c>
      <c r="B3" s="11" t="s">
        <v>26</v>
      </c>
      <c r="C3" s="13">
        <v>0.5</v>
      </c>
      <c r="D3" s="14">
        <v>350.0</v>
      </c>
      <c r="E3" s="14">
        <v>0.0</v>
      </c>
      <c r="F3" s="14">
        <v>300.0</v>
      </c>
      <c r="G3" s="14">
        <v>0.0</v>
      </c>
      <c r="H3" s="14">
        <f t="shared" si="1"/>
        <v>650</v>
      </c>
      <c r="I3" s="22">
        <f t="shared" si="2"/>
        <v>11.375</v>
      </c>
      <c r="J3" s="14">
        <f t="shared" si="3"/>
        <v>638.625</v>
      </c>
    </row>
    <row r="4">
      <c r="A4" s="10">
        <v>46206.0</v>
      </c>
      <c r="B4" s="11" t="s">
        <v>28</v>
      </c>
      <c r="C4" s="25">
        <v>0.0</v>
      </c>
      <c r="D4" s="14">
        <v>0.0</v>
      </c>
      <c r="E4" s="14">
        <v>0.0</v>
      </c>
      <c r="F4" s="14">
        <v>100.0</v>
      </c>
      <c r="G4" s="14">
        <v>0.0</v>
      </c>
      <c r="H4" s="14">
        <f t="shared" si="1"/>
        <v>100</v>
      </c>
      <c r="I4" s="22">
        <f t="shared" si="2"/>
        <v>1.75</v>
      </c>
      <c r="J4" s="14">
        <f t="shared" si="3"/>
        <v>98.25</v>
      </c>
    </row>
    <row r="5">
      <c r="A5" s="10">
        <v>46207.0</v>
      </c>
      <c r="B5" s="11" t="s">
        <v>29</v>
      </c>
      <c r="C5" s="25">
        <v>0.5</v>
      </c>
      <c r="D5" s="14">
        <v>350.0</v>
      </c>
      <c r="E5" s="14">
        <v>0.0</v>
      </c>
      <c r="F5" s="14">
        <v>300.0</v>
      </c>
      <c r="G5" s="14">
        <v>0.0</v>
      </c>
      <c r="H5" s="14">
        <f t="shared" si="1"/>
        <v>650</v>
      </c>
      <c r="I5" s="22">
        <f t="shared" si="2"/>
        <v>11.375</v>
      </c>
      <c r="J5" s="14">
        <f t="shared" si="3"/>
        <v>638.625</v>
      </c>
    </row>
    <row r="6">
      <c r="A6" s="10">
        <v>46208.0</v>
      </c>
      <c r="B6" s="11" t="s">
        <v>30</v>
      </c>
      <c r="C6" s="25">
        <v>0.0</v>
      </c>
      <c r="D6" s="14">
        <v>0.0</v>
      </c>
      <c r="E6" s="14">
        <v>0.0</v>
      </c>
      <c r="F6" s="14">
        <v>0.0</v>
      </c>
      <c r="G6" s="14">
        <v>0.0</v>
      </c>
      <c r="H6" s="14">
        <f t="shared" si="1"/>
        <v>0</v>
      </c>
      <c r="I6" s="22">
        <f t="shared" si="2"/>
        <v>0</v>
      </c>
      <c r="J6" s="14">
        <f t="shared" si="3"/>
        <v>0</v>
      </c>
    </row>
    <row r="7">
      <c r="A7" s="10">
        <v>46209.0</v>
      </c>
      <c r="B7" s="11" t="s">
        <v>32</v>
      </c>
      <c r="C7" s="25">
        <v>0.0</v>
      </c>
      <c r="D7" s="14">
        <v>0.0</v>
      </c>
      <c r="E7" s="14">
        <v>0.0</v>
      </c>
      <c r="F7" s="32">
        <v>0.0</v>
      </c>
      <c r="G7" s="14">
        <v>0.0</v>
      </c>
      <c r="H7" s="14">
        <f t="shared" si="1"/>
        <v>0</v>
      </c>
      <c r="I7" s="22">
        <f t="shared" si="2"/>
        <v>0</v>
      </c>
      <c r="J7" s="14">
        <f t="shared" si="3"/>
        <v>0</v>
      </c>
    </row>
    <row r="8">
      <c r="A8" s="10">
        <v>46210.0</v>
      </c>
      <c r="B8" s="11" t="s">
        <v>33</v>
      </c>
      <c r="C8" s="25">
        <v>0.0</v>
      </c>
      <c r="D8" s="14">
        <v>0.0</v>
      </c>
      <c r="E8" s="14">
        <v>0.0</v>
      </c>
      <c r="F8" s="14">
        <v>0.0</v>
      </c>
      <c r="G8" s="14">
        <v>0.0</v>
      </c>
      <c r="H8" s="14">
        <f t="shared" si="1"/>
        <v>0</v>
      </c>
      <c r="I8" s="22">
        <f t="shared" si="2"/>
        <v>0</v>
      </c>
      <c r="J8" s="14">
        <f t="shared" si="3"/>
        <v>0</v>
      </c>
    </row>
    <row r="9">
      <c r="A9" s="10">
        <v>46211.0</v>
      </c>
      <c r="B9" s="11" t="s">
        <v>14</v>
      </c>
      <c r="C9" s="25">
        <v>0.0</v>
      </c>
      <c r="D9" s="14">
        <v>0.0</v>
      </c>
      <c r="E9" s="14">
        <v>0.0</v>
      </c>
      <c r="F9" s="32">
        <v>0.0</v>
      </c>
      <c r="G9" s="14">
        <v>0.0</v>
      </c>
      <c r="H9" s="14">
        <f t="shared" si="1"/>
        <v>0</v>
      </c>
      <c r="I9" s="22">
        <f t="shared" si="2"/>
        <v>0</v>
      </c>
      <c r="J9" s="14">
        <f t="shared" si="3"/>
        <v>0</v>
      </c>
    </row>
    <row r="10">
      <c r="A10" s="10">
        <v>46212.0</v>
      </c>
      <c r="B10" s="11" t="s">
        <v>26</v>
      </c>
      <c r="C10" s="25">
        <v>2.0</v>
      </c>
      <c r="D10" s="14">
        <v>1300.0</v>
      </c>
      <c r="E10" s="14">
        <v>0.0</v>
      </c>
      <c r="F10" s="14">
        <v>475.0</v>
      </c>
      <c r="G10" s="14">
        <v>0.0</v>
      </c>
      <c r="H10" s="14">
        <f t="shared" si="1"/>
        <v>1775</v>
      </c>
      <c r="I10" s="22">
        <f t="shared" si="2"/>
        <v>31.0625</v>
      </c>
      <c r="J10" s="14">
        <f t="shared" si="3"/>
        <v>1743.9375</v>
      </c>
    </row>
    <row r="11">
      <c r="A11" s="10">
        <v>46213.0</v>
      </c>
      <c r="B11" s="11" t="s">
        <v>28</v>
      </c>
      <c r="C11" s="25">
        <v>7.0</v>
      </c>
      <c r="D11" s="14">
        <v>4900.0</v>
      </c>
      <c r="E11" s="14">
        <v>0.0</v>
      </c>
      <c r="F11" s="14">
        <v>300.0</v>
      </c>
      <c r="G11" s="14">
        <v>0.0</v>
      </c>
      <c r="H11" s="14">
        <f t="shared" si="1"/>
        <v>5200</v>
      </c>
      <c r="I11" s="22">
        <f t="shared" si="2"/>
        <v>91</v>
      </c>
      <c r="J11" s="14">
        <f t="shared" si="3"/>
        <v>5109</v>
      </c>
    </row>
    <row r="12">
      <c r="A12" s="10">
        <v>46214.0</v>
      </c>
      <c r="B12" s="11" t="s">
        <v>29</v>
      </c>
      <c r="C12" s="25">
        <v>0.0</v>
      </c>
      <c r="D12" s="14">
        <v>0.0</v>
      </c>
      <c r="E12" s="14">
        <v>0.0</v>
      </c>
      <c r="F12" s="14">
        <v>300.0</v>
      </c>
      <c r="G12" s="14">
        <v>0.0</v>
      </c>
      <c r="H12" s="14">
        <f t="shared" si="1"/>
        <v>300</v>
      </c>
      <c r="I12" s="22">
        <f t="shared" si="2"/>
        <v>5.25</v>
      </c>
      <c r="J12" s="14">
        <f t="shared" si="3"/>
        <v>294.75</v>
      </c>
    </row>
    <row r="13">
      <c r="A13" s="10">
        <v>46215.0</v>
      </c>
      <c r="B13" s="11" t="s">
        <v>30</v>
      </c>
      <c r="C13" s="25">
        <v>1.0</v>
      </c>
      <c r="D13" s="14">
        <v>700.0</v>
      </c>
      <c r="E13" s="14">
        <v>0.0</v>
      </c>
      <c r="F13" s="14">
        <v>1725.0</v>
      </c>
      <c r="G13" s="14">
        <v>0.0</v>
      </c>
      <c r="H13" s="14">
        <f t="shared" si="1"/>
        <v>2425</v>
      </c>
      <c r="I13" s="22">
        <f t="shared" si="2"/>
        <v>42.4375</v>
      </c>
      <c r="J13" s="14">
        <f t="shared" si="3"/>
        <v>2382.5625</v>
      </c>
    </row>
    <row r="14">
      <c r="A14" s="10">
        <v>46216.0</v>
      </c>
      <c r="B14" s="11" t="s">
        <v>32</v>
      </c>
      <c r="C14" s="25">
        <v>1.0</v>
      </c>
      <c r="D14" s="14">
        <v>700.0</v>
      </c>
      <c r="E14" s="14">
        <v>0.0</v>
      </c>
      <c r="F14" s="14">
        <v>650.0</v>
      </c>
      <c r="G14" s="14">
        <v>0.0</v>
      </c>
      <c r="H14" s="14">
        <f t="shared" si="1"/>
        <v>1350</v>
      </c>
      <c r="I14" s="22">
        <f t="shared" si="2"/>
        <v>23.625</v>
      </c>
      <c r="J14" s="14">
        <f t="shared" si="3"/>
        <v>1326.375</v>
      </c>
    </row>
    <row r="15">
      <c r="A15" s="10">
        <v>46217.0</v>
      </c>
      <c r="B15" s="11" t="s">
        <v>33</v>
      </c>
      <c r="C15" s="25">
        <v>0.0</v>
      </c>
      <c r="D15" s="14">
        <v>0.0</v>
      </c>
      <c r="E15" s="14">
        <v>0.0</v>
      </c>
      <c r="F15" s="14">
        <v>50.0</v>
      </c>
      <c r="G15" s="14">
        <v>0.0</v>
      </c>
      <c r="H15" s="14">
        <f t="shared" si="1"/>
        <v>50</v>
      </c>
      <c r="I15" s="22">
        <f t="shared" si="2"/>
        <v>0.875</v>
      </c>
      <c r="J15" s="14">
        <f t="shared" si="3"/>
        <v>49.125</v>
      </c>
    </row>
    <row r="16">
      <c r="A16" s="10">
        <v>46218.0</v>
      </c>
      <c r="B16" s="11" t="s">
        <v>14</v>
      </c>
      <c r="C16" s="25">
        <v>2.0</v>
      </c>
      <c r="D16" s="14">
        <v>1400.0</v>
      </c>
      <c r="E16" s="14">
        <v>0.0</v>
      </c>
      <c r="F16" s="14">
        <v>875.0</v>
      </c>
      <c r="G16" s="14">
        <v>0.0</v>
      </c>
      <c r="H16" s="14">
        <f t="shared" si="1"/>
        <v>2275</v>
      </c>
      <c r="I16" s="22">
        <f t="shared" si="2"/>
        <v>39.8125</v>
      </c>
      <c r="J16" s="14">
        <f t="shared" si="3"/>
        <v>2235.1875</v>
      </c>
    </row>
    <row r="17">
      <c r="A17" s="10">
        <v>46219.0</v>
      </c>
      <c r="B17" s="11" t="s">
        <v>26</v>
      </c>
      <c r="C17" s="25">
        <v>0.0</v>
      </c>
      <c r="D17" s="44">
        <v>0.0</v>
      </c>
      <c r="E17" s="14">
        <v>0.0</v>
      </c>
      <c r="F17" s="14">
        <v>350.0</v>
      </c>
      <c r="G17" s="14">
        <v>0.0</v>
      </c>
      <c r="H17" s="14">
        <f t="shared" si="1"/>
        <v>350</v>
      </c>
      <c r="I17" s="22">
        <f t="shared" si="2"/>
        <v>6.125</v>
      </c>
      <c r="J17" s="14">
        <f t="shared" si="3"/>
        <v>343.875</v>
      </c>
    </row>
    <row r="18">
      <c r="A18" s="10">
        <v>46220.0</v>
      </c>
      <c r="B18" s="11" t="s">
        <v>28</v>
      </c>
      <c r="C18" s="25">
        <v>3.5</v>
      </c>
      <c r="D18" s="14">
        <v>2450.0</v>
      </c>
      <c r="E18" s="14">
        <v>0.0</v>
      </c>
      <c r="F18" s="14">
        <v>500.0</v>
      </c>
      <c r="G18" s="14">
        <v>0.0</v>
      </c>
      <c r="H18" s="14">
        <f t="shared" si="1"/>
        <v>2950</v>
      </c>
      <c r="I18" s="22">
        <f t="shared" si="2"/>
        <v>51.625</v>
      </c>
      <c r="J18" s="14">
        <f t="shared" si="3"/>
        <v>2898.375</v>
      </c>
    </row>
    <row r="19">
      <c r="A19" s="10">
        <v>46221.0</v>
      </c>
      <c r="B19" s="11" t="s">
        <v>29</v>
      </c>
      <c r="C19" s="25">
        <v>0.5</v>
      </c>
      <c r="D19" s="14">
        <v>350.0</v>
      </c>
      <c r="E19" s="14">
        <v>0.0</v>
      </c>
      <c r="F19" s="14">
        <v>600.0</v>
      </c>
      <c r="G19" s="14">
        <v>0.0</v>
      </c>
      <c r="H19" s="14">
        <f t="shared" si="1"/>
        <v>950</v>
      </c>
      <c r="I19" s="22">
        <f t="shared" si="2"/>
        <v>16.625</v>
      </c>
      <c r="J19" s="14">
        <f t="shared" si="3"/>
        <v>933.375</v>
      </c>
    </row>
    <row r="20">
      <c r="A20" s="10">
        <v>46222.0</v>
      </c>
      <c r="B20" s="11" t="s">
        <v>30</v>
      </c>
      <c r="C20" s="25">
        <v>0.0</v>
      </c>
      <c r="D20" s="14">
        <v>0.0</v>
      </c>
      <c r="E20" s="14">
        <v>0.0</v>
      </c>
      <c r="F20" s="14">
        <v>600.0</v>
      </c>
      <c r="G20" s="14">
        <v>0.0</v>
      </c>
      <c r="H20" s="14">
        <f t="shared" si="1"/>
        <v>600</v>
      </c>
      <c r="I20" s="22">
        <f t="shared" si="2"/>
        <v>10.5</v>
      </c>
      <c r="J20" s="14">
        <f t="shared" si="3"/>
        <v>589.5</v>
      </c>
    </row>
    <row r="21">
      <c r="A21" s="10">
        <v>46223.0</v>
      </c>
      <c r="B21" s="11" t="s">
        <v>32</v>
      </c>
      <c r="C21" s="25">
        <v>0.0</v>
      </c>
      <c r="D21" s="14">
        <v>0.0</v>
      </c>
      <c r="E21" s="14">
        <v>0.0</v>
      </c>
      <c r="F21" s="14">
        <v>300.0</v>
      </c>
      <c r="G21" s="14">
        <v>0.0</v>
      </c>
      <c r="H21" s="14">
        <f t="shared" si="1"/>
        <v>300</v>
      </c>
      <c r="I21" s="22">
        <f t="shared" si="2"/>
        <v>5.25</v>
      </c>
      <c r="J21" s="14">
        <f t="shared" si="3"/>
        <v>294.75</v>
      </c>
    </row>
    <row r="22">
      <c r="A22" s="10">
        <v>46224.0</v>
      </c>
      <c r="B22" s="11" t="s">
        <v>33</v>
      </c>
      <c r="C22" s="25">
        <v>0.0</v>
      </c>
      <c r="D22" s="14">
        <v>0.0</v>
      </c>
      <c r="E22" s="14">
        <v>0.0</v>
      </c>
      <c r="F22" s="14">
        <v>100.0</v>
      </c>
      <c r="G22" s="14">
        <v>0.0</v>
      </c>
      <c r="H22" s="14">
        <f t="shared" si="1"/>
        <v>100</v>
      </c>
      <c r="I22" s="22">
        <f t="shared" si="2"/>
        <v>1.75</v>
      </c>
      <c r="J22" s="14">
        <f t="shared" si="3"/>
        <v>98.25</v>
      </c>
    </row>
    <row r="23">
      <c r="A23" s="10">
        <v>46225.0</v>
      </c>
      <c r="B23" s="11" t="s">
        <v>14</v>
      </c>
      <c r="C23" s="25">
        <v>0.0</v>
      </c>
      <c r="D23" s="14">
        <v>0.0</v>
      </c>
      <c r="E23" s="14">
        <v>0.0</v>
      </c>
      <c r="F23" s="14">
        <v>0.0</v>
      </c>
      <c r="G23" s="14">
        <v>0.0</v>
      </c>
      <c r="H23" s="14">
        <f t="shared" si="1"/>
        <v>0</v>
      </c>
      <c r="I23" s="22">
        <f t="shared" si="2"/>
        <v>0</v>
      </c>
      <c r="J23" s="14">
        <f t="shared" si="3"/>
        <v>0</v>
      </c>
    </row>
    <row r="24">
      <c r="A24" s="10">
        <v>46226.0</v>
      </c>
      <c r="B24" s="11" t="s">
        <v>26</v>
      </c>
      <c r="C24" s="25">
        <v>0.0</v>
      </c>
      <c r="D24" s="14">
        <v>0.0</v>
      </c>
      <c r="E24" s="14">
        <v>0.0</v>
      </c>
      <c r="F24" s="14">
        <v>150.0</v>
      </c>
      <c r="G24" s="14">
        <v>0.0</v>
      </c>
      <c r="H24" s="14">
        <f t="shared" si="1"/>
        <v>150</v>
      </c>
      <c r="I24" s="22">
        <f t="shared" si="2"/>
        <v>2.625</v>
      </c>
      <c r="J24" s="14">
        <f t="shared" si="3"/>
        <v>147.375</v>
      </c>
    </row>
    <row r="25">
      <c r="A25" s="10">
        <v>46227.0</v>
      </c>
      <c r="B25" s="11" t="s">
        <v>28</v>
      </c>
      <c r="C25" s="25">
        <v>0.0</v>
      </c>
      <c r="D25" s="14">
        <v>0.0</v>
      </c>
      <c r="E25" s="14">
        <v>0.0</v>
      </c>
      <c r="F25" s="14">
        <v>0.0</v>
      </c>
      <c r="G25" s="14">
        <v>0.0</v>
      </c>
      <c r="H25" s="14">
        <f t="shared" si="1"/>
        <v>0</v>
      </c>
      <c r="I25" s="22">
        <f t="shared" si="2"/>
        <v>0</v>
      </c>
      <c r="J25" s="14">
        <f t="shared" si="3"/>
        <v>0</v>
      </c>
    </row>
    <row r="26">
      <c r="A26" s="10">
        <v>46228.0</v>
      </c>
      <c r="B26" s="11" t="s">
        <v>29</v>
      </c>
      <c r="C26" s="25">
        <v>0.5</v>
      </c>
      <c r="D26" s="14">
        <v>350.0</v>
      </c>
      <c r="E26" s="14">
        <v>0.0</v>
      </c>
      <c r="F26" s="14">
        <v>675.0</v>
      </c>
      <c r="G26" s="14">
        <v>0.0</v>
      </c>
      <c r="H26" s="14">
        <f t="shared" si="1"/>
        <v>1025</v>
      </c>
      <c r="I26" s="22">
        <f t="shared" si="2"/>
        <v>17.9375</v>
      </c>
      <c r="J26" s="14">
        <f t="shared" si="3"/>
        <v>1007.0625</v>
      </c>
    </row>
    <row r="27">
      <c r="A27" s="10">
        <v>46229.0</v>
      </c>
      <c r="B27" s="11" t="s">
        <v>30</v>
      </c>
      <c r="C27" s="25">
        <v>0.0</v>
      </c>
      <c r="D27" s="14">
        <v>0.0</v>
      </c>
      <c r="E27" s="14">
        <v>0.0</v>
      </c>
      <c r="F27" s="14">
        <v>200.0</v>
      </c>
      <c r="G27" s="14">
        <v>0.0</v>
      </c>
      <c r="H27" s="14">
        <f t="shared" si="1"/>
        <v>200</v>
      </c>
      <c r="I27" s="22">
        <f t="shared" si="2"/>
        <v>3.5</v>
      </c>
      <c r="J27" s="14">
        <f t="shared" si="3"/>
        <v>196.5</v>
      </c>
    </row>
    <row r="28">
      <c r="A28" s="10">
        <v>46230.0</v>
      </c>
      <c r="B28" s="11" t="s">
        <v>32</v>
      </c>
      <c r="C28" s="25">
        <v>2.0</v>
      </c>
      <c r="D28" s="14">
        <v>1300.0</v>
      </c>
      <c r="E28" s="14">
        <v>0.0</v>
      </c>
      <c r="F28" s="14">
        <v>150.0</v>
      </c>
      <c r="G28" s="14">
        <v>0.0</v>
      </c>
      <c r="H28" s="14">
        <f t="shared" si="1"/>
        <v>1450</v>
      </c>
      <c r="I28" s="22">
        <f t="shared" si="2"/>
        <v>25.375</v>
      </c>
      <c r="J28" s="14">
        <f t="shared" si="3"/>
        <v>1424.625</v>
      </c>
    </row>
    <row r="29">
      <c r="A29" s="10">
        <v>46231.0</v>
      </c>
      <c r="B29" s="11" t="s">
        <v>33</v>
      </c>
      <c r="C29" s="25">
        <v>0.0</v>
      </c>
      <c r="D29" s="14">
        <v>0.0</v>
      </c>
      <c r="E29" s="14">
        <v>0.0</v>
      </c>
      <c r="F29" s="14">
        <v>200.0</v>
      </c>
      <c r="G29" s="14">
        <v>0.0</v>
      </c>
      <c r="H29" s="14">
        <f t="shared" si="1"/>
        <v>200</v>
      </c>
      <c r="I29" s="22">
        <f t="shared" si="2"/>
        <v>3.5</v>
      </c>
      <c r="J29" s="14">
        <f t="shared" si="3"/>
        <v>196.5</v>
      </c>
    </row>
    <row r="30">
      <c r="A30" s="10">
        <v>46232.0</v>
      </c>
      <c r="B30" s="11" t="s">
        <v>14</v>
      </c>
      <c r="C30" s="25">
        <v>0.0</v>
      </c>
      <c r="D30" s="14">
        <v>0.0</v>
      </c>
      <c r="E30" s="14">
        <v>0.0</v>
      </c>
      <c r="F30" s="14">
        <v>450.0</v>
      </c>
      <c r="G30" s="14">
        <v>0.0</v>
      </c>
      <c r="H30" s="14">
        <f t="shared" si="1"/>
        <v>450</v>
      </c>
      <c r="I30" s="22">
        <f t="shared" si="2"/>
        <v>7.875</v>
      </c>
      <c r="J30" s="14">
        <f t="shared" si="3"/>
        <v>442.125</v>
      </c>
    </row>
    <row r="31">
      <c r="A31" s="10">
        <v>46233.0</v>
      </c>
      <c r="B31" s="11" t="s">
        <v>26</v>
      </c>
      <c r="C31" s="13">
        <v>0.0</v>
      </c>
      <c r="D31" s="51">
        <v>0.0</v>
      </c>
      <c r="E31" s="51">
        <v>0.0</v>
      </c>
      <c r="F31" s="51">
        <v>0.0</v>
      </c>
      <c r="G31" s="51">
        <v>0.0</v>
      </c>
      <c r="H31" s="14">
        <f t="shared" si="1"/>
        <v>0</v>
      </c>
      <c r="I31" s="22">
        <f t="shared" si="2"/>
        <v>0</v>
      </c>
      <c r="J31" s="14">
        <f t="shared" si="3"/>
        <v>0</v>
      </c>
    </row>
    <row r="32">
      <c r="A32" s="10">
        <v>46234.0</v>
      </c>
      <c r="B32" s="11" t="s">
        <v>28</v>
      </c>
      <c r="C32" s="13">
        <v>1.0</v>
      </c>
      <c r="D32" s="51">
        <v>650.0</v>
      </c>
      <c r="E32" s="51">
        <v>0.0</v>
      </c>
      <c r="F32" s="51">
        <v>800.0</v>
      </c>
      <c r="G32" s="51">
        <v>0.0</v>
      </c>
      <c r="H32" s="14">
        <f t="shared" si="1"/>
        <v>1450</v>
      </c>
      <c r="I32" s="22">
        <f t="shared" si="2"/>
        <v>25.375</v>
      </c>
      <c r="J32" s="14">
        <f t="shared" si="3"/>
        <v>1424.625</v>
      </c>
    </row>
    <row r="33">
      <c r="A33" s="53" t="s">
        <v>36</v>
      </c>
      <c r="B33" s="54"/>
      <c r="C33" s="55"/>
      <c r="D33" s="56">
        <f t="shared" ref="D33:G33" si="4">SUM(D1:D32)</f>
        <v>14800</v>
      </c>
      <c r="E33" s="56">
        <f t="shared" si="4"/>
        <v>0</v>
      </c>
      <c r="F33" s="56">
        <f t="shared" si="4"/>
        <v>10150</v>
      </c>
      <c r="G33" s="56">
        <f t="shared" si="4"/>
        <v>0</v>
      </c>
      <c r="H33" s="56">
        <f t="shared" si="1"/>
        <v>24950</v>
      </c>
      <c r="I33" s="56">
        <f t="shared" ref="I33:J33" si="5">SUM(I1:I32)</f>
        <v>436.625</v>
      </c>
      <c r="J33" s="56">
        <f t="shared" si="5"/>
        <v>24513.375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14.38"/>
    <col customWidth="1" min="9" max="9" width="14.13"/>
  </cols>
  <sheetData>
    <row r="1">
      <c r="A1" s="17" t="s">
        <v>0</v>
      </c>
      <c r="B1" s="18" t="s">
        <v>1</v>
      </c>
      <c r="C1" s="18" t="s">
        <v>17</v>
      </c>
      <c r="D1" s="18" t="s">
        <v>18</v>
      </c>
      <c r="E1" s="21" t="s">
        <v>19</v>
      </c>
      <c r="F1" s="18" t="s">
        <v>12</v>
      </c>
      <c r="G1" s="23" t="s">
        <v>21</v>
      </c>
      <c r="H1" s="23" t="s">
        <v>22</v>
      </c>
      <c r="I1" s="18" t="s">
        <v>24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27"/>
      <c r="B2" s="28" t="s">
        <v>3</v>
      </c>
      <c r="C2" s="30">
        <v>42153.0</v>
      </c>
      <c r="D2" s="30">
        <v>2950.0</v>
      </c>
      <c r="E2" s="29">
        <v>531.0</v>
      </c>
      <c r="F2" s="34">
        <f>C2-D2-E2</f>
        <v>38672</v>
      </c>
      <c r="G2" s="30">
        <v>210.0</v>
      </c>
      <c r="H2" s="30">
        <v>42.0</v>
      </c>
      <c r="I2" s="30">
        <f>F2-G2-H2</f>
        <v>38420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41"/>
      <c r="B3" s="26"/>
      <c r="C3" s="26"/>
      <c r="D3" s="26"/>
      <c r="E3" s="42"/>
      <c r="F3" s="42"/>
      <c r="G3" s="26"/>
      <c r="H3" s="26"/>
      <c r="I3" s="2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41"/>
      <c r="B4" s="43" t="s">
        <v>36</v>
      </c>
      <c r="C4" s="45">
        <f>SUM(C2:C3)</f>
        <v>42153</v>
      </c>
      <c r="D4" s="40"/>
      <c r="E4" s="47"/>
      <c r="F4" s="39">
        <f>SUM(F2:F3)</f>
        <v>38672</v>
      </c>
      <c r="G4" s="40"/>
      <c r="H4" s="40"/>
      <c r="I4" s="45">
        <f>SUM(I2:I3)</f>
        <v>38420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7"/>
      <c r="B5" s="2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27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27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27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9" t="s">
        <v>0</v>
      </c>
      <c r="B1" s="18" t="s">
        <v>1</v>
      </c>
      <c r="C1" s="18" t="s">
        <v>23</v>
      </c>
      <c r="D1" s="18" t="s">
        <v>25</v>
      </c>
      <c r="E1" s="18" t="s">
        <v>12</v>
      </c>
      <c r="F1" s="18" t="s">
        <v>22</v>
      </c>
      <c r="G1" s="18" t="s">
        <v>21</v>
      </c>
      <c r="H1" s="18" t="s">
        <v>13</v>
      </c>
    </row>
    <row r="2">
      <c r="A2" s="26"/>
      <c r="B2" s="28" t="s">
        <v>3</v>
      </c>
      <c r="C2" s="29">
        <v>3650.0</v>
      </c>
      <c r="D2" s="29">
        <v>481.0</v>
      </c>
      <c r="E2" s="34">
        <f>C2-D2</f>
        <v>3169</v>
      </c>
      <c r="F2" s="29">
        <v>3.0</v>
      </c>
      <c r="G2" s="29">
        <v>15.0</v>
      </c>
      <c r="H2" s="30">
        <v>3200.0</v>
      </c>
    </row>
    <row r="3">
      <c r="A3" s="26"/>
      <c r="B3" s="36" t="s">
        <v>36</v>
      </c>
      <c r="C3" s="39">
        <f>SUM(C2)</f>
        <v>3650</v>
      </c>
      <c r="D3" s="40"/>
      <c r="E3" s="39">
        <f>SUM(E2)</f>
        <v>3169</v>
      </c>
      <c r="F3" s="40"/>
      <c r="G3" s="40"/>
      <c r="H3" s="39">
        <f>SUM(H2)</f>
        <v>3200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7" t="s">
        <v>0</v>
      </c>
      <c r="B1" s="58" t="s">
        <v>1</v>
      </c>
      <c r="C1" s="58" t="s">
        <v>56</v>
      </c>
      <c r="D1" s="58" t="s">
        <v>18</v>
      </c>
      <c r="E1" s="58" t="s">
        <v>57</v>
      </c>
      <c r="F1" s="58" t="s">
        <v>12</v>
      </c>
      <c r="G1" s="58" t="s">
        <v>58</v>
      </c>
      <c r="H1" s="58" t="s">
        <v>59</v>
      </c>
      <c r="I1" s="58" t="s">
        <v>24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60"/>
      <c r="B2" s="28" t="s">
        <v>3</v>
      </c>
      <c r="C2" s="62">
        <v>9600.0</v>
      </c>
      <c r="D2" s="62">
        <v>892.0</v>
      </c>
      <c r="E2" s="63">
        <v>160.0</v>
      </c>
      <c r="F2" s="34">
        <f>C2-D2-E2</f>
        <v>8548</v>
      </c>
      <c r="G2" s="63">
        <v>9.6</v>
      </c>
      <c r="H2" s="63">
        <v>0.0</v>
      </c>
      <c r="I2" s="62">
        <f>F2-G2-H2</f>
        <v>8538.4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A3" s="60"/>
      <c r="B3" s="71" t="s">
        <v>36</v>
      </c>
      <c r="C3" s="72">
        <f>sum(C2)</f>
        <v>9600</v>
      </c>
      <c r="D3" s="55"/>
      <c r="E3" s="73"/>
      <c r="F3" s="72">
        <f>sum(F2)</f>
        <v>8548</v>
      </c>
      <c r="G3" s="73"/>
      <c r="H3" s="73"/>
      <c r="I3" s="72">
        <f>sum(I2)</f>
        <v>8538.4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25"/>
    <col customWidth="1" min="2" max="2" width="18.25"/>
    <col customWidth="1" min="3" max="3" width="14.38"/>
    <col customWidth="1" min="4" max="4" width="14.13"/>
  </cols>
  <sheetData>
    <row r="1">
      <c r="A1" s="18" t="s">
        <v>1</v>
      </c>
      <c r="B1" s="18" t="s">
        <v>55</v>
      </c>
      <c r="C1" s="18" t="s">
        <v>18</v>
      </c>
      <c r="D1" s="18" t="s">
        <v>24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8" t="s">
        <v>3</v>
      </c>
      <c r="B2" s="30">
        <v>4125.0</v>
      </c>
      <c r="C2" s="61">
        <f>B2*5%</f>
        <v>206.25</v>
      </c>
      <c r="D2" s="61">
        <f>B2-C2</f>
        <v>3918.75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6"/>
      <c r="B3" s="26"/>
      <c r="C3" s="64"/>
      <c r="D3" s="64"/>
      <c r="E3" s="9"/>
      <c r="F3" s="9"/>
      <c r="G3" s="9"/>
      <c r="H3" s="9"/>
      <c r="I3" s="9"/>
      <c r="J3" s="65"/>
      <c r="K3" s="9"/>
      <c r="L3" s="65"/>
      <c r="M3" s="65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6" t="s">
        <v>36</v>
      </c>
      <c r="B4" s="68">
        <f>SUM(B2)</f>
        <v>4125</v>
      </c>
      <c r="C4" s="40"/>
      <c r="D4" s="68">
        <f>SUM(D2)</f>
        <v>3918.75</v>
      </c>
      <c r="E4" s="9"/>
      <c r="F4" s="9"/>
      <c r="G4" s="9"/>
      <c r="H4" s="9"/>
      <c r="I4" s="9"/>
      <c r="J4" s="65"/>
      <c r="K4" s="9"/>
      <c r="L4" s="65"/>
      <c r="M4" s="65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75"/>
    <col customWidth="1" min="3" max="3" width="15.25"/>
  </cols>
  <sheetData>
    <row r="1">
      <c r="A1" s="67" t="s">
        <v>60</v>
      </c>
      <c r="B1" s="67" t="s">
        <v>61</v>
      </c>
      <c r="C1" s="67" t="s">
        <v>62</v>
      </c>
    </row>
    <row r="2">
      <c r="A2" s="69" t="s">
        <v>63</v>
      </c>
      <c r="B2" s="24" t="s">
        <v>64</v>
      </c>
      <c r="C2" s="70">
        <v>120000.0</v>
      </c>
    </row>
  </sheetData>
  <drawing r:id="rId1"/>
</worksheet>
</file>