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Other Income" sheetId="6" r:id="rId10"/>
  </sheets>
  <definedNames/>
  <calcPr/>
</workbook>
</file>

<file path=xl/sharedStrings.xml><?xml version="1.0" encoding="utf-8"?>
<sst xmlns="http://schemas.openxmlformats.org/spreadsheetml/2006/main" count="181" uniqueCount="104">
  <si>
    <t>1 - 30 April</t>
  </si>
  <si>
    <t>Particulars</t>
  </si>
  <si>
    <t>Amount</t>
  </si>
  <si>
    <t>Pickleball</t>
  </si>
  <si>
    <t>Turf</t>
  </si>
  <si>
    <t>Padel</t>
  </si>
  <si>
    <t>Total</t>
  </si>
  <si>
    <t>Date</t>
  </si>
  <si>
    <t>Day</t>
  </si>
  <si>
    <t>Pay &amp; Play</t>
  </si>
  <si>
    <t>Offline booking hours</t>
  </si>
  <si>
    <t>Discount Given</t>
  </si>
  <si>
    <t>Total Revenue</t>
  </si>
  <si>
    <t>Payment Gateway</t>
  </si>
  <si>
    <t>Net Revenue</t>
  </si>
  <si>
    <t>1 Apr</t>
  </si>
  <si>
    <t xml:space="preserve">Online </t>
  </si>
  <si>
    <t>Link</t>
  </si>
  <si>
    <t>Wednesday</t>
  </si>
  <si>
    <t>20% and 25%</t>
  </si>
  <si>
    <t>District</t>
  </si>
  <si>
    <t>Paid to Playo (₹)</t>
  </si>
  <si>
    <t>Paid to Hudle</t>
  </si>
  <si>
    <t>Commissions (₹)</t>
  </si>
  <si>
    <t>Commisions (Including GST)</t>
  </si>
  <si>
    <t>GST (₹)</t>
  </si>
  <si>
    <t>TDS (₹)</t>
  </si>
  <si>
    <t>TDS</t>
  </si>
  <si>
    <t>TCS (₹)</t>
  </si>
  <si>
    <t>TCS</t>
  </si>
  <si>
    <t>Final Amount (₹)</t>
  </si>
  <si>
    <t>Hudle</t>
  </si>
  <si>
    <t>1 - 12 Apr</t>
  </si>
  <si>
    <t>2 Apr</t>
  </si>
  <si>
    <t>Thursday</t>
  </si>
  <si>
    <t>1 - 7 Apr</t>
  </si>
  <si>
    <t>3 Apr</t>
  </si>
  <si>
    <t>Friday</t>
  </si>
  <si>
    <t>4 Apr</t>
  </si>
  <si>
    <t>Saturday</t>
  </si>
  <si>
    <t>Playo</t>
  </si>
  <si>
    <t>13- 19 Apr</t>
  </si>
  <si>
    <t>7 - 14 Apr</t>
  </si>
  <si>
    <t>14 - 19 Apr</t>
  </si>
  <si>
    <t>5 Apr</t>
  </si>
  <si>
    <t>Sunday</t>
  </si>
  <si>
    <t>19 - 28 Apr</t>
  </si>
  <si>
    <t>6 Apr</t>
  </si>
  <si>
    <t>Monday</t>
  </si>
  <si>
    <t>Khelomore</t>
  </si>
  <si>
    <t>19 - 26 Apr</t>
  </si>
  <si>
    <t>28 - 30 Apr</t>
  </si>
  <si>
    <t>27 - 30 Apr</t>
  </si>
  <si>
    <t>7 Apr</t>
  </si>
  <si>
    <t>Tuesday</t>
  </si>
  <si>
    <t>Zplys</t>
  </si>
  <si>
    <t>Offline</t>
  </si>
  <si>
    <t>8 Apr</t>
  </si>
  <si>
    <t>9 Apr</t>
  </si>
  <si>
    <t>Bookings</t>
  </si>
  <si>
    <t>10 Apr</t>
  </si>
  <si>
    <t>11 Apr</t>
  </si>
  <si>
    <t>12 Apr</t>
  </si>
  <si>
    <t>13 Apr</t>
  </si>
  <si>
    <t>Memberships</t>
  </si>
  <si>
    <t>Community</t>
  </si>
  <si>
    <t>14 Apr</t>
  </si>
  <si>
    <t>15 Apr</t>
  </si>
  <si>
    <t>Pickup games</t>
  </si>
  <si>
    <t>Social Events/Tournaments</t>
  </si>
  <si>
    <t>Academy</t>
  </si>
  <si>
    <t>16 Apr</t>
  </si>
  <si>
    <t>Events &amp; Partnership</t>
  </si>
  <si>
    <t>17 Apr</t>
  </si>
  <si>
    <t>18 Apr</t>
  </si>
  <si>
    <t>Corporate events</t>
  </si>
  <si>
    <t>19 Apr</t>
  </si>
  <si>
    <t>All B2B partnerships</t>
  </si>
  <si>
    <t>20 Apr</t>
  </si>
  <si>
    <t>21 Apr</t>
  </si>
  <si>
    <t>Commerce</t>
  </si>
  <si>
    <t>22 Apr</t>
  </si>
  <si>
    <t>23 Apr</t>
  </si>
  <si>
    <t>Product rental</t>
  </si>
  <si>
    <t>Product sales</t>
  </si>
  <si>
    <t>F&amp;B</t>
  </si>
  <si>
    <t>24 Apr</t>
  </si>
  <si>
    <t>Other Income</t>
  </si>
  <si>
    <t>25 Apr</t>
  </si>
  <si>
    <t>Total Gross Revenue</t>
  </si>
  <si>
    <t>26 Apr</t>
  </si>
  <si>
    <t>27 Apr</t>
  </si>
  <si>
    <t>28 Apr</t>
  </si>
  <si>
    <t>29 Apr</t>
  </si>
  <si>
    <t>30 Apr</t>
  </si>
  <si>
    <t>Total Net Revenue (Post Commissions)</t>
  </si>
  <si>
    <t>Total Revenue post GST</t>
  </si>
  <si>
    <t>Month</t>
  </si>
  <si>
    <t>Sports Type</t>
  </si>
  <si>
    <t>Amount Collected</t>
  </si>
  <si>
    <t>Apr</t>
  </si>
  <si>
    <t>Padel Operations &amp; Management Fees</t>
  </si>
  <si>
    <t>Paid to Khelomore (₹)</t>
  </si>
  <si>
    <t>1 - 30 Apr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</si>
</sst>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  <numFmt numFmtId="168" formatCode="[$₹]#,##0.0"/>
    <numFmt numFmtId="169" formatCode="d mmm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4" numFmtId="0" xfId="0" applyAlignment="1" applyBorder="1" applyFill="1" applyFont="1">
      <alignment vertical="bottom"/>
    </xf>
    <xf borderId="3" fillId="2" fontId="4" numFmtId="164" xfId="0" applyAlignment="1" applyBorder="1" applyFill="1" applyFont="1" applyNumberFormat="1">
      <alignment vertical="bottom"/>
    </xf>
    <xf borderId="3" fillId="0" fontId="2" numFmtId="0" xfId="0" applyAlignment="1" applyBorder="1" applyFon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4" xfId="0" applyAlignment="1" applyBorder="1" applyFill="1" applyFont="1" applyNumberFormat="1">
      <alignment horizontal="center" readingOrder="0"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3" fontId="4" numFmtId="165" xfId="0" applyAlignment="1" applyBorder="1" applyFill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3" fillId="2" fontId="2" numFmtId="49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2" fontId="2" numFmtId="4" xfId="0" applyAlignment="1" applyBorder="1" applyFill="1" applyFont="1" applyNumberFormat="1">
      <alignment horizontal="center" vertical="bottom"/>
    </xf>
    <xf borderId="3" fillId="2" fontId="2" numFmtId="49" xfId="0" applyAlignment="1" applyBorder="1" applyFill="1" applyFont="1" applyNumberFormat="1">
      <alignment horizontal="center" readingOrder="0" vertical="bottom"/>
    </xf>
    <xf borderId="3" fillId="2" fontId="2" numFmtId="0" xfId="0" applyAlignment="1" applyBorder="1" applyFill="1" applyFont="1">
      <alignment vertical="bottom"/>
    </xf>
    <xf borderId="3" fillId="0" fontId="2" numFmtId="165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2" numFmtId="164" xfId="0" applyAlignment="1" applyBorder="1" applyFont="1" applyNumberFormat="1">
      <alignment horizontal="right" vertical="bottom"/>
    </xf>
    <xf borderId="0" fillId="0" fontId="5" numFmtId="164" xfId="0" applyFont="1" applyNumberFormat="1"/>
    <xf borderId="3" fillId="3" fontId="4" numFmtId="49" xfId="0" applyAlignment="1" applyBorder="1" applyFill="1" applyFont="1" applyNumberFormat="1">
      <alignment horizontal="right" vertical="bottom"/>
    </xf>
    <xf borderId="3" fillId="3" fontId="4" numFmtId="49" xfId="0" applyAlignment="1" applyBorder="1" applyFill="1" applyFont="1" applyNumberFormat="1">
      <alignment vertical="bottom"/>
    </xf>
    <xf borderId="3" fillId="0" fontId="4" numFmtId="4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right" vertical="bottom"/>
    </xf>
    <xf borderId="0" fillId="0" fontId="5" numFmtId="165" xfId="0" applyFont="1" applyNumberFormat="1"/>
    <xf borderId="3" fillId="0" fontId="4" numFmtId="166" xfId="0" applyAlignment="1" applyBorder="1" applyFont="1" applyNumberFormat="1">
      <alignment horizontal="right" readingOrder="0" vertical="bottom"/>
    </xf>
    <xf borderId="0" fillId="0" fontId="5" numFmtId="0" xfId="0" applyFont="1"/>
    <xf borderId="3" fillId="0" fontId="4" numFmtId="0" xfId="0" applyAlignment="1" applyBorder="1" applyFon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horizontal="right" vertical="bottom"/>
    </xf>
    <xf borderId="3" fillId="2" fontId="6" numFmtId="0" xfId="0" applyAlignment="1" applyBorder="1" applyFill="1" applyFont="1">
      <alignment horizontal="center"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3" fontId="4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readingOrder="0" vertical="bottom"/>
    </xf>
    <xf borderId="3" fillId="0" fontId="4" numFmtId="166" xfId="0" applyAlignment="1" applyBorder="1" applyFont="1" applyNumberFormat="1">
      <alignment readingOrder="0" vertical="bottom"/>
    </xf>
    <xf borderId="3" fillId="3" fontId="4" numFmtId="4" xfId="0" applyAlignment="1" applyBorder="1" applyFill="1" applyFont="1" applyNumberFormat="1">
      <alignment readingOrder="0" vertical="bottom"/>
    </xf>
    <xf borderId="3" fillId="0" fontId="4" numFmtId="167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vertical="bottom"/>
    </xf>
    <xf borderId="3" fillId="0" fontId="4" numFmtId="168" xfId="0" applyAlignment="1" applyBorder="1" applyFont="1" applyNumberFormat="1">
      <alignment vertical="bottom"/>
    </xf>
    <xf borderId="3" fillId="3" fontId="4" numFmtId="4" xfId="0" applyAlignment="1" applyBorder="1" applyFill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vertical="bottom"/>
    </xf>
    <xf borderId="3" fillId="0" fontId="5" numFmtId="0" xfId="0" applyAlignment="1" applyBorder="1" applyFont="1">
      <alignment readingOrder="0"/>
    </xf>
    <xf borderId="0" fillId="3" fontId="4" numFmtId="4" xfId="0" applyAlignment="1" applyFill="1" applyFont="1" applyNumberFormat="1">
      <alignment horizontal="right" vertical="bottom"/>
    </xf>
    <xf borderId="0" fillId="3" fontId="4" numFmtId="0" xfId="0" applyAlignment="1" applyFill="1" applyFont="1">
      <alignment horizontal="right" vertical="bottom"/>
    </xf>
    <xf borderId="3" fillId="3" fontId="4" numFmtId="167" xfId="0" applyAlignment="1" applyBorder="1" applyFill="1" applyFont="1" applyNumberFormat="1">
      <alignment horizontal="right" vertical="bottom"/>
    </xf>
    <xf borderId="3" fillId="3" fontId="4" numFmtId="165" xfId="0" applyAlignment="1" applyBorder="1" applyFill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3" fillId="0" fontId="4" numFmtId="168" xfId="0" applyAlignment="1" applyBorder="1" applyFont="1" applyNumberFormat="1">
      <alignment readingOrder="0" vertical="bottom"/>
    </xf>
    <xf borderId="3" fillId="2" fontId="2" numFmtId="0" xfId="0" applyAlignment="1" applyBorder="1" applyFill="1" applyFont="1">
      <alignment horizontal="right" readingOrder="0" vertical="bottom"/>
    </xf>
    <xf borderId="3" fillId="2" fontId="2" numFmtId="167" xfId="0" applyAlignment="1" applyBorder="1" applyFill="1" applyFont="1" applyNumberFormat="1">
      <alignment horizontal="right" vertical="bottom"/>
    </xf>
    <xf borderId="3" fillId="2" fontId="2" numFmtId="4" xfId="0" applyAlignment="1" applyBorder="1" applyFill="1" applyFont="1" applyNumberFormat="1">
      <alignment horizontal="right" vertical="bottom"/>
    </xf>
    <xf borderId="3" fillId="0" fontId="2" numFmtId="0" xfId="0" applyAlignment="1" applyBorder="1" applyFont="1">
      <alignment vertical="bottom"/>
    </xf>
    <xf borderId="3" fillId="2" fontId="4" numFmtId="4" xfId="0" applyAlignment="1" applyBorder="1" applyFill="1" applyFont="1" applyNumberFormat="1">
      <alignment vertical="bottom"/>
    </xf>
    <xf borderId="3" fillId="0" fontId="2" numFmtId="168" xfId="0" applyAlignment="1" applyBorder="1" applyFont="1" applyNumberFormat="1">
      <alignment vertical="bottom"/>
    </xf>
    <xf borderId="3" fillId="0" fontId="2" numFmtId="168" xfId="0" applyAlignment="1" applyBorder="1" applyFont="1" applyNumberFormat="1">
      <alignment horizontal="right" vertical="bottom"/>
    </xf>
    <xf borderId="3" fillId="0" fontId="2" numFmtId="168" xfId="0" applyAlignment="1" applyBorder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2" numFmtId="168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2" fontId="2" numFmtId="49" xfId="0" applyAlignment="1" applyBorder="1" applyFill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3" fillId="2" fontId="4" numFmtId="49" xfId="0" applyAlignment="1" applyBorder="1" applyFill="1" applyFont="1" applyNumberForma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0" fillId="2" fontId="7" numFmtId="166" xfId="0" applyAlignment="1" applyFill="1" applyFont="1" applyNumberFormat="1">
      <alignment horizontal="center" readingOrder="0" vertical="bottom"/>
    </xf>
    <xf borderId="3" fillId="0" fontId="2" numFmtId="167" xfId="0" applyAlignment="1" applyBorder="1" applyFont="1" applyNumberFormat="1">
      <alignment horizontal="right" readingOrder="0" vertical="bottom"/>
    </xf>
    <xf borderId="0" fillId="0" fontId="4" numFmtId="166" xfId="0" applyAlignment="1" applyFont="1" applyNumberFormat="1">
      <alignment vertical="bottom"/>
    </xf>
    <xf borderId="3" fillId="3" fontId="4" numFmtId="166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3" fillId="2" fontId="2" numFmtId="169" xfId="0" applyAlignment="1" applyBorder="1" applyFill="1" applyFont="1" applyNumberFormat="1">
      <alignment vertical="bottom"/>
    </xf>
    <xf borderId="3" fillId="2" fontId="8" numFmtId="166" xfId="0" applyAlignment="1" applyBorder="1" applyFill="1" applyFont="1" applyNumberFormat="1">
      <alignment horizontal="right" vertical="bottom"/>
    </xf>
    <xf borderId="3" fillId="2" fontId="4" numFmtId="166" xfId="0" applyAlignment="1" applyBorder="1" applyFill="1" applyFont="1" applyNumberFormat="1">
      <alignment vertical="bottom"/>
    </xf>
    <xf borderId="0" fillId="0" fontId="4" numFmtId="0" xfId="0" applyAlignment="1" applyFont="1">
      <alignment vertical="bottom"/>
    </xf>
    <xf borderId="0" fillId="0" fontId="8" numFmtId="1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  <c r="D2" s="4"/>
      <c r="E2" s="5"/>
      <c r="F2" s="5"/>
    </row>
    <row r="3">
      <c r="B3" s="6" t="s">
        <v>1</v>
      </c>
      <c r="C3" s="6" t="s">
        <v>2</v>
      </c>
      <c r="D3" s="6" t="s">
        <v>2</v>
      </c>
      <c r="E3" s="6" t="s">
        <v>2</v>
      </c>
      <c r="F3" s="6" t="s">
        <v>2</v>
      </c>
    </row>
    <row r="4">
      <c r="B4" s="4"/>
      <c r="C4" s="7" t="s">
        <v>3</v>
      </c>
      <c r="D4" s="8" t="s">
        <v>4</v>
      </c>
      <c r="E4" s="9" t="s">
        <v>5</v>
      </c>
      <c r="F4" s="10" t="s">
        <v>6</v>
      </c>
      <c r="I4" s="11">
        <v>205676.0</v>
      </c>
      <c r="J4" s="12">
        <f>175000*2</f>
        <v>350000</v>
      </c>
    </row>
    <row r="5" outlineLevel="1">
      <c r="B5" s="14" t="s">
        <v>9</v>
      </c>
      <c r="C5" s="18">
        <f t="shared" ref="C5:D5" si="1">sum(C6,C12)</f>
        <v>55025</v>
      </c>
      <c r="D5" s="18">
        <f t="shared" si="1"/>
        <v>53486</v>
      </c>
      <c r="E5" s="19">
        <v>0.0</v>
      </c>
      <c r="F5" s="20">
        <f>sum(F6,F12)</f>
        <v>108511</v>
      </c>
      <c r="I5" s="21">
        <f>F29</f>
        <v>185360.1983</v>
      </c>
      <c r="J5" s="12">
        <v>100000.0</v>
      </c>
    </row>
    <row r="6" outlineLevel="1">
      <c r="B6" s="14" t="s">
        <v>16</v>
      </c>
      <c r="C6" s="18">
        <f t="shared" ref="C6:D6" si="2">sum(C7:C11)</f>
        <v>26975</v>
      </c>
      <c r="D6" s="18">
        <f t="shared" si="2"/>
        <v>36268</v>
      </c>
      <c r="E6" s="19">
        <v>0.0</v>
      </c>
      <c r="F6" s="20">
        <f>sum(F7:F11)</f>
        <v>63243</v>
      </c>
      <c r="I6" s="26">
        <f t="shared" ref="I6:J6" si="3">I4+I5</f>
        <v>391036.1983</v>
      </c>
      <c r="J6" s="28">
        <f t="shared" si="3"/>
        <v>450000</v>
      </c>
    </row>
    <row r="7" outlineLevel="1">
      <c r="B7" s="29" t="s">
        <v>20</v>
      </c>
      <c r="C7" s="30">
        <v>0.0</v>
      </c>
      <c r="D7" s="34">
        <v>0.0</v>
      </c>
      <c r="E7" s="35">
        <v>0.0</v>
      </c>
      <c r="F7" s="35">
        <v>0.0</v>
      </c>
    </row>
    <row r="8" outlineLevel="1">
      <c r="B8" s="29" t="s">
        <v>31</v>
      </c>
      <c r="C8" s="42">
        <f>Hudle!B9</f>
        <v>6686</v>
      </c>
      <c r="D8" s="43">
        <f>Hudle!B10</f>
        <v>771</v>
      </c>
      <c r="E8" s="35">
        <v>0.0</v>
      </c>
      <c r="F8" s="33">
        <f>Hudle!C7</f>
        <v>7457</v>
      </c>
    </row>
    <row r="9">
      <c r="B9" s="29" t="s">
        <v>40</v>
      </c>
      <c r="C9" s="42">
        <f>Playo!B8</f>
        <v>10076</v>
      </c>
      <c r="D9" s="43">
        <f>Playo!B9</f>
        <v>33097</v>
      </c>
      <c r="E9" s="35">
        <v>0.0</v>
      </c>
      <c r="F9" s="33">
        <f>Playo!C6</f>
        <v>43173</v>
      </c>
    </row>
    <row r="10" outlineLevel="1">
      <c r="B10" s="52" t="s">
        <v>49</v>
      </c>
      <c r="C10" s="42">
        <f>Khelomore!B6</f>
        <v>10213</v>
      </c>
      <c r="D10" s="53">
        <f>Khelomore!B7</f>
        <v>2400</v>
      </c>
      <c r="E10" s="35">
        <v>0.0</v>
      </c>
      <c r="F10" s="33">
        <f>Khelomore!C4</f>
        <v>12613</v>
      </c>
    </row>
    <row r="11" outlineLevel="1">
      <c r="B11" s="29" t="s">
        <v>55</v>
      </c>
      <c r="C11" s="30">
        <v>0.0</v>
      </c>
      <c r="D11" s="34">
        <v>0.0</v>
      </c>
      <c r="E11" s="35">
        <v>0.0</v>
      </c>
      <c r="F11" s="33">
        <v>0.0</v>
      </c>
    </row>
    <row r="12" outlineLevel="1">
      <c r="B12" s="57" t="s">
        <v>56</v>
      </c>
      <c r="C12" s="18">
        <f t="shared" ref="C12:D12" si="4">sum(C13:C14)</f>
        <v>28050</v>
      </c>
      <c r="D12" s="18">
        <f t="shared" si="4"/>
        <v>17218</v>
      </c>
      <c r="E12" s="19">
        <v>0.0</v>
      </c>
      <c r="F12" s="20">
        <f>sum(F13:F14)</f>
        <v>45268</v>
      </c>
    </row>
    <row r="13" outlineLevel="1">
      <c r="B13" s="29" t="s">
        <v>59</v>
      </c>
      <c r="C13" s="30">
        <f>'Offline &amp; RG Community'!E32</f>
        <v>28050</v>
      </c>
      <c r="D13" s="46">
        <f>'Offline &amp; RG Community'!F32</f>
        <v>17218</v>
      </c>
      <c r="E13" s="35">
        <v>0.0</v>
      </c>
      <c r="F13" s="33">
        <f>'Offline &amp; RG Community'!E32+'Offline &amp; RG Community'!F32</f>
        <v>45268</v>
      </c>
    </row>
    <row r="14">
      <c r="B14" s="46" t="s">
        <v>64</v>
      </c>
      <c r="C14" s="30">
        <v>0.0</v>
      </c>
      <c r="D14" s="34">
        <v>0.0</v>
      </c>
      <c r="E14" s="35">
        <v>0.0</v>
      </c>
      <c r="F14" s="35">
        <v>0.0</v>
      </c>
    </row>
    <row r="15">
      <c r="B15" s="57" t="s">
        <v>65</v>
      </c>
      <c r="C15" s="18">
        <f t="shared" ref="C15:D15" si="5">sum(C16:C17)</f>
        <v>0</v>
      </c>
      <c r="D15" s="18">
        <f t="shared" si="5"/>
        <v>0</v>
      </c>
      <c r="E15" s="19">
        <v>0.0</v>
      </c>
      <c r="F15" s="20">
        <f>sum(F16:F17)</f>
        <v>0</v>
      </c>
    </row>
    <row r="16" outlineLevel="1">
      <c r="B16" s="52" t="s">
        <v>68</v>
      </c>
      <c r="C16" s="30">
        <v>0.0</v>
      </c>
      <c r="D16" s="34">
        <v>0.0</v>
      </c>
      <c r="E16" s="35">
        <v>0.0</v>
      </c>
      <c r="F16" s="35">
        <v>0.0</v>
      </c>
    </row>
    <row r="17" outlineLevel="1">
      <c r="B17" s="52" t="s">
        <v>69</v>
      </c>
      <c r="C17" s="30">
        <v>0.0</v>
      </c>
      <c r="D17" s="34">
        <v>0.0</v>
      </c>
      <c r="E17" s="35">
        <v>0.0</v>
      </c>
      <c r="F17" s="35">
        <v>0.0</v>
      </c>
    </row>
    <row r="18" outlineLevel="1">
      <c r="B18" s="57" t="s">
        <v>70</v>
      </c>
      <c r="C18" s="18">
        <v>0.0</v>
      </c>
      <c r="D18" s="18">
        <v>0.0</v>
      </c>
      <c r="E18" s="19">
        <v>0.0</v>
      </c>
      <c r="F18" s="20">
        <v>0.0</v>
      </c>
    </row>
    <row r="19" outlineLevel="1">
      <c r="B19" s="14" t="s">
        <v>72</v>
      </c>
      <c r="C19" s="18">
        <f t="shared" ref="C19:D19" si="6">sum(C20)</f>
        <v>0</v>
      </c>
      <c r="D19" s="18">
        <f t="shared" si="6"/>
        <v>0</v>
      </c>
      <c r="E19" s="19">
        <v>0.0</v>
      </c>
      <c r="F19" s="20">
        <f>sum(F20)</f>
        <v>0</v>
      </c>
    </row>
    <row r="20">
      <c r="B20" s="29" t="s">
        <v>75</v>
      </c>
      <c r="C20" s="63">
        <v>0.0</v>
      </c>
      <c r="D20" s="34">
        <v>0.0</v>
      </c>
      <c r="E20" s="35">
        <v>0.0</v>
      </c>
      <c r="F20" s="33">
        <v>0.0</v>
      </c>
    </row>
    <row r="21">
      <c r="B21" s="52" t="s">
        <v>77</v>
      </c>
      <c r="C21" s="63">
        <f>SUM(C22:C25)</f>
        <v>0</v>
      </c>
      <c r="D21" s="34">
        <v>0.0</v>
      </c>
      <c r="E21" s="35">
        <v>0.0</v>
      </c>
      <c r="F21" s="33">
        <v>0.0</v>
      </c>
    </row>
    <row r="22">
      <c r="B22" s="14" t="s">
        <v>80</v>
      </c>
      <c r="C22" s="18">
        <f t="shared" ref="C22:D22" si="7">sum(C23:C25)</f>
        <v>0</v>
      </c>
      <c r="D22" s="18">
        <f t="shared" si="7"/>
        <v>0</v>
      </c>
      <c r="E22" s="19">
        <v>0.0</v>
      </c>
      <c r="F22" s="20">
        <f>sum(F23:F25)</f>
        <v>0</v>
      </c>
    </row>
    <row r="23">
      <c r="B23" s="29" t="s">
        <v>83</v>
      </c>
      <c r="C23" s="63">
        <v>0.0</v>
      </c>
      <c r="D23" s="34">
        <v>0.0</v>
      </c>
      <c r="E23" s="35">
        <v>0.0</v>
      </c>
      <c r="F23" s="35">
        <v>0.0</v>
      </c>
    </row>
    <row r="24">
      <c r="B24" s="29" t="s">
        <v>84</v>
      </c>
      <c r="C24" s="30">
        <v>0.0</v>
      </c>
      <c r="D24" s="34">
        <v>0.0</v>
      </c>
      <c r="E24" s="35">
        <v>0.0</v>
      </c>
      <c r="F24" s="33">
        <v>0.0</v>
      </c>
    </row>
    <row r="25">
      <c r="B25" s="29" t="s">
        <v>85</v>
      </c>
      <c r="C25" s="63">
        <v>0.0</v>
      </c>
      <c r="D25" s="34">
        <v>0.0</v>
      </c>
      <c r="E25" s="35">
        <v>0.0</v>
      </c>
      <c r="F25" s="33">
        <v>0.0</v>
      </c>
    </row>
    <row r="26">
      <c r="B26" s="14" t="s">
        <v>87</v>
      </c>
      <c r="C26" s="63">
        <v>0.0</v>
      </c>
      <c r="D26" s="63">
        <v>0.0</v>
      </c>
      <c r="E26" s="35">
        <v>118000.0</v>
      </c>
      <c r="F26" s="33">
        <f>'Other Income'!C2</f>
        <v>118000</v>
      </c>
    </row>
    <row r="27">
      <c r="B27" s="17" t="s">
        <v>89</v>
      </c>
      <c r="C27" s="64">
        <f t="shared" ref="C27:E27" si="8">sum(C5,C15,C18,C19,C22,C26)</f>
        <v>55025</v>
      </c>
      <c r="D27" s="64">
        <f t="shared" si="8"/>
        <v>53486</v>
      </c>
      <c r="E27" s="64">
        <f t="shared" si="8"/>
        <v>118000</v>
      </c>
      <c r="F27" s="65">
        <f>F5+F15+F22+F18+F19+F26</f>
        <v>226511</v>
      </c>
    </row>
    <row r="28">
      <c r="B28" s="66" t="s">
        <v>95</v>
      </c>
      <c r="C28" s="46"/>
      <c r="D28" s="46"/>
      <c r="E28" s="68"/>
      <c r="F28" s="68">
        <f>'Offline &amp; RG Community'!I32+Hudle!E7+Playo!F6+Khelomore!E4+'Other Income'!C2</f>
        <v>218725.034</v>
      </c>
    </row>
    <row r="29">
      <c r="B29" s="14" t="s">
        <v>96</v>
      </c>
      <c r="C29" s="18"/>
      <c r="D29" s="18"/>
      <c r="E29" s="20"/>
      <c r="F29" s="20">
        <f>F28/1.18</f>
        <v>185360.1983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</cols>
  <sheetData>
    <row r="1">
      <c r="A1" s="13" t="s">
        <v>7</v>
      </c>
      <c r="B1" s="13" t="s">
        <v>8</v>
      </c>
      <c r="C1" s="15" t="s">
        <v>10</v>
      </c>
      <c r="D1" s="13" t="s">
        <v>11</v>
      </c>
      <c r="E1" s="16" t="s">
        <v>3</v>
      </c>
      <c r="F1" s="16" t="s">
        <v>4</v>
      </c>
      <c r="G1" s="13" t="s">
        <v>12</v>
      </c>
      <c r="H1" s="17" t="s">
        <v>13</v>
      </c>
      <c r="I1" s="17" t="s">
        <v>14</v>
      </c>
    </row>
    <row r="2">
      <c r="A2" s="22" t="s">
        <v>15</v>
      </c>
      <c r="B2" s="23" t="s">
        <v>18</v>
      </c>
      <c r="C2" s="24">
        <v>1.0</v>
      </c>
      <c r="D2" s="25" t="s">
        <v>19</v>
      </c>
      <c r="E2" s="27">
        <v>700.0</v>
      </c>
      <c r="F2" s="27">
        <v>0.0</v>
      </c>
      <c r="G2" s="31">
        <f t="shared" ref="G2:G4" si="1">sum(E2:F2)</f>
        <v>700</v>
      </c>
      <c r="H2" s="33">
        <f t="shared" ref="H2:H31" si="2">G2*2.5%*1.18</f>
        <v>20.65</v>
      </c>
      <c r="I2" s="33">
        <f t="shared" ref="I2:I31" si="3">G2-H2</f>
        <v>679.35</v>
      </c>
    </row>
    <row r="3">
      <c r="A3" s="22" t="s">
        <v>33</v>
      </c>
      <c r="B3" s="23" t="s">
        <v>34</v>
      </c>
      <c r="C3" s="24">
        <v>2.0</v>
      </c>
      <c r="D3" s="25" t="s">
        <v>19</v>
      </c>
      <c r="E3" s="27">
        <v>1750.0</v>
      </c>
      <c r="F3" s="27">
        <v>0.0</v>
      </c>
      <c r="G3" s="31">
        <f t="shared" si="1"/>
        <v>1750</v>
      </c>
      <c r="H3" s="33">
        <f t="shared" si="2"/>
        <v>51.625</v>
      </c>
      <c r="I3" s="33">
        <f t="shared" si="3"/>
        <v>1698.375</v>
      </c>
    </row>
    <row r="4">
      <c r="A4" s="22" t="s">
        <v>36</v>
      </c>
      <c r="B4" s="23" t="s">
        <v>37</v>
      </c>
      <c r="C4" s="44">
        <v>4.5</v>
      </c>
      <c r="D4" s="25" t="s">
        <v>19</v>
      </c>
      <c r="E4" s="27">
        <v>4650.0</v>
      </c>
      <c r="F4" s="27">
        <v>0.0</v>
      </c>
      <c r="G4" s="31">
        <f t="shared" si="1"/>
        <v>4650</v>
      </c>
      <c r="H4" s="33">
        <f t="shared" si="2"/>
        <v>137.175</v>
      </c>
      <c r="I4" s="33">
        <f t="shared" si="3"/>
        <v>4512.825</v>
      </c>
    </row>
    <row r="5">
      <c r="A5" s="22" t="s">
        <v>38</v>
      </c>
      <c r="B5" s="23" t="s">
        <v>39</v>
      </c>
      <c r="C5" s="24">
        <v>3.0</v>
      </c>
      <c r="D5" s="25" t="s">
        <v>19</v>
      </c>
      <c r="E5" s="27">
        <v>5200.0</v>
      </c>
      <c r="F5" s="27">
        <v>0.0</v>
      </c>
      <c r="G5" s="31">
        <f t="shared" ref="G5:G6" si="4">SUM(E5:F5)</f>
        <v>5200</v>
      </c>
      <c r="H5" s="33">
        <f t="shared" si="2"/>
        <v>153.4</v>
      </c>
      <c r="I5" s="33">
        <f t="shared" si="3"/>
        <v>5046.6</v>
      </c>
    </row>
    <row r="6">
      <c r="A6" s="22" t="s">
        <v>44</v>
      </c>
      <c r="B6" s="23" t="s">
        <v>45</v>
      </c>
      <c r="C6" s="24">
        <v>0.0</v>
      </c>
      <c r="D6" s="25" t="s">
        <v>19</v>
      </c>
      <c r="E6" s="27">
        <v>0.0</v>
      </c>
      <c r="F6" s="27">
        <v>0.0</v>
      </c>
      <c r="G6" s="31">
        <f t="shared" si="4"/>
        <v>0</v>
      </c>
      <c r="H6" s="33">
        <f t="shared" si="2"/>
        <v>0</v>
      </c>
      <c r="I6" s="33">
        <f t="shared" si="3"/>
        <v>0</v>
      </c>
    </row>
    <row r="7">
      <c r="A7" s="22" t="s">
        <v>47</v>
      </c>
      <c r="B7" s="23" t="s">
        <v>48</v>
      </c>
      <c r="C7" s="24">
        <v>1.0</v>
      </c>
      <c r="D7" s="25" t="s">
        <v>19</v>
      </c>
      <c r="E7" s="12">
        <v>0.0</v>
      </c>
      <c r="F7" s="27">
        <v>1300.0</v>
      </c>
      <c r="G7" s="31">
        <f>SUM(F7)</f>
        <v>1300</v>
      </c>
      <c r="H7" s="33">
        <f t="shared" si="2"/>
        <v>38.35</v>
      </c>
      <c r="I7" s="33">
        <f t="shared" si="3"/>
        <v>1261.65</v>
      </c>
    </row>
    <row r="8">
      <c r="A8" s="22" t="s">
        <v>53</v>
      </c>
      <c r="B8" s="23" t="s">
        <v>54</v>
      </c>
      <c r="C8" s="24">
        <v>0.0</v>
      </c>
      <c r="D8" s="25" t="s">
        <v>19</v>
      </c>
      <c r="E8" s="27">
        <v>0.0</v>
      </c>
      <c r="F8" s="27">
        <v>0.0</v>
      </c>
      <c r="G8" s="31">
        <f>SUM(E8:F8)</f>
        <v>0</v>
      </c>
      <c r="H8" s="33">
        <f t="shared" si="2"/>
        <v>0</v>
      </c>
      <c r="I8" s="33">
        <f t="shared" si="3"/>
        <v>0</v>
      </c>
    </row>
    <row r="9">
      <c r="A9" s="22" t="s">
        <v>57</v>
      </c>
      <c r="B9" s="23" t="s">
        <v>18</v>
      </c>
      <c r="C9" s="24">
        <v>0.0</v>
      </c>
      <c r="D9" s="25" t="s">
        <v>19</v>
      </c>
      <c r="E9" s="27">
        <v>0.0</v>
      </c>
      <c r="F9" s="27">
        <v>0.0</v>
      </c>
      <c r="G9" s="27">
        <v>0.0</v>
      </c>
      <c r="H9" s="33">
        <f t="shared" si="2"/>
        <v>0</v>
      </c>
      <c r="I9" s="33">
        <f t="shared" si="3"/>
        <v>0</v>
      </c>
    </row>
    <row r="10">
      <c r="A10" s="22" t="s">
        <v>58</v>
      </c>
      <c r="B10" s="23" t="s">
        <v>34</v>
      </c>
      <c r="C10" s="24">
        <v>1.0</v>
      </c>
      <c r="D10" s="25" t="s">
        <v>19</v>
      </c>
      <c r="E10" s="27">
        <v>0.0</v>
      </c>
      <c r="F10" s="27">
        <v>2250.0</v>
      </c>
      <c r="G10" s="31">
        <f t="shared" ref="G10:G31" si="5">SUM(E10:F10)</f>
        <v>2250</v>
      </c>
      <c r="H10" s="33">
        <f t="shared" si="2"/>
        <v>66.375</v>
      </c>
      <c r="I10" s="33">
        <f t="shared" si="3"/>
        <v>2183.625</v>
      </c>
    </row>
    <row r="11">
      <c r="A11" s="22" t="s">
        <v>60</v>
      </c>
      <c r="B11" s="23" t="s">
        <v>37</v>
      </c>
      <c r="C11" s="24">
        <v>1.0</v>
      </c>
      <c r="D11" s="25" t="s">
        <v>19</v>
      </c>
      <c r="E11" s="27">
        <v>700.0</v>
      </c>
      <c r="F11" s="27">
        <v>0.0</v>
      </c>
      <c r="G11" s="31">
        <f t="shared" si="5"/>
        <v>700</v>
      </c>
      <c r="H11" s="33">
        <f t="shared" si="2"/>
        <v>20.65</v>
      </c>
      <c r="I11" s="33">
        <f t="shared" si="3"/>
        <v>679.35</v>
      </c>
    </row>
    <row r="12">
      <c r="A12" s="22" t="s">
        <v>61</v>
      </c>
      <c r="B12" s="23" t="s">
        <v>39</v>
      </c>
      <c r="C12" s="24">
        <v>0.0</v>
      </c>
      <c r="D12" s="25" t="s">
        <v>19</v>
      </c>
      <c r="E12" s="27">
        <v>0.0</v>
      </c>
      <c r="F12" s="27">
        <v>0.0</v>
      </c>
      <c r="G12" s="31">
        <f t="shared" si="5"/>
        <v>0</v>
      </c>
      <c r="H12" s="33">
        <f t="shared" si="2"/>
        <v>0</v>
      </c>
      <c r="I12" s="33">
        <f t="shared" si="3"/>
        <v>0</v>
      </c>
    </row>
    <row r="13">
      <c r="A13" s="22" t="s">
        <v>62</v>
      </c>
      <c r="B13" s="23" t="s">
        <v>45</v>
      </c>
      <c r="C13" s="24">
        <v>4.5</v>
      </c>
      <c r="D13" s="25" t="s">
        <v>19</v>
      </c>
      <c r="E13" s="27">
        <v>700.0</v>
      </c>
      <c r="F13" s="27">
        <v>7580.0</v>
      </c>
      <c r="G13" s="31">
        <f t="shared" si="5"/>
        <v>8280</v>
      </c>
      <c r="H13" s="33">
        <f t="shared" si="2"/>
        <v>244.26</v>
      </c>
      <c r="I13" s="33">
        <f t="shared" si="3"/>
        <v>8035.74</v>
      </c>
    </row>
    <row r="14">
      <c r="A14" s="22" t="s">
        <v>63</v>
      </c>
      <c r="B14" s="23" t="s">
        <v>48</v>
      </c>
      <c r="C14" s="24">
        <v>1.0</v>
      </c>
      <c r="D14" s="25" t="s">
        <v>19</v>
      </c>
      <c r="E14" s="27">
        <v>700.0</v>
      </c>
      <c r="F14" s="27">
        <v>0.0</v>
      </c>
      <c r="G14" s="31">
        <f t="shared" si="5"/>
        <v>700</v>
      </c>
      <c r="H14" s="33">
        <f t="shared" si="2"/>
        <v>20.65</v>
      </c>
      <c r="I14" s="33">
        <f t="shared" si="3"/>
        <v>679.35</v>
      </c>
    </row>
    <row r="15">
      <c r="A15" s="22" t="s">
        <v>66</v>
      </c>
      <c r="B15" s="23" t="s">
        <v>54</v>
      </c>
      <c r="C15" s="24">
        <v>4.5</v>
      </c>
      <c r="D15" s="25" t="s">
        <v>19</v>
      </c>
      <c r="E15" s="27">
        <v>2800.0</v>
      </c>
      <c r="F15" s="27">
        <v>0.0</v>
      </c>
      <c r="G15" s="31">
        <f t="shared" si="5"/>
        <v>2800</v>
      </c>
      <c r="H15" s="33">
        <f t="shared" si="2"/>
        <v>82.6</v>
      </c>
      <c r="I15" s="33">
        <f t="shared" si="3"/>
        <v>2717.4</v>
      </c>
    </row>
    <row r="16">
      <c r="A16" s="22" t="s">
        <v>67</v>
      </c>
      <c r="B16" s="23" t="s">
        <v>18</v>
      </c>
      <c r="C16" s="62">
        <v>4.5</v>
      </c>
      <c r="D16" s="25" t="s">
        <v>19</v>
      </c>
      <c r="E16" s="39">
        <v>350.0</v>
      </c>
      <c r="F16" s="39">
        <v>4588.0</v>
      </c>
      <c r="G16" s="31">
        <f t="shared" si="5"/>
        <v>4938</v>
      </c>
      <c r="H16" s="33">
        <f t="shared" si="2"/>
        <v>145.671</v>
      </c>
      <c r="I16" s="33">
        <f t="shared" si="3"/>
        <v>4792.329</v>
      </c>
    </row>
    <row r="17">
      <c r="A17" s="22" t="s">
        <v>71</v>
      </c>
      <c r="B17" s="23" t="s">
        <v>34</v>
      </c>
      <c r="C17" s="62">
        <v>0.0</v>
      </c>
      <c r="D17" s="25" t="s">
        <v>19</v>
      </c>
      <c r="E17" s="39">
        <v>0.0</v>
      </c>
      <c r="F17" s="39">
        <v>0.0</v>
      </c>
      <c r="G17" s="31">
        <f t="shared" si="5"/>
        <v>0</v>
      </c>
      <c r="H17" s="33">
        <f t="shared" si="2"/>
        <v>0</v>
      </c>
      <c r="I17" s="33">
        <f t="shared" si="3"/>
        <v>0</v>
      </c>
    </row>
    <row r="18">
      <c r="A18" s="22" t="s">
        <v>73</v>
      </c>
      <c r="B18" s="23" t="s">
        <v>37</v>
      </c>
      <c r="C18" s="62">
        <v>1.5</v>
      </c>
      <c r="D18" s="25" t="s">
        <v>19</v>
      </c>
      <c r="E18" s="39">
        <v>700.0</v>
      </c>
      <c r="F18" s="39">
        <v>0.0</v>
      </c>
      <c r="G18" s="31">
        <f t="shared" si="5"/>
        <v>700</v>
      </c>
      <c r="H18" s="33">
        <f t="shared" si="2"/>
        <v>20.65</v>
      </c>
      <c r="I18" s="33">
        <f t="shared" si="3"/>
        <v>679.35</v>
      </c>
    </row>
    <row r="19">
      <c r="A19" s="22" t="s">
        <v>74</v>
      </c>
      <c r="B19" s="23" t="s">
        <v>39</v>
      </c>
      <c r="C19" s="62">
        <v>0.0</v>
      </c>
      <c r="D19" s="25" t="s">
        <v>19</v>
      </c>
      <c r="E19" s="39">
        <v>0.0</v>
      </c>
      <c r="F19" s="39">
        <v>0.0</v>
      </c>
      <c r="G19" s="31">
        <f t="shared" si="5"/>
        <v>0</v>
      </c>
      <c r="H19" s="33">
        <f t="shared" si="2"/>
        <v>0</v>
      </c>
      <c r="I19" s="33">
        <f t="shared" si="3"/>
        <v>0</v>
      </c>
    </row>
    <row r="20">
      <c r="A20" s="22" t="s">
        <v>76</v>
      </c>
      <c r="B20" s="23" t="s">
        <v>45</v>
      </c>
      <c r="C20" s="62">
        <v>1.0</v>
      </c>
      <c r="D20" s="25" t="s">
        <v>19</v>
      </c>
      <c r="E20" s="39">
        <v>700.0</v>
      </c>
      <c r="F20" s="39">
        <v>0.0</v>
      </c>
      <c r="G20" s="31">
        <f t="shared" si="5"/>
        <v>700</v>
      </c>
      <c r="H20" s="33">
        <f t="shared" si="2"/>
        <v>20.65</v>
      </c>
      <c r="I20" s="33">
        <f t="shared" si="3"/>
        <v>679.35</v>
      </c>
    </row>
    <row r="21">
      <c r="A21" s="22" t="s">
        <v>78</v>
      </c>
      <c r="B21" s="23" t="s">
        <v>48</v>
      </c>
      <c r="C21" s="62">
        <v>0.0</v>
      </c>
      <c r="D21" s="25" t="s">
        <v>19</v>
      </c>
      <c r="E21" s="39">
        <v>0.0</v>
      </c>
      <c r="F21" s="39">
        <v>0.0</v>
      </c>
      <c r="G21" s="31">
        <f t="shared" si="5"/>
        <v>0</v>
      </c>
      <c r="H21" s="33">
        <f t="shared" si="2"/>
        <v>0</v>
      </c>
      <c r="I21" s="33">
        <f t="shared" si="3"/>
        <v>0</v>
      </c>
    </row>
    <row r="22">
      <c r="A22" s="22" t="s">
        <v>79</v>
      </c>
      <c r="B22" s="23" t="s">
        <v>54</v>
      </c>
      <c r="C22" s="62">
        <v>0.0</v>
      </c>
      <c r="D22" s="25" t="s">
        <v>19</v>
      </c>
      <c r="E22" s="39">
        <v>0.0</v>
      </c>
      <c r="F22" s="39">
        <v>0.0</v>
      </c>
      <c r="G22" s="31">
        <f t="shared" si="5"/>
        <v>0</v>
      </c>
      <c r="H22" s="33">
        <f t="shared" si="2"/>
        <v>0</v>
      </c>
      <c r="I22" s="33">
        <f t="shared" si="3"/>
        <v>0</v>
      </c>
    </row>
    <row r="23">
      <c r="A23" s="22" t="s">
        <v>81</v>
      </c>
      <c r="B23" s="23" t="s">
        <v>18</v>
      </c>
      <c r="C23" s="62">
        <v>0.0</v>
      </c>
      <c r="D23" s="25" t="s">
        <v>19</v>
      </c>
      <c r="E23" s="39">
        <v>0.0</v>
      </c>
      <c r="F23" s="39">
        <v>0.0</v>
      </c>
      <c r="G23" s="31">
        <f t="shared" si="5"/>
        <v>0</v>
      </c>
      <c r="H23" s="33">
        <f t="shared" si="2"/>
        <v>0</v>
      </c>
      <c r="I23" s="33">
        <f t="shared" si="3"/>
        <v>0</v>
      </c>
    </row>
    <row r="24">
      <c r="A24" s="22" t="s">
        <v>82</v>
      </c>
      <c r="B24" s="23" t="s">
        <v>34</v>
      </c>
      <c r="C24" s="12">
        <v>4.5</v>
      </c>
      <c r="D24" s="25" t="s">
        <v>19</v>
      </c>
      <c r="E24" s="12">
        <v>3150.0</v>
      </c>
      <c r="F24" s="12">
        <v>0.0</v>
      </c>
      <c r="G24" s="31">
        <f t="shared" si="5"/>
        <v>3150</v>
      </c>
      <c r="H24" s="33">
        <f t="shared" si="2"/>
        <v>92.925</v>
      </c>
      <c r="I24" s="33">
        <f t="shared" si="3"/>
        <v>3057.075</v>
      </c>
    </row>
    <row r="25">
      <c r="A25" s="22" t="s">
        <v>86</v>
      </c>
      <c r="B25" s="23" t="s">
        <v>37</v>
      </c>
      <c r="C25" s="62">
        <v>5.0</v>
      </c>
      <c r="D25" s="25" t="s">
        <v>19</v>
      </c>
      <c r="E25" s="39">
        <v>2800.0</v>
      </c>
      <c r="F25" s="39">
        <v>1500.0</v>
      </c>
      <c r="G25" s="31">
        <f t="shared" si="5"/>
        <v>4300</v>
      </c>
      <c r="H25" s="33">
        <f t="shared" si="2"/>
        <v>126.85</v>
      </c>
      <c r="I25" s="33">
        <f t="shared" si="3"/>
        <v>4173.15</v>
      </c>
    </row>
    <row r="26">
      <c r="A26" s="22" t="s">
        <v>88</v>
      </c>
      <c r="B26" s="23" t="s">
        <v>39</v>
      </c>
      <c r="C26" s="62">
        <v>1.0</v>
      </c>
      <c r="D26" s="25" t="s">
        <v>19</v>
      </c>
      <c r="E26" s="39">
        <v>700.0</v>
      </c>
      <c r="F26" s="39">
        <v>0.0</v>
      </c>
      <c r="G26" s="31">
        <f t="shared" si="5"/>
        <v>700</v>
      </c>
      <c r="H26" s="33">
        <f t="shared" si="2"/>
        <v>20.65</v>
      </c>
      <c r="I26" s="33">
        <f t="shared" si="3"/>
        <v>679.35</v>
      </c>
    </row>
    <row r="27">
      <c r="A27" s="22" t="s">
        <v>90</v>
      </c>
      <c r="B27" s="23" t="s">
        <v>45</v>
      </c>
      <c r="C27" s="62">
        <v>1.5</v>
      </c>
      <c r="D27" s="25" t="s">
        <v>19</v>
      </c>
      <c r="E27" s="39">
        <v>1050.0</v>
      </c>
      <c r="F27" s="39">
        <v>0.0</v>
      </c>
      <c r="G27" s="31">
        <f t="shared" si="5"/>
        <v>1050</v>
      </c>
      <c r="H27" s="33">
        <f t="shared" si="2"/>
        <v>30.975</v>
      </c>
      <c r="I27" s="33">
        <f t="shared" si="3"/>
        <v>1019.025</v>
      </c>
    </row>
    <row r="28">
      <c r="A28" s="22" t="s">
        <v>91</v>
      </c>
      <c r="B28" s="23" t="s">
        <v>48</v>
      </c>
      <c r="C28" s="62">
        <v>1.5</v>
      </c>
      <c r="D28" s="25" t="s">
        <v>19</v>
      </c>
      <c r="E28" s="39">
        <v>1050.0</v>
      </c>
      <c r="F28" s="39">
        <v>0.0</v>
      </c>
      <c r="G28" s="31">
        <f t="shared" si="5"/>
        <v>1050</v>
      </c>
      <c r="H28" s="33">
        <f t="shared" si="2"/>
        <v>30.975</v>
      </c>
      <c r="I28" s="33">
        <f t="shared" si="3"/>
        <v>1019.025</v>
      </c>
    </row>
    <row r="29">
      <c r="A29" s="22" t="s">
        <v>92</v>
      </c>
      <c r="B29" s="23" t="s">
        <v>54</v>
      </c>
      <c r="C29" s="62">
        <v>0.0</v>
      </c>
      <c r="D29" s="25" t="s">
        <v>19</v>
      </c>
      <c r="E29" s="39">
        <v>0.0</v>
      </c>
      <c r="F29" s="39">
        <v>0.0</v>
      </c>
      <c r="G29" s="31">
        <f t="shared" si="5"/>
        <v>0</v>
      </c>
      <c r="H29" s="33">
        <f t="shared" si="2"/>
        <v>0</v>
      </c>
      <c r="I29" s="33">
        <f t="shared" si="3"/>
        <v>0</v>
      </c>
    </row>
    <row r="30">
      <c r="A30" s="22" t="s">
        <v>93</v>
      </c>
      <c r="B30" s="23" t="s">
        <v>18</v>
      </c>
      <c r="C30" s="62">
        <v>0.5</v>
      </c>
      <c r="D30" s="25" t="s">
        <v>19</v>
      </c>
      <c r="E30" s="39">
        <v>350.0</v>
      </c>
      <c r="F30" s="39">
        <v>0.0</v>
      </c>
      <c r="G30" s="31">
        <f t="shared" si="5"/>
        <v>350</v>
      </c>
      <c r="H30" s="33">
        <f t="shared" si="2"/>
        <v>10.325</v>
      </c>
      <c r="I30" s="33">
        <f t="shared" si="3"/>
        <v>339.675</v>
      </c>
    </row>
    <row r="31">
      <c r="A31" s="22" t="s">
        <v>94</v>
      </c>
      <c r="B31" s="23" t="s">
        <v>34</v>
      </c>
      <c r="C31" s="62">
        <v>0.0</v>
      </c>
      <c r="D31" s="25" t="s">
        <v>19</v>
      </c>
      <c r="E31" s="39">
        <v>0.0</v>
      </c>
      <c r="F31" s="39">
        <v>0.0</v>
      </c>
      <c r="G31" s="31">
        <f t="shared" si="5"/>
        <v>0</v>
      </c>
      <c r="H31" s="33">
        <f t="shared" si="2"/>
        <v>0</v>
      </c>
      <c r="I31" s="33">
        <f t="shared" si="3"/>
        <v>0</v>
      </c>
    </row>
    <row r="32">
      <c r="A32" s="67" t="s">
        <v>6</v>
      </c>
      <c r="B32" s="69"/>
      <c r="C32" s="56">
        <f>SUM(C2:C31)</f>
        <v>44.5</v>
      </c>
      <c r="D32" s="69"/>
      <c r="E32" s="70">
        <f t="shared" ref="E32:I32" si="6">SUM(E2:E31)</f>
        <v>28050</v>
      </c>
      <c r="F32" s="70">
        <f t="shared" si="6"/>
        <v>17218</v>
      </c>
      <c r="G32" s="70">
        <f t="shared" si="6"/>
        <v>45268</v>
      </c>
      <c r="H32" s="70">
        <f t="shared" si="6"/>
        <v>1335.406</v>
      </c>
      <c r="I32" s="70">
        <f t="shared" si="6"/>
        <v>43932.594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32" t="s">
        <v>17</v>
      </c>
      <c r="B1" s="8" t="s">
        <v>7</v>
      </c>
      <c r="C1" s="8" t="s">
        <v>22</v>
      </c>
      <c r="D1" s="8" t="s">
        <v>24</v>
      </c>
      <c r="E1" s="8" t="s">
        <v>14</v>
      </c>
      <c r="F1" s="8" t="s">
        <v>27</v>
      </c>
      <c r="G1" s="8" t="s">
        <v>29</v>
      </c>
      <c r="H1" s="36" t="s">
        <v>2</v>
      </c>
    </row>
    <row r="2">
      <c r="A2" s="29"/>
      <c r="B2" s="39" t="s">
        <v>35</v>
      </c>
      <c r="C2" s="41">
        <v>1280.0</v>
      </c>
      <c r="D2" s="41">
        <v>163.8</v>
      </c>
      <c r="E2" s="45">
        <f t="shared" ref="E2:E6" si="1">C2-D2</f>
        <v>1116.2</v>
      </c>
      <c r="F2" s="41">
        <v>1.06</v>
      </c>
      <c r="G2" s="41">
        <v>5.339</v>
      </c>
      <c r="H2" s="27">
        <v>1089.74</v>
      </c>
    </row>
    <row r="3">
      <c r="A3" s="46"/>
      <c r="B3" s="39" t="s">
        <v>42</v>
      </c>
      <c r="C3" s="41">
        <v>2800.0</v>
      </c>
      <c r="D3" s="39">
        <v>364.0</v>
      </c>
      <c r="E3" s="45">
        <f t="shared" si="1"/>
        <v>2436</v>
      </c>
      <c r="F3" s="39">
        <v>2.37</v>
      </c>
      <c r="G3" s="39">
        <v>11.86</v>
      </c>
      <c r="H3" s="39">
        <v>2421.76</v>
      </c>
    </row>
    <row r="4">
      <c r="A4" s="46"/>
      <c r="B4" s="47" t="s">
        <v>43</v>
      </c>
      <c r="C4" s="39">
        <v>2311.0</v>
      </c>
      <c r="D4" s="39">
        <v>668.0</v>
      </c>
      <c r="E4" s="45">
        <f t="shared" si="1"/>
        <v>1643</v>
      </c>
      <c r="F4" s="39">
        <v>2.0</v>
      </c>
      <c r="G4" s="39">
        <v>9.7</v>
      </c>
      <c r="H4" s="39">
        <v>1631.6</v>
      </c>
    </row>
    <row r="5">
      <c r="A5" s="46"/>
      <c r="B5" s="51" t="s">
        <v>46</v>
      </c>
      <c r="C5" s="39">
        <v>508.0</v>
      </c>
      <c r="D5" s="39">
        <v>27.59</v>
      </c>
      <c r="E5" s="45">
        <f t="shared" si="1"/>
        <v>480.41</v>
      </c>
      <c r="F5" s="39">
        <v>1.0</v>
      </c>
      <c r="G5" s="39">
        <v>2.0</v>
      </c>
      <c r="H5" s="39">
        <v>482.0</v>
      </c>
    </row>
    <row r="6">
      <c r="A6" s="46"/>
      <c r="B6" s="51" t="s">
        <v>51</v>
      </c>
      <c r="C6" s="39">
        <v>558.0</v>
      </c>
      <c r="D6" s="39">
        <v>72.0</v>
      </c>
      <c r="E6" s="45">
        <f t="shared" si="1"/>
        <v>486</v>
      </c>
      <c r="F6" s="39">
        <v>1.0</v>
      </c>
      <c r="G6" s="39">
        <v>5.0</v>
      </c>
      <c r="H6" s="39">
        <v>966.0</v>
      </c>
    </row>
    <row r="7">
      <c r="A7" s="29"/>
      <c r="B7" s="17" t="s">
        <v>6</v>
      </c>
      <c r="C7" s="55">
        <f>SUM(C2:C6)</f>
        <v>7457</v>
      </c>
      <c r="D7" s="4"/>
      <c r="E7" s="55">
        <f>SUM(E2:E6)</f>
        <v>6161.61</v>
      </c>
      <c r="F7" s="4"/>
      <c r="G7" s="4"/>
      <c r="H7" s="55">
        <f>SUM(H2:H6)</f>
        <v>6591.1</v>
      </c>
    </row>
    <row r="9">
      <c r="A9" s="59" t="s">
        <v>3</v>
      </c>
      <c r="B9" s="60">
        <f>C7-B10-B11</f>
        <v>6686</v>
      </c>
    </row>
    <row r="10">
      <c r="A10" s="59" t="s">
        <v>4</v>
      </c>
      <c r="B10" s="61">
        <v>771.0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4" max="4" width="14.38"/>
    <col customWidth="1" min="9" max="9" width="14.13"/>
  </cols>
  <sheetData>
    <row r="1">
      <c r="A1" s="32" t="s">
        <v>17</v>
      </c>
      <c r="B1" s="8" t="s">
        <v>7</v>
      </c>
      <c r="C1" s="8" t="s">
        <v>21</v>
      </c>
      <c r="D1" s="8" t="s">
        <v>23</v>
      </c>
      <c r="E1" s="8" t="s">
        <v>25</v>
      </c>
      <c r="F1" s="8" t="s">
        <v>14</v>
      </c>
      <c r="G1" s="8" t="s">
        <v>26</v>
      </c>
      <c r="H1" s="8" t="s">
        <v>28</v>
      </c>
      <c r="I1" s="8" t="s">
        <v>30</v>
      </c>
    </row>
    <row r="2">
      <c r="A2" s="37"/>
      <c r="B2" s="38" t="s">
        <v>32</v>
      </c>
      <c r="C2" s="40">
        <v>19420.0</v>
      </c>
      <c r="D2" s="40">
        <v>1687.0</v>
      </c>
      <c r="E2" s="38">
        <v>303.66</v>
      </c>
      <c r="F2" s="45">
        <f t="shared" ref="F2:F5" si="1">C2-D2-E2</f>
        <v>17429.34</v>
      </c>
      <c r="G2" s="38">
        <v>8.46</v>
      </c>
      <c r="H2" s="38">
        <v>0.0</v>
      </c>
      <c r="I2" s="40">
        <v>17420.88</v>
      </c>
    </row>
    <row r="3">
      <c r="A3" s="37"/>
      <c r="B3" s="38" t="s">
        <v>41</v>
      </c>
      <c r="C3" s="40">
        <f>7700+4620</f>
        <v>12320</v>
      </c>
      <c r="D3" s="48">
        <v>1127.0</v>
      </c>
      <c r="E3" s="49">
        <v>202.86</v>
      </c>
      <c r="F3" s="50">
        <f t="shared" si="1"/>
        <v>10990.14</v>
      </c>
      <c r="G3" s="49">
        <v>4.62</v>
      </c>
      <c r="H3" s="38">
        <v>0.0</v>
      </c>
      <c r="I3" s="48">
        <v>3285.52</v>
      </c>
    </row>
    <row r="4">
      <c r="A4" s="37"/>
      <c r="B4" s="47" t="s">
        <v>50</v>
      </c>
      <c r="C4" s="40">
        <v>7920.0</v>
      </c>
      <c r="D4" s="40">
        <v>700.0</v>
      </c>
      <c r="E4" s="38">
        <v>126.0</v>
      </c>
      <c r="F4" s="50">
        <f t="shared" si="1"/>
        <v>7094</v>
      </c>
      <c r="G4" s="38">
        <v>6.0</v>
      </c>
      <c r="H4" s="38">
        <v>0.0</v>
      </c>
      <c r="I4" s="40">
        <v>5108.0</v>
      </c>
    </row>
    <row r="5">
      <c r="A5" s="37"/>
      <c r="B5" s="12" t="s">
        <v>52</v>
      </c>
      <c r="C5" s="40">
        <v>3513.0</v>
      </c>
      <c r="D5" s="40">
        <v>321.0</v>
      </c>
      <c r="E5" s="38">
        <v>57.0</v>
      </c>
      <c r="F5" s="50">
        <f t="shared" si="1"/>
        <v>3135</v>
      </c>
      <c r="G5" s="38">
        <v>1.76</v>
      </c>
      <c r="H5" s="38">
        <v>0.0</v>
      </c>
      <c r="I5" s="40">
        <v>1375.0</v>
      </c>
    </row>
    <row r="6">
      <c r="A6" s="37"/>
      <c r="B6" s="54" t="s">
        <v>6</v>
      </c>
      <c r="C6" s="56">
        <f>sum(C2:C5)</f>
        <v>43173</v>
      </c>
      <c r="D6" s="58"/>
      <c r="E6" s="4"/>
      <c r="F6" s="56">
        <f>sum(F2:F5)</f>
        <v>38648.48</v>
      </c>
      <c r="G6" s="4"/>
      <c r="H6" s="4"/>
      <c r="I6" s="56">
        <f>sum(I2:I5)</f>
        <v>27189.4</v>
      </c>
    </row>
    <row r="8">
      <c r="A8" s="59" t="s">
        <v>3</v>
      </c>
      <c r="B8" s="60">
        <f>C6-B9-B10</f>
        <v>10076</v>
      </c>
    </row>
    <row r="9">
      <c r="A9" s="59" t="s">
        <v>4</v>
      </c>
      <c r="B9" s="61">
        <f>30700+2397</f>
        <v>33097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71" t="s">
        <v>17</v>
      </c>
      <c r="B1" s="36" t="s">
        <v>7</v>
      </c>
      <c r="C1" s="36" t="s">
        <v>102</v>
      </c>
      <c r="D1" s="36" t="s">
        <v>23</v>
      </c>
      <c r="E1" s="36" t="s">
        <v>30</v>
      </c>
    </row>
    <row r="2">
      <c r="A2" s="73"/>
      <c r="B2" s="39" t="s">
        <v>103</v>
      </c>
      <c r="C2" s="27">
        <v>12613.0</v>
      </c>
      <c r="D2" s="74">
        <f>C2*5%</f>
        <v>630.65</v>
      </c>
      <c r="E2" s="74">
        <f>C2-D2</f>
        <v>11982.35</v>
      </c>
    </row>
    <row r="3">
      <c r="A3" s="73"/>
      <c r="B3" s="39"/>
      <c r="C3" s="27"/>
      <c r="D3" s="74"/>
      <c r="E3" s="74"/>
    </row>
    <row r="4">
      <c r="A4" s="75"/>
      <c r="B4" s="76" t="s">
        <v>6</v>
      </c>
      <c r="C4" s="77">
        <f>SUM(C2)</f>
        <v>12613</v>
      </c>
      <c r="D4" s="78"/>
      <c r="E4" s="77">
        <f>SUM(E2)</f>
        <v>11982.35</v>
      </c>
      <c r="F4" s="79"/>
      <c r="G4" s="79"/>
      <c r="H4" s="79"/>
      <c r="I4" s="79"/>
      <c r="J4" s="79"/>
      <c r="K4" s="80"/>
      <c r="L4" s="79"/>
      <c r="M4" s="80"/>
      <c r="N4" s="80"/>
    </row>
    <row r="5">
      <c r="A5" s="81"/>
      <c r="B5" s="82"/>
      <c r="C5" s="83"/>
      <c r="D5" s="81"/>
      <c r="E5" s="84"/>
    </row>
    <row r="6">
      <c r="A6" s="59" t="s">
        <v>3</v>
      </c>
      <c r="B6" s="60">
        <f>C4-B7-B8</f>
        <v>10213</v>
      </c>
      <c r="D6" s="81"/>
      <c r="E6" s="84"/>
    </row>
    <row r="7">
      <c r="A7" s="59" t="s">
        <v>4</v>
      </c>
      <c r="B7" s="61">
        <v>2400.0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8" t="s">
        <v>97</v>
      </c>
      <c r="B1" s="8" t="s">
        <v>98</v>
      </c>
      <c r="C1" s="8" t="s">
        <v>99</v>
      </c>
    </row>
    <row r="2">
      <c r="A2" s="34" t="s">
        <v>100</v>
      </c>
      <c r="B2" s="34" t="s">
        <v>101</v>
      </c>
      <c r="C2" s="72">
        <v>118000.0</v>
      </c>
    </row>
  </sheetData>
  <drawing r:id="rId1"/>
</worksheet>
</file>